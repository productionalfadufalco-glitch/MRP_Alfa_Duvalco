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EPT. PRODUCTION\15. PRODUCTION PLANNING CONTROL (PPC)\"/>
    </mc:Choice>
  </mc:AlternateContent>
  <xr:revisionPtr revIDLastSave="0" documentId="13_ncr:1_{F7A3C64B-117D-425D-8898-3AF6C6CEB2B8}" xr6:coauthVersionLast="47" xr6:coauthVersionMax="47" xr10:uidLastSave="{00000000-0000-0000-0000-000000000000}"/>
  <bookViews>
    <workbookView xWindow="-110" yWindow="-110" windowWidth="19420" windowHeight="10300" firstSheet="3" activeTab="4" xr2:uid="{60E5FB08-F372-4B68-888B-25C962A7FB1B}"/>
  </bookViews>
  <sheets>
    <sheet name="Dashboard" sheetId="32" r:id="rId1"/>
    <sheet name="Detail Project" sheetId="7" r:id="rId2"/>
    <sheet name="Resume SO per Valve" sheetId="29" r:id="rId3"/>
    <sheet name="Variance Dashboard" sheetId="25" r:id="rId4"/>
    <sheet name="Variance Data" sheetId="27" r:id="rId5"/>
    <sheet name="PLAN PRODUCTION2" sheetId="33" r:id="rId6"/>
    <sheet name="Ref Dashboard" sheetId="26" r:id="rId7"/>
    <sheet name="Capacity Summary" sheetId="28" r:id="rId8"/>
    <sheet name="SCHEDULE CALENDAR" sheetId="22" r:id="rId9"/>
    <sheet name="JOB CALENDAR" sheetId="23" r:id="rId10"/>
    <sheet name="Schedule" sheetId="14" r:id="rId11"/>
    <sheet name="Plan Vs Actual" sheetId="1" state="hidden" r:id="rId12"/>
    <sheet name="MR List" sheetId="15" r:id="rId13"/>
    <sheet name="Tools" sheetId="6" r:id="rId14"/>
    <sheet name="Machining" sheetId="12" r:id="rId15"/>
    <sheet name="Consumable" sheetId="16" r:id="rId16"/>
    <sheet name="Capacity" sheetId="24" r:id="rId17"/>
    <sheet name="COSUMABLE-JUNE (3)" sheetId="17" state="hidden" r:id="rId18"/>
    <sheet name="National Holiday" sheetId="9" state="hidden" r:id="rId19"/>
    <sheet name="Setting" sheetId="10" state="hidden" r:id="rId20"/>
  </sheets>
  <externalReferences>
    <externalReference r:id="rId21"/>
  </externalReferences>
  <definedNames>
    <definedName name="_xlnm._FilterDatabase" localSheetId="1" hidden="1">'Detail Project'!$A$6:$F$367</definedName>
    <definedName name="_xlnm._FilterDatabase" localSheetId="12" hidden="1">'MR List'!$A$2:$C$96</definedName>
    <definedName name="_xlnm._FilterDatabase" localSheetId="5" hidden="1">'PLAN PRODUCTION2'!$D$17:$AI$48</definedName>
    <definedName name="_xlnm._FilterDatabase" localSheetId="13" hidden="1">Tools!$A$7:$AA$87</definedName>
    <definedName name="_xlpm.AwalBulan" hidden="1" xlm="1">#NAME?</definedName>
    <definedName name="_xlpm.tgl" hidden="1" xlm="1">#NAME?</definedName>
    <definedName name="display">'Detail Project'!$I$4</definedName>
    <definedName name="display_period">'Detail Project'!$G$4</definedName>
    <definedName name="display_week">'Detail Project'!$G$4</definedName>
    <definedName name="Nat_Hol">'National Holiday'!$B$2:$B$26</definedName>
    <definedName name="_xlnm.Print_Area" localSheetId="15">Consumable!$A$1:$E$38</definedName>
    <definedName name="_xlnm.Print_Area" localSheetId="17">'COSUMABLE-JUNE (3)'!$A$1:$I$65</definedName>
    <definedName name="_xlnm.Print_Area" localSheetId="12">Table6[[#All],[SO. NO]:[MACHINE]]</definedName>
    <definedName name="_xlnm.Print_Area" localSheetId="5">'PLAN PRODUCTION2'!$A$13:$AJ$52</definedName>
    <definedName name="_xlnm.Print_Titles" localSheetId="14">Machining!$1:$6</definedName>
    <definedName name="_xlnm.Print_Titles" localSheetId="12">'MR List'!$2:$2</definedName>
    <definedName name="_xlnm.Print_Titles" localSheetId="5">'PLAN PRODUCTION2'!$1:$17</definedName>
    <definedName name="project_start">'Detail Project'!$I$3</definedName>
    <definedName name="show_weekends">Setting!$C$13</definedName>
    <definedName name="weekend_option">Setting!$C$3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435" i="27" l="1"/>
  <c r="G434" i="27"/>
  <c r="O434" i="27" s="1"/>
  <c r="G433" i="27"/>
  <c r="L433" i="27" s="1"/>
  <c r="G432" i="27"/>
  <c r="O432" i="27" s="1"/>
  <c r="G431" i="27"/>
  <c r="G430" i="27"/>
  <c r="O430" i="27" s="1"/>
  <c r="G429" i="27"/>
  <c r="L429" i="27" s="1"/>
  <c r="G428" i="27"/>
  <c r="G427" i="27"/>
  <c r="G426" i="27"/>
  <c r="L426" i="27" s="1"/>
  <c r="G425" i="27"/>
  <c r="G424" i="27"/>
  <c r="L424" i="27" s="1"/>
  <c r="G423" i="27"/>
  <c r="G422" i="27"/>
  <c r="O422" i="27" s="1"/>
  <c r="G421" i="27"/>
  <c r="L421" i="27" s="1"/>
  <c r="G420" i="27"/>
  <c r="G419" i="27"/>
  <c r="G418" i="27"/>
  <c r="O418" i="27" s="1"/>
  <c r="G417" i="27"/>
  <c r="L417" i="27" s="1"/>
  <c r="G416" i="27"/>
  <c r="G415" i="27"/>
  <c r="G414" i="27"/>
  <c r="G413" i="27"/>
  <c r="L413" i="27" s="1"/>
  <c r="G412" i="27"/>
  <c r="G411" i="27"/>
  <c r="G410" i="27"/>
  <c r="L410" i="27" s="1"/>
  <c r="G409" i="27"/>
  <c r="L409" i="27" s="1"/>
  <c r="G408" i="27"/>
  <c r="L408" i="27" s="1"/>
  <c r="G407" i="27"/>
  <c r="G406" i="27"/>
  <c r="O406" i="27" s="1"/>
  <c r="G405" i="27"/>
  <c r="O405" i="27" s="1"/>
  <c r="G404" i="27"/>
  <c r="L404" i="27" s="1"/>
  <c r="G403" i="27"/>
  <c r="G402" i="27"/>
  <c r="O402" i="27" s="1"/>
  <c r="G401" i="27"/>
  <c r="O401" i="27" s="1"/>
  <c r="G400" i="27"/>
  <c r="L400" i="27" s="1"/>
  <c r="G399" i="27"/>
  <c r="G398" i="27"/>
  <c r="L398" i="27" s="1"/>
  <c r="G397" i="27"/>
  <c r="L397" i="27" s="1"/>
  <c r="G396" i="27"/>
  <c r="O396" i="27" s="1"/>
  <c r="G395" i="27"/>
  <c r="G394" i="27"/>
  <c r="N394" i="27" s="1"/>
  <c r="G393" i="27"/>
  <c r="L393" i="27" s="1"/>
  <c r="G392" i="27"/>
  <c r="L392" i="27" s="1"/>
  <c r="G391" i="27"/>
  <c r="G390" i="27"/>
  <c r="O390" i="27" s="1"/>
  <c r="G389" i="27"/>
  <c r="L389" i="27" s="1"/>
  <c r="G388" i="27"/>
  <c r="G387" i="27"/>
  <c r="L387" i="27" s="1"/>
  <c r="G386" i="27"/>
  <c r="L386" i="27" s="1"/>
  <c r="G385" i="27"/>
  <c r="O385" i="27" s="1"/>
  <c r="G384" i="27"/>
  <c r="G383" i="27"/>
  <c r="G382" i="27"/>
  <c r="L382" i="27" s="1"/>
  <c r="G381" i="27"/>
  <c r="O381" i="27" s="1"/>
  <c r="G380" i="27"/>
  <c r="G379" i="27"/>
  <c r="O379" i="27" s="1"/>
  <c r="G378" i="27"/>
  <c r="L378" i="27" s="1"/>
  <c r="G377" i="27"/>
  <c r="G376" i="27"/>
  <c r="G375" i="27"/>
  <c r="L375" i="27" s="1"/>
  <c r="G374" i="27"/>
  <c r="L374" i="27" s="1"/>
  <c r="G373" i="27"/>
  <c r="G372" i="27"/>
  <c r="O372" i="27" s="1"/>
  <c r="G371" i="27"/>
  <c r="G370" i="27"/>
  <c r="L370" i="27" s="1"/>
  <c r="G369" i="27"/>
  <c r="G368" i="27"/>
  <c r="L368" i="27" s="1"/>
  <c r="G367" i="27"/>
  <c r="G366" i="27"/>
  <c r="G365" i="27"/>
  <c r="L365" i="27" s="1"/>
  <c r="G364" i="27"/>
  <c r="G363" i="27"/>
  <c r="G362" i="27"/>
  <c r="O362" i="27" s="1"/>
  <c r="G361" i="27"/>
  <c r="N361" i="27" s="1"/>
  <c r="G360" i="27"/>
  <c r="G359" i="27"/>
  <c r="O359" i="27" s="1"/>
  <c r="G358" i="27"/>
  <c r="O358" i="27" s="1"/>
  <c r="G357" i="27"/>
  <c r="O357" i="27" s="1"/>
  <c r="G356" i="27"/>
  <c r="G355" i="27"/>
  <c r="L355" i="27" s="1"/>
  <c r="G354" i="27"/>
  <c r="L354" i="27" s="1"/>
  <c r="G353" i="27"/>
  <c r="I353" i="27" s="1"/>
  <c r="Q353" i="27" s="1"/>
  <c r="G352" i="27"/>
  <c r="G351" i="27"/>
  <c r="G350" i="27"/>
  <c r="L350" i="27" s="1"/>
  <c r="G349" i="27"/>
  <c r="O349" i="27" s="1"/>
  <c r="G348" i="27"/>
  <c r="L348" i="27" s="1"/>
  <c r="G347" i="27"/>
  <c r="G346" i="27"/>
  <c r="O346" i="27" s="1"/>
  <c r="G345" i="27"/>
  <c r="L345" i="27" s="1"/>
  <c r="G344" i="27"/>
  <c r="G343" i="27"/>
  <c r="L343" i="27" s="1"/>
  <c r="G342" i="27"/>
  <c r="L342" i="27" s="1"/>
  <c r="G341" i="27"/>
  <c r="G340" i="27"/>
  <c r="L340" i="27" s="1"/>
  <c r="G339" i="27"/>
  <c r="G338" i="27"/>
  <c r="G337" i="27"/>
  <c r="L337" i="27" s="1"/>
  <c r="G336" i="27"/>
  <c r="G335" i="27"/>
  <c r="G334" i="27"/>
  <c r="O334" i="27" s="1"/>
  <c r="G333" i="27"/>
  <c r="O333" i="27" s="1"/>
  <c r="G332" i="27"/>
  <c r="G331" i="27"/>
  <c r="O331" i="27" s="1"/>
  <c r="G330" i="27"/>
  <c r="L330" i="27" s="1"/>
  <c r="G329" i="27"/>
  <c r="N329" i="27" s="1"/>
  <c r="G328" i="27"/>
  <c r="G327" i="27"/>
  <c r="G326" i="27"/>
  <c r="L326" i="27" s="1"/>
  <c r="G325" i="27"/>
  <c r="P325" i="27" s="1"/>
  <c r="G324" i="27"/>
  <c r="L324" i="27" s="1"/>
  <c r="G323" i="27"/>
  <c r="G322" i="27"/>
  <c r="L322" i="27" s="1"/>
  <c r="G321" i="27"/>
  <c r="L321" i="27" s="1"/>
  <c r="G320" i="27"/>
  <c r="G319" i="27"/>
  <c r="G318" i="27"/>
  <c r="L318" i="27" s="1"/>
  <c r="G317" i="27"/>
  <c r="L317" i="27" s="1"/>
  <c r="G316" i="27"/>
  <c r="L316" i="27" s="1"/>
  <c r="G315" i="27"/>
  <c r="G314" i="27"/>
  <c r="G313" i="27"/>
  <c r="L313" i="27" s="1"/>
  <c r="G312" i="27"/>
  <c r="L312" i="27" s="1"/>
  <c r="G311" i="27"/>
  <c r="G310" i="27"/>
  <c r="M310" i="27" s="1"/>
  <c r="G309" i="27"/>
  <c r="G308" i="27"/>
  <c r="O308" i="27" s="1"/>
  <c r="G307" i="27"/>
  <c r="G306" i="27"/>
  <c r="O306" i="27" s="1"/>
  <c r="G305" i="27"/>
  <c r="O305" i="27" s="1"/>
  <c r="G304" i="27"/>
  <c r="L304" i="27" s="1"/>
  <c r="G303" i="27"/>
  <c r="G302" i="27"/>
  <c r="L302" i="27" s="1"/>
  <c r="G301" i="27"/>
  <c r="L301" i="27" s="1"/>
  <c r="G300" i="27"/>
  <c r="L300" i="27" s="1"/>
  <c r="G299" i="27"/>
  <c r="G298" i="27"/>
  <c r="O298" i="27" s="1"/>
  <c r="G297" i="27"/>
  <c r="G296" i="27"/>
  <c r="O296" i="27" s="1"/>
  <c r="G295" i="27"/>
  <c r="L295" i="27" s="1"/>
  <c r="G294" i="27"/>
  <c r="G293" i="27"/>
  <c r="O293" i="27" s="1"/>
  <c r="G292" i="27"/>
  <c r="L292" i="27" s="1"/>
  <c r="G291" i="27"/>
  <c r="O291" i="27" s="1"/>
  <c r="G290" i="27"/>
  <c r="O290" i="27" s="1"/>
  <c r="G289" i="27"/>
  <c r="L289" i="27" s="1"/>
  <c r="G288" i="27"/>
  <c r="L288" i="27" s="1"/>
  <c r="G287" i="27"/>
  <c r="G286" i="27"/>
  <c r="O286" i="27" s="1"/>
  <c r="G285" i="27"/>
  <c r="O285" i="27" s="1"/>
  <c r="G284" i="27"/>
  <c r="G283" i="27"/>
  <c r="G282" i="27"/>
  <c r="O282" i="27" s="1"/>
  <c r="G281" i="27"/>
  <c r="O281" i="27" s="1"/>
  <c r="G280" i="27"/>
  <c r="G279" i="27"/>
  <c r="G278" i="27"/>
  <c r="O278" i="27" s="1"/>
  <c r="G277" i="27"/>
  <c r="G276" i="27"/>
  <c r="G275" i="27"/>
  <c r="G274" i="27"/>
  <c r="G273" i="27"/>
  <c r="O273" i="27" s="1"/>
  <c r="G272" i="27"/>
  <c r="G271" i="27"/>
  <c r="G270" i="27"/>
  <c r="O270" i="27" s="1"/>
  <c r="G269" i="27"/>
  <c r="G268" i="27"/>
  <c r="F435" i="27"/>
  <c r="F434" i="27"/>
  <c r="H434" i="27" s="1"/>
  <c r="F433" i="27"/>
  <c r="H433" i="27" s="1"/>
  <c r="F432" i="27"/>
  <c r="H432" i="27" s="1"/>
  <c r="F431" i="27"/>
  <c r="F430" i="27"/>
  <c r="H430" i="27" s="1"/>
  <c r="F429" i="27"/>
  <c r="H429" i="27" s="1"/>
  <c r="F428" i="27"/>
  <c r="K428" i="27" s="1"/>
  <c r="F427" i="27"/>
  <c r="F426" i="27"/>
  <c r="H426" i="27" s="1"/>
  <c r="F425" i="27"/>
  <c r="H425" i="27" s="1"/>
  <c r="F424" i="27"/>
  <c r="H424" i="27" s="1"/>
  <c r="F423" i="27"/>
  <c r="F422" i="27"/>
  <c r="H422" i="27" s="1"/>
  <c r="F421" i="27"/>
  <c r="H421" i="27" s="1"/>
  <c r="F420" i="27"/>
  <c r="H420" i="27" s="1"/>
  <c r="F419" i="27"/>
  <c r="F418" i="27"/>
  <c r="H418" i="27" s="1"/>
  <c r="F417" i="27"/>
  <c r="H417" i="27" s="1"/>
  <c r="F416" i="27"/>
  <c r="H416" i="27" s="1"/>
  <c r="F415" i="27"/>
  <c r="F414" i="27"/>
  <c r="F413" i="27"/>
  <c r="H413" i="27" s="1"/>
  <c r="F412" i="27"/>
  <c r="H412" i="27" s="1"/>
  <c r="F411" i="27"/>
  <c r="F410" i="27"/>
  <c r="F409" i="27"/>
  <c r="H409" i="27" s="1"/>
  <c r="F408" i="27"/>
  <c r="H408" i="27" s="1"/>
  <c r="I419" i="27"/>
  <c r="Q419" i="27" s="1"/>
  <c r="J418" i="27"/>
  <c r="F407" i="27"/>
  <c r="H407" i="27" s="1"/>
  <c r="F406" i="27"/>
  <c r="K406" i="27" s="1"/>
  <c r="F405" i="27"/>
  <c r="F404" i="27"/>
  <c r="H404" i="27" s="1"/>
  <c r="F403" i="27"/>
  <c r="H403" i="27" s="1"/>
  <c r="F402" i="27"/>
  <c r="F401" i="27"/>
  <c r="F400" i="27"/>
  <c r="K400" i="27" s="1"/>
  <c r="F399" i="27"/>
  <c r="H399" i="27" s="1"/>
  <c r="F398" i="27"/>
  <c r="F397" i="27"/>
  <c r="F396" i="27"/>
  <c r="K396" i="27" s="1"/>
  <c r="F395" i="27"/>
  <c r="H395" i="27" s="1"/>
  <c r="F394" i="27"/>
  <c r="J394" i="27" s="1"/>
  <c r="F393" i="27"/>
  <c r="H393" i="27" s="1"/>
  <c r="F392" i="27"/>
  <c r="H392" i="27" s="1"/>
  <c r="F391" i="27"/>
  <c r="K391" i="27" s="1"/>
  <c r="F390" i="27"/>
  <c r="H390" i="27" s="1"/>
  <c r="F389" i="27"/>
  <c r="F388" i="27"/>
  <c r="H388" i="27" s="1"/>
  <c r="F387" i="27"/>
  <c r="H387" i="27" s="1"/>
  <c r="F386" i="27"/>
  <c r="F385" i="27"/>
  <c r="F384" i="27"/>
  <c r="H384" i="27" s="1"/>
  <c r="F383" i="27"/>
  <c r="F382" i="27"/>
  <c r="F381" i="27"/>
  <c r="F380" i="27"/>
  <c r="H380" i="27" s="1"/>
  <c r="F379" i="27"/>
  <c r="F378" i="27"/>
  <c r="F377" i="27"/>
  <c r="H377" i="27" s="1"/>
  <c r="F376" i="27"/>
  <c r="H376" i="27" s="1"/>
  <c r="F375" i="27"/>
  <c r="F374" i="27"/>
  <c r="F373" i="27"/>
  <c r="F372" i="27"/>
  <c r="H372" i="27" s="1"/>
  <c r="F371" i="27"/>
  <c r="F370" i="27"/>
  <c r="F369" i="27"/>
  <c r="F368" i="27"/>
  <c r="H368" i="27" s="1"/>
  <c r="F367" i="27"/>
  <c r="H367" i="27" s="1"/>
  <c r="F366" i="27"/>
  <c r="F365" i="27"/>
  <c r="H365" i="27" s="1"/>
  <c r="F364" i="27"/>
  <c r="H364" i="27" s="1"/>
  <c r="F363" i="27"/>
  <c r="F362" i="27"/>
  <c r="H362" i="27" s="1"/>
  <c r="F361" i="27"/>
  <c r="H361" i="27" s="1"/>
  <c r="F360" i="27"/>
  <c r="H360" i="27" s="1"/>
  <c r="F359" i="27"/>
  <c r="F358" i="27"/>
  <c r="H358" i="27" s="1"/>
  <c r="F357" i="27"/>
  <c r="H357" i="27" s="1"/>
  <c r="F356" i="27"/>
  <c r="H356" i="27" s="1"/>
  <c r="F355" i="27"/>
  <c r="F354" i="27"/>
  <c r="H354" i="27" s="1"/>
  <c r="F353" i="27"/>
  <c r="H353" i="27" s="1"/>
  <c r="F352" i="27"/>
  <c r="H352" i="27" s="1"/>
  <c r="F351" i="27"/>
  <c r="H351" i="27" s="1"/>
  <c r="F350" i="27"/>
  <c r="F349" i="27"/>
  <c r="H349" i="27" s="1"/>
  <c r="F348" i="27"/>
  <c r="H348" i="27" s="1"/>
  <c r="F347" i="27"/>
  <c r="H347" i="27" s="1"/>
  <c r="F346" i="27"/>
  <c r="J346" i="27" s="1"/>
  <c r="F345" i="27"/>
  <c r="H345" i="27" s="1"/>
  <c r="F344" i="27"/>
  <c r="H344" i="27" s="1"/>
  <c r="F343" i="27"/>
  <c r="F342" i="27"/>
  <c r="K342" i="27" s="1"/>
  <c r="F341" i="27"/>
  <c r="H341" i="27" s="1"/>
  <c r="F340" i="27"/>
  <c r="J340" i="27" s="1"/>
  <c r="F339" i="27"/>
  <c r="F338" i="27"/>
  <c r="F337" i="27"/>
  <c r="H337" i="27" s="1"/>
  <c r="F336" i="27"/>
  <c r="F335" i="27"/>
  <c r="F334" i="27"/>
  <c r="H334" i="27" s="1"/>
  <c r="F333" i="27"/>
  <c r="H333" i="27" s="1"/>
  <c r="F332" i="27"/>
  <c r="F331" i="27"/>
  <c r="F330" i="27"/>
  <c r="F329" i="27"/>
  <c r="H329" i="27" s="1"/>
  <c r="F328" i="27"/>
  <c r="F327" i="27"/>
  <c r="H327" i="27" s="1"/>
  <c r="F326" i="27"/>
  <c r="F325" i="27"/>
  <c r="H325" i="27" s="1"/>
  <c r="F324" i="27"/>
  <c r="H324" i="27" s="1"/>
  <c r="F323" i="27"/>
  <c r="F322" i="27"/>
  <c r="H322" i="27" s="1"/>
  <c r="F321" i="27"/>
  <c r="F320" i="27"/>
  <c r="H320" i="27" s="1"/>
  <c r="F319" i="27"/>
  <c r="F318" i="27"/>
  <c r="H318" i="27" s="1"/>
  <c r="F317" i="27"/>
  <c r="F316" i="27"/>
  <c r="K316" i="27" s="1"/>
  <c r="F315" i="27"/>
  <c r="F314" i="27"/>
  <c r="H314" i="27" s="1"/>
  <c r="F313" i="27"/>
  <c r="F312" i="27"/>
  <c r="H312" i="27" s="1"/>
  <c r="F311" i="27"/>
  <c r="F310" i="27"/>
  <c r="H310" i="27" s="1"/>
  <c r="F309" i="27"/>
  <c r="F308" i="27"/>
  <c r="P308" i="27" s="1"/>
  <c r="F307" i="27"/>
  <c r="F306" i="27"/>
  <c r="H306" i="27" s="1"/>
  <c r="F305" i="27"/>
  <c r="F304" i="27"/>
  <c r="H304" i="27" s="1"/>
  <c r="F303" i="27"/>
  <c r="F302" i="27"/>
  <c r="F301" i="27"/>
  <c r="F300" i="27"/>
  <c r="H300" i="27" s="1"/>
  <c r="F299" i="27"/>
  <c r="F298" i="27"/>
  <c r="H298" i="27" s="1"/>
  <c r="F297" i="27"/>
  <c r="F296" i="27"/>
  <c r="J296" i="27" s="1"/>
  <c r="L285" i="27"/>
  <c r="L290" i="27"/>
  <c r="O295" i="27"/>
  <c r="O297" i="27"/>
  <c r="O300" i="27"/>
  <c r="J304" i="27"/>
  <c r="O304" i="27"/>
  <c r="L308" i="27"/>
  <c r="O309" i="27"/>
  <c r="K310" i="27"/>
  <c r="I314" i="27"/>
  <c r="Q314" i="27" s="1"/>
  <c r="M314" i="27"/>
  <c r="M315" i="27"/>
  <c r="J318" i="27"/>
  <c r="O318" i="27"/>
  <c r="K322" i="27"/>
  <c r="L323" i="27"/>
  <c r="I325" i="27"/>
  <c r="Q325" i="27" s="1"/>
  <c r="K325" i="27"/>
  <c r="L325" i="27"/>
  <c r="M325" i="27"/>
  <c r="O325" i="27"/>
  <c r="J327" i="27"/>
  <c r="L327" i="27"/>
  <c r="I329" i="27"/>
  <c r="Q329" i="27" s="1"/>
  <c r="J329" i="27"/>
  <c r="K329" i="27"/>
  <c r="L329" i="27"/>
  <c r="M329" i="27"/>
  <c r="O329" i="27"/>
  <c r="K331" i="27"/>
  <c r="I333" i="27"/>
  <c r="Q333" i="27" s="1"/>
  <c r="J333" i="27"/>
  <c r="L333" i="27"/>
  <c r="M333" i="27"/>
  <c r="N333" i="27"/>
  <c r="P333" i="27"/>
  <c r="I337" i="27"/>
  <c r="Q337" i="27" s="1"/>
  <c r="J337" i="27"/>
  <c r="M337" i="27"/>
  <c r="N337" i="27"/>
  <c r="O337" i="27"/>
  <c r="O338" i="27"/>
  <c r="I341" i="27"/>
  <c r="Q341" i="27" s="1"/>
  <c r="J341" i="27"/>
  <c r="K341" i="27"/>
  <c r="L341" i="27"/>
  <c r="M341" i="27"/>
  <c r="P341" i="27"/>
  <c r="K343" i="27"/>
  <c r="I345" i="27"/>
  <c r="Q345" i="27" s="1"/>
  <c r="K345" i="27"/>
  <c r="M345" i="27"/>
  <c r="N346" i="27"/>
  <c r="I349" i="27"/>
  <c r="Q349" i="27" s="1"/>
  <c r="J349" i="27"/>
  <c r="M349" i="27"/>
  <c r="I350" i="27"/>
  <c r="Q350" i="27" s="1"/>
  <c r="J351" i="27"/>
  <c r="L352" i="27"/>
  <c r="K353" i="27"/>
  <c r="L353" i="27"/>
  <c r="M353" i="27"/>
  <c r="P353" i="27"/>
  <c r="I357" i="27"/>
  <c r="Q357" i="27" s="1"/>
  <c r="J357" i="27"/>
  <c r="L357" i="27"/>
  <c r="M357" i="27"/>
  <c r="N357" i="27"/>
  <c r="P357" i="27"/>
  <c r="I361" i="27"/>
  <c r="Q361" i="27" s="1"/>
  <c r="J361" i="27"/>
  <c r="K361" i="27"/>
  <c r="L361" i="27"/>
  <c r="M361" i="27"/>
  <c r="O361" i="27"/>
  <c r="I365" i="27"/>
  <c r="Q365" i="27" s="1"/>
  <c r="K365" i="27"/>
  <c r="M365" i="27"/>
  <c r="O365" i="27"/>
  <c r="P365" i="27"/>
  <c r="O369" i="27"/>
  <c r="J371" i="27"/>
  <c r="L372" i="27"/>
  <c r="J373" i="27"/>
  <c r="L373" i="27"/>
  <c r="M373" i="27"/>
  <c r="M375" i="27"/>
  <c r="J377" i="27"/>
  <c r="K377" i="27"/>
  <c r="L377" i="27"/>
  <c r="M379" i="27"/>
  <c r="K381" i="27"/>
  <c r="L383" i="27"/>
  <c r="M385" i="27"/>
  <c r="O387" i="27"/>
  <c r="O388" i="27"/>
  <c r="L391" i="27"/>
  <c r="O391" i="27"/>
  <c r="J392" i="27"/>
  <c r="J393" i="27"/>
  <c r="L394" i="27"/>
  <c r="O394" i="27"/>
  <c r="J395" i="27"/>
  <c r="L395" i="27"/>
  <c r="O395" i="27"/>
  <c r="J397" i="27"/>
  <c r="K397" i="27"/>
  <c r="O398" i="27"/>
  <c r="I399" i="27"/>
  <c r="Q399" i="27" s="1"/>
  <c r="L399" i="27"/>
  <c r="M399" i="27"/>
  <c r="O399" i="27"/>
  <c r="J401" i="27"/>
  <c r="K401" i="27"/>
  <c r="L402" i="27"/>
  <c r="P402" i="27"/>
  <c r="L403" i="27"/>
  <c r="O403" i="27"/>
  <c r="K405" i="27"/>
  <c r="L406" i="27"/>
  <c r="K407" i="27"/>
  <c r="L407" i="27"/>
  <c r="O407" i="27"/>
  <c r="K408" i="27"/>
  <c r="P408" i="27"/>
  <c r="J409" i="27"/>
  <c r="K409" i="27"/>
  <c r="L411" i="27"/>
  <c r="O411" i="27"/>
  <c r="J412" i="27"/>
  <c r="M412" i="27"/>
  <c r="J413" i="27"/>
  <c r="K413" i="27"/>
  <c r="L415" i="27"/>
  <c r="O415" i="27"/>
  <c r="J416" i="27"/>
  <c r="N416" i="27"/>
  <c r="J417" i="27"/>
  <c r="K417" i="27"/>
  <c r="L419" i="27"/>
  <c r="O419" i="27"/>
  <c r="J420" i="27"/>
  <c r="O420" i="27"/>
  <c r="J421" i="27"/>
  <c r="K421" i="27"/>
  <c r="L422" i="27"/>
  <c r="P422" i="27"/>
  <c r="L423" i="27"/>
  <c r="O423" i="27"/>
  <c r="I425" i="27"/>
  <c r="Q425" i="27" s="1"/>
  <c r="K425" i="27"/>
  <c r="M425" i="27"/>
  <c r="I426" i="27"/>
  <c r="Q426" i="27" s="1"/>
  <c r="M426" i="27"/>
  <c r="L427" i="27"/>
  <c r="O427" i="27"/>
  <c r="J429" i="27"/>
  <c r="K429" i="27"/>
  <c r="O429" i="27"/>
  <c r="L430" i="27"/>
  <c r="L431" i="27"/>
  <c r="N431" i="27"/>
  <c r="O431" i="27"/>
  <c r="J433" i="27"/>
  <c r="O433" i="27"/>
  <c r="L435" i="27"/>
  <c r="O435" i="27"/>
  <c r="G127" i="27"/>
  <c r="F127" i="27"/>
  <c r="H127" i="27" s="1"/>
  <c r="G126" i="27"/>
  <c r="F126" i="27"/>
  <c r="H126" i="27" s="1"/>
  <c r="G125" i="27"/>
  <c r="F125" i="27"/>
  <c r="H125" i="27" s="1"/>
  <c r="G124" i="27"/>
  <c r="F124" i="27"/>
  <c r="H124" i="27" s="1"/>
  <c r="G123" i="27"/>
  <c r="F123" i="27"/>
  <c r="H123" i="27" s="1"/>
  <c r="G122" i="27"/>
  <c r="F122" i="27"/>
  <c r="H122" i="27" s="1"/>
  <c r="G121" i="27"/>
  <c r="F121" i="27"/>
  <c r="H121" i="27" s="1"/>
  <c r="G120" i="27"/>
  <c r="F120" i="27"/>
  <c r="H120" i="27" s="1"/>
  <c r="G119" i="27"/>
  <c r="F119" i="27"/>
  <c r="H119" i="27" s="1"/>
  <c r="G118" i="27"/>
  <c r="F118" i="27"/>
  <c r="H118" i="27" s="1"/>
  <c r="G117" i="27"/>
  <c r="F117" i="27"/>
  <c r="H117" i="27" s="1"/>
  <c r="G116" i="27"/>
  <c r="F116" i="27"/>
  <c r="H116" i="27" s="1"/>
  <c r="G115" i="27"/>
  <c r="F115" i="27"/>
  <c r="H115" i="27" s="1"/>
  <c r="G114" i="27"/>
  <c r="F114" i="27"/>
  <c r="G113" i="27"/>
  <c r="F113" i="27"/>
  <c r="H113" i="27" s="1"/>
  <c r="G112" i="27"/>
  <c r="F112" i="27"/>
  <c r="H112" i="27" s="1"/>
  <c r="G111" i="27"/>
  <c r="F111" i="27"/>
  <c r="H111" i="27" s="1"/>
  <c r="G110" i="27"/>
  <c r="F110" i="27"/>
  <c r="H110" i="27" s="1"/>
  <c r="G109" i="27"/>
  <c r="F109" i="27"/>
  <c r="H109" i="27" s="1"/>
  <c r="G108" i="27"/>
  <c r="F108" i="27"/>
  <c r="H108" i="27" s="1"/>
  <c r="G107" i="27"/>
  <c r="F107" i="27"/>
  <c r="H107" i="27" s="1"/>
  <c r="G106" i="27"/>
  <c r="F106" i="27"/>
  <c r="H106" i="27" s="1"/>
  <c r="G105" i="27"/>
  <c r="F105" i="27"/>
  <c r="H105" i="27" s="1"/>
  <c r="G104" i="27"/>
  <c r="F104" i="27"/>
  <c r="H104" i="27" s="1"/>
  <c r="G103" i="27"/>
  <c r="F103" i="27"/>
  <c r="H103" i="27" s="1"/>
  <c r="G102" i="27"/>
  <c r="F102" i="27"/>
  <c r="H102" i="27" s="1"/>
  <c r="G101" i="27"/>
  <c r="F101" i="27"/>
  <c r="H101" i="27" s="1"/>
  <c r="G100" i="27"/>
  <c r="F100" i="27"/>
  <c r="H100" i="27" s="1"/>
  <c r="G99" i="27"/>
  <c r="F99" i="27"/>
  <c r="G98" i="27"/>
  <c r="F98" i="27"/>
  <c r="G97" i="27"/>
  <c r="F97" i="27"/>
  <c r="G96" i="27"/>
  <c r="F96" i="27"/>
  <c r="G95" i="27"/>
  <c r="F95" i="27"/>
  <c r="G94" i="27"/>
  <c r="F94" i="27"/>
  <c r="G93" i="27"/>
  <c r="F93" i="27"/>
  <c r="G92" i="27"/>
  <c r="F92" i="27"/>
  <c r="G91" i="27"/>
  <c r="F91" i="27"/>
  <c r="G90" i="27"/>
  <c r="F90" i="27"/>
  <c r="G89" i="27"/>
  <c r="F89" i="27"/>
  <c r="G88" i="27"/>
  <c r="F88" i="27"/>
  <c r="G87" i="27"/>
  <c r="F87" i="27"/>
  <c r="G86" i="27"/>
  <c r="F86" i="27"/>
  <c r="G85" i="27"/>
  <c r="F85" i="27"/>
  <c r="H85" i="27" s="1"/>
  <c r="G84" i="27"/>
  <c r="F84" i="27"/>
  <c r="H84" i="27" s="1"/>
  <c r="G83" i="27"/>
  <c r="F83" i="27"/>
  <c r="H83" i="27" s="1"/>
  <c r="G82" i="27"/>
  <c r="F82" i="27"/>
  <c r="H82" i="27" s="1"/>
  <c r="G81" i="27"/>
  <c r="F81" i="27"/>
  <c r="H81" i="27" s="1"/>
  <c r="G80" i="27"/>
  <c r="F80" i="27"/>
  <c r="H80" i="27" s="1"/>
  <c r="G79" i="27"/>
  <c r="F79" i="27"/>
  <c r="H79" i="27" s="1"/>
  <c r="G78" i="27"/>
  <c r="F78" i="27"/>
  <c r="H78" i="27" s="1"/>
  <c r="G77" i="27"/>
  <c r="F77" i="27"/>
  <c r="H77" i="27" s="1"/>
  <c r="G76" i="27"/>
  <c r="F76" i="27"/>
  <c r="H76" i="27" s="1"/>
  <c r="G75" i="27"/>
  <c r="F75" i="27"/>
  <c r="H75" i="27" s="1"/>
  <c r="G74" i="27"/>
  <c r="F74" i="27"/>
  <c r="H74" i="27" s="1"/>
  <c r="G73" i="27"/>
  <c r="F73" i="27"/>
  <c r="H73" i="27" s="1"/>
  <c r="G72" i="27"/>
  <c r="F72" i="27"/>
  <c r="H72" i="27" s="1"/>
  <c r="G71" i="27"/>
  <c r="F71" i="27"/>
  <c r="H71" i="27" s="1"/>
  <c r="G70" i="27"/>
  <c r="F70" i="27"/>
  <c r="H70" i="27" s="1"/>
  <c r="G69" i="27"/>
  <c r="F69" i="27"/>
  <c r="H69" i="27" s="1"/>
  <c r="G68" i="27"/>
  <c r="F68" i="27"/>
  <c r="H68" i="27" s="1"/>
  <c r="G67" i="27"/>
  <c r="F67" i="27"/>
  <c r="H67" i="27" s="1"/>
  <c r="G66" i="27"/>
  <c r="F66" i="27"/>
  <c r="H66" i="27" s="1"/>
  <c r="G65" i="27"/>
  <c r="F65" i="27"/>
  <c r="H65" i="27" s="1"/>
  <c r="G64" i="27"/>
  <c r="F64" i="27"/>
  <c r="H64" i="27" s="1"/>
  <c r="G63" i="27"/>
  <c r="F63" i="27"/>
  <c r="H63" i="27" s="1"/>
  <c r="G62" i="27"/>
  <c r="F62" i="27"/>
  <c r="H62" i="27" s="1"/>
  <c r="G61" i="27"/>
  <c r="F61" i="27"/>
  <c r="H61" i="27" s="1"/>
  <c r="G60" i="27"/>
  <c r="F60" i="27"/>
  <c r="H60" i="27" s="1"/>
  <c r="G59" i="27"/>
  <c r="F59" i="27"/>
  <c r="H59" i="27" s="1"/>
  <c r="G58" i="27"/>
  <c r="F58" i="27"/>
  <c r="G57" i="27"/>
  <c r="F57" i="27"/>
  <c r="H57" i="27" s="1"/>
  <c r="G56" i="27"/>
  <c r="F56" i="27"/>
  <c r="H56" i="27" s="1"/>
  <c r="G55" i="27"/>
  <c r="F55" i="27"/>
  <c r="H55" i="27" s="1"/>
  <c r="G54" i="27"/>
  <c r="F54" i="27"/>
  <c r="H54" i="27" s="1"/>
  <c r="G53" i="27"/>
  <c r="F53" i="27"/>
  <c r="H53" i="27" s="1"/>
  <c r="G52" i="27"/>
  <c r="F52" i="27"/>
  <c r="H52" i="27" s="1"/>
  <c r="G51" i="27"/>
  <c r="F51" i="27"/>
  <c r="H51" i="27" s="1"/>
  <c r="G50" i="27"/>
  <c r="F50" i="27"/>
  <c r="H50" i="27" s="1"/>
  <c r="G49" i="27"/>
  <c r="F49" i="27"/>
  <c r="H49" i="27" s="1"/>
  <c r="G48" i="27"/>
  <c r="F48" i="27"/>
  <c r="H48" i="27" s="1"/>
  <c r="G47" i="27"/>
  <c r="F47" i="27"/>
  <c r="H47" i="27" s="1"/>
  <c r="G46" i="27"/>
  <c r="F46" i="27"/>
  <c r="H46" i="27" s="1"/>
  <c r="G45" i="27"/>
  <c r="F45" i="27"/>
  <c r="H45" i="27" s="1"/>
  <c r="G44" i="27"/>
  <c r="F44" i="27"/>
  <c r="H44" i="27" s="1"/>
  <c r="G43" i="27"/>
  <c r="F43" i="27"/>
  <c r="H43" i="27" s="1"/>
  <c r="G42" i="27"/>
  <c r="F42" i="27"/>
  <c r="H42" i="27" s="1"/>
  <c r="G41" i="27"/>
  <c r="F41" i="27"/>
  <c r="H41" i="27" s="1"/>
  <c r="G40" i="27"/>
  <c r="F40" i="27"/>
  <c r="H40" i="27" s="1"/>
  <c r="G39" i="27"/>
  <c r="F39" i="27"/>
  <c r="H39" i="27" s="1"/>
  <c r="G38" i="27"/>
  <c r="F38" i="27"/>
  <c r="H38" i="27" s="1"/>
  <c r="G37" i="27"/>
  <c r="F37" i="27"/>
  <c r="H37" i="27" s="1"/>
  <c r="G36" i="27"/>
  <c r="F36" i="27"/>
  <c r="H36" i="27" s="1"/>
  <c r="G35" i="27"/>
  <c r="F35" i="27"/>
  <c r="H35" i="27" s="1"/>
  <c r="G34" i="27"/>
  <c r="F34" i="27"/>
  <c r="H34" i="27" s="1"/>
  <c r="G33" i="27"/>
  <c r="F33" i="27"/>
  <c r="H33" i="27" s="1"/>
  <c r="G32" i="27"/>
  <c r="F32" i="27"/>
  <c r="H32" i="27" s="1"/>
  <c r="G31" i="27"/>
  <c r="F31" i="27"/>
  <c r="H31" i="27" s="1"/>
  <c r="G30" i="27"/>
  <c r="F30" i="27"/>
  <c r="G29" i="27"/>
  <c r="F29" i="27"/>
  <c r="G28" i="27"/>
  <c r="F28" i="27"/>
  <c r="G27" i="27"/>
  <c r="F27" i="27"/>
  <c r="G26" i="27"/>
  <c r="F26" i="27"/>
  <c r="G25" i="27"/>
  <c r="F25" i="27"/>
  <c r="G24" i="27"/>
  <c r="F24" i="27"/>
  <c r="G23" i="27"/>
  <c r="F23" i="27"/>
  <c r="G22" i="27"/>
  <c r="F22" i="27"/>
  <c r="G21" i="27"/>
  <c r="F21" i="27"/>
  <c r="G20" i="27"/>
  <c r="F20" i="27"/>
  <c r="G19" i="27"/>
  <c r="F19" i="27"/>
  <c r="G18" i="27"/>
  <c r="F18" i="27"/>
  <c r="G17" i="27"/>
  <c r="F17" i="27"/>
  <c r="G16" i="27"/>
  <c r="F16" i="27"/>
  <c r="G15" i="27"/>
  <c r="F15" i="27"/>
  <c r="G14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G3" i="27"/>
  <c r="F3" i="27"/>
  <c r="G2" i="27"/>
  <c r="F2" i="27"/>
  <c r="L278" i="27"/>
  <c r="L275" i="27"/>
  <c r="G267" i="27"/>
  <c r="L267" i="27" s="1"/>
  <c r="G266" i="27"/>
  <c r="G265" i="27"/>
  <c r="L265" i="27" s="1"/>
  <c r="G264" i="27"/>
  <c r="L264" i="27" s="1"/>
  <c r="G263" i="27"/>
  <c r="G262" i="27"/>
  <c r="O262" i="27" s="1"/>
  <c r="G261" i="27"/>
  <c r="L261" i="27" s="1"/>
  <c r="G260" i="27"/>
  <c r="G259" i="27"/>
  <c r="G258" i="27"/>
  <c r="G257" i="27"/>
  <c r="G256" i="27"/>
  <c r="G255" i="27"/>
  <c r="G254" i="27"/>
  <c r="G253" i="27"/>
  <c r="G252" i="27"/>
  <c r="G251" i="27"/>
  <c r="L251" i="27" s="1"/>
  <c r="G250" i="27"/>
  <c r="L250" i="27" s="1"/>
  <c r="G249" i="27"/>
  <c r="G248" i="27"/>
  <c r="G247" i="27"/>
  <c r="G246" i="27"/>
  <c r="O246" i="27" s="1"/>
  <c r="G245" i="27"/>
  <c r="L245" i="27" s="1"/>
  <c r="G244" i="27"/>
  <c r="G243" i="27"/>
  <c r="G242" i="27"/>
  <c r="G241" i="27"/>
  <c r="G240" i="27"/>
  <c r="G239" i="27"/>
  <c r="G238" i="27"/>
  <c r="L238" i="27" s="1"/>
  <c r="G237" i="27"/>
  <c r="G236" i="27"/>
  <c r="G235" i="27"/>
  <c r="L235" i="27" s="1"/>
  <c r="G234" i="27"/>
  <c r="L234" i="27" s="1"/>
  <c r="G233" i="27"/>
  <c r="G232" i="27"/>
  <c r="G231" i="27"/>
  <c r="G230" i="27"/>
  <c r="G229" i="27"/>
  <c r="G228" i="27"/>
  <c r="L228" i="27" s="1"/>
  <c r="G227" i="27"/>
  <c r="G226" i="27"/>
  <c r="O226" i="27" s="1"/>
  <c r="G225" i="27"/>
  <c r="O225" i="27" s="1"/>
  <c r="G224" i="27"/>
  <c r="G223" i="27"/>
  <c r="G222" i="27"/>
  <c r="L222" i="27" s="1"/>
  <c r="G221" i="27"/>
  <c r="G220" i="27"/>
  <c r="O220" i="27" s="1"/>
  <c r="G219" i="27"/>
  <c r="G218" i="27"/>
  <c r="G217" i="27"/>
  <c r="L217" i="27" s="1"/>
  <c r="G216" i="27"/>
  <c r="G215" i="27"/>
  <c r="G214" i="27"/>
  <c r="G213" i="27"/>
  <c r="G212" i="27"/>
  <c r="G211" i="27"/>
  <c r="G210" i="27"/>
  <c r="G209" i="27"/>
  <c r="G208" i="27"/>
  <c r="G207" i="27"/>
  <c r="L207" i="27" s="1"/>
  <c r="G206" i="27"/>
  <c r="L206" i="27" s="1"/>
  <c r="G205" i="27"/>
  <c r="O205" i="27" s="1"/>
  <c r="G204" i="27"/>
  <c r="G203" i="27"/>
  <c r="G202" i="27"/>
  <c r="O202" i="27" s="1"/>
  <c r="G201" i="27"/>
  <c r="O201" i="27" s="1"/>
  <c r="G200" i="27"/>
  <c r="G199" i="27"/>
  <c r="G198" i="27"/>
  <c r="G197" i="27"/>
  <c r="G196" i="27"/>
  <c r="G195" i="27"/>
  <c r="G194" i="27"/>
  <c r="O194" i="27" s="1"/>
  <c r="G193" i="27"/>
  <c r="G192" i="27"/>
  <c r="G191" i="27"/>
  <c r="G190" i="27"/>
  <c r="G189" i="27"/>
  <c r="O189" i="27" s="1"/>
  <c r="G188" i="27"/>
  <c r="G187" i="27"/>
  <c r="G186" i="27"/>
  <c r="G185" i="27"/>
  <c r="G184" i="27"/>
  <c r="G183" i="27"/>
  <c r="G182" i="27"/>
  <c r="G181" i="27"/>
  <c r="G180" i="27"/>
  <c r="G179" i="27"/>
  <c r="G178" i="27"/>
  <c r="G177" i="27"/>
  <c r="G176" i="27"/>
  <c r="G175" i="27"/>
  <c r="G174" i="27"/>
  <c r="G173" i="27"/>
  <c r="G172" i="27"/>
  <c r="G171" i="27"/>
  <c r="G170" i="27"/>
  <c r="G169" i="27"/>
  <c r="G168" i="27"/>
  <c r="G167" i="27"/>
  <c r="G166" i="27"/>
  <c r="G165" i="27"/>
  <c r="G164" i="27"/>
  <c r="G163" i="27"/>
  <c r="G162" i="27"/>
  <c r="G161" i="27"/>
  <c r="G160" i="27"/>
  <c r="G159" i="27"/>
  <c r="G158" i="27"/>
  <c r="G157" i="27"/>
  <c r="G156" i="27"/>
  <c r="G155" i="27"/>
  <c r="G154" i="27"/>
  <c r="G153" i="27"/>
  <c r="G152" i="27"/>
  <c r="G151" i="27"/>
  <c r="G150" i="27"/>
  <c r="G149" i="27"/>
  <c r="G148" i="27"/>
  <c r="G147" i="27"/>
  <c r="G146" i="27"/>
  <c r="O146" i="27" s="1"/>
  <c r="G145" i="27"/>
  <c r="G144" i="27"/>
  <c r="G143" i="27"/>
  <c r="G142" i="27"/>
  <c r="G141" i="27"/>
  <c r="G140" i="27"/>
  <c r="G139" i="27"/>
  <c r="G138" i="27"/>
  <c r="G137" i="27"/>
  <c r="G136" i="27"/>
  <c r="G135" i="27"/>
  <c r="G134" i="27"/>
  <c r="G133" i="27"/>
  <c r="G132" i="27"/>
  <c r="G131" i="27"/>
  <c r="G130" i="27"/>
  <c r="G129" i="27"/>
  <c r="G128" i="27"/>
  <c r="L128" i="27" s="1"/>
  <c r="F295" i="27"/>
  <c r="F294" i="27"/>
  <c r="H294" i="27" s="1"/>
  <c r="F293" i="27"/>
  <c r="F292" i="27"/>
  <c r="H292" i="27" s="1"/>
  <c r="F291" i="27"/>
  <c r="F290" i="27"/>
  <c r="F289" i="27"/>
  <c r="H289" i="27" s="1"/>
  <c r="F288" i="27"/>
  <c r="H288" i="27" s="1"/>
  <c r="F287" i="27"/>
  <c r="F286" i="27"/>
  <c r="H286" i="27" s="1"/>
  <c r="F285" i="27"/>
  <c r="F284" i="27"/>
  <c r="H284" i="27" s="1"/>
  <c r="F283" i="27"/>
  <c r="H283" i="27" s="1"/>
  <c r="F282" i="27"/>
  <c r="F281" i="27"/>
  <c r="H281" i="27" s="1"/>
  <c r="F280" i="27"/>
  <c r="H280" i="27" s="1"/>
  <c r="F279" i="27"/>
  <c r="F278" i="27"/>
  <c r="H278" i="27" s="1"/>
  <c r="F277" i="27"/>
  <c r="F276" i="27"/>
  <c r="J276" i="27" s="1"/>
  <c r="F275" i="27"/>
  <c r="H275" i="27" s="1"/>
  <c r="F274" i="27"/>
  <c r="F273" i="27"/>
  <c r="H273" i="27" s="1"/>
  <c r="F272" i="27"/>
  <c r="H272" i="27" s="1"/>
  <c r="F271" i="27"/>
  <c r="F270" i="27"/>
  <c r="H270" i="27" s="1"/>
  <c r="F269" i="27"/>
  <c r="F268" i="27"/>
  <c r="H268" i="27" s="1"/>
  <c r="F267" i="27"/>
  <c r="H267" i="27" s="1"/>
  <c r="F266" i="27"/>
  <c r="F265" i="27"/>
  <c r="H265" i="27" s="1"/>
  <c r="F264" i="27"/>
  <c r="H264" i="27" s="1"/>
  <c r="F263" i="27"/>
  <c r="H263" i="27" s="1"/>
  <c r="F262" i="27"/>
  <c r="F261" i="27"/>
  <c r="H261" i="27" s="1"/>
  <c r="F260" i="27"/>
  <c r="H260" i="27" s="1"/>
  <c r="F259" i="27"/>
  <c r="H259" i="27" s="1"/>
  <c r="F258" i="27"/>
  <c r="H258" i="27" s="1"/>
  <c r="F257" i="27"/>
  <c r="F256" i="27"/>
  <c r="H256" i="27" s="1"/>
  <c r="F255" i="27"/>
  <c r="H255" i="27" s="1"/>
  <c r="F254" i="27"/>
  <c r="F253" i="27"/>
  <c r="H253" i="27" s="1"/>
  <c r="F252" i="27"/>
  <c r="F251" i="27"/>
  <c r="H251" i="27" s="1"/>
  <c r="F250" i="27"/>
  <c r="F249" i="27"/>
  <c r="H249" i="27" s="1"/>
  <c r="F248" i="27"/>
  <c r="H248" i="27" s="1"/>
  <c r="F247" i="27"/>
  <c r="H247" i="27" s="1"/>
  <c r="F246" i="27"/>
  <c r="F245" i="27"/>
  <c r="H245" i="27" s="1"/>
  <c r="F244" i="27"/>
  <c r="H244" i="27" s="1"/>
  <c r="F243" i="27"/>
  <c r="H243" i="27" s="1"/>
  <c r="F242" i="27"/>
  <c r="H242" i="27" s="1"/>
  <c r="F241" i="27"/>
  <c r="F240" i="27"/>
  <c r="H240" i="27" s="1"/>
  <c r="F239" i="27"/>
  <c r="H239" i="27" s="1"/>
  <c r="F238" i="27"/>
  <c r="H238" i="27" s="1"/>
  <c r="F237" i="27"/>
  <c r="H237" i="27" s="1"/>
  <c r="F236" i="27"/>
  <c r="H236" i="27" s="1"/>
  <c r="F235" i="27"/>
  <c r="H235" i="27" s="1"/>
  <c r="F234" i="27"/>
  <c r="H234" i="27" s="1"/>
  <c r="F233" i="27"/>
  <c r="H233" i="27" s="1"/>
  <c r="F232" i="27"/>
  <c r="H232" i="27" s="1"/>
  <c r="F231" i="27"/>
  <c r="H231" i="27" s="1"/>
  <c r="F230" i="27"/>
  <c r="H230" i="27" s="1"/>
  <c r="F229" i="27"/>
  <c r="H229" i="27" s="1"/>
  <c r="F228" i="27"/>
  <c r="H228" i="27" s="1"/>
  <c r="F227" i="27"/>
  <c r="H227" i="27" s="1"/>
  <c r="F226" i="27"/>
  <c r="H226" i="27" s="1"/>
  <c r="F225" i="27"/>
  <c r="H225" i="27" s="1"/>
  <c r="F224" i="27"/>
  <c r="H224" i="27" s="1"/>
  <c r="F223" i="27"/>
  <c r="H223" i="27" s="1"/>
  <c r="F222" i="27"/>
  <c r="H222" i="27" s="1"/>
  <c r="F221" i="27"/>
  <c r="H221" i="27" s="1"/>
  <c r="F220" i="27"/>
  <c r="H220" i="27" s="1"/>
  <c r="F219" i="27"/>
  <c r="H219" i="27" s="1"/>
  <c r="F218" i="27"/>
  <c r="F217" i="27"/>
  <c r="H217" i="27" s="1"/>
  <c r="F216" i="27"/>
  <c r="H216" i="27" s="1"/>
  <c r="F215" i="27"/>
  <c r="H215" i="27" s="1"/>
  <c r="F214" i="27"/>
  <c r="H214" i="27" s="1"/>
  <c r="F213" i="27"/>
  <c r="H213" i="27" s="1"/>
  <c r="F212" i="27"/>
  <c r="H212" i="27" s="1"/>
  <c r="F211" i="27"/>
  <c r="H211" i="27" s="1"/>
  <c r="F210" i="27"/>
  <c r="F209" i="27"/>
  <c r="H209" i="27" s="1"/>
  <c r="F208" i="27"/>
  <c r="F207" i="27"/>
  <c r="H207" i="27" s="1"/>
  <c r="F206" i="27"/>
  <c r="F205" i="27"/>
  <c r="H205" i="27" s="1"/>
  <c r="F204" i="27"/>
  <c r="H204" i="27" s="1"/>
  <c r="F203" i="27"/>
  <c r="H203" i="27" s="1"/>
  <c r="F202" i="27"/>
  <c r="F201" i="27"/>
  <c r="H201" i="27" s="1"/>
  <c r="F200" i="27"/>
  <c r="H200" i="27" s="1"/>
  <c r="F199" i="27"/>
  <c r="F198" i="27"/>
  <c r="F197" i="27"/>
  <c r="H197" i="27" s="1"/>
  <c r="F196" i="27"/>
  <c r="H196" i="27" s="1"/>
  <c r="F195" i="27"/>
  <c r="H195" i="27" s="1"/>
  <c r="F194" i="27"/>
  <c r="H194" i="27" s="1"/>
  <c r="F193" i="27"/>
  <c r="H193" i="27" s="1"/>
  <c r="F192" i="27"/>
  <c r="H192" i="27" s="1"/>
  <c r="F191" i="27"/>
  <c r="H191" i="27" s="1"/>
  <c r="F190" i="27"/>
  <c r="H190" i="27" s="1"/>
  <c r="F189" i="27"/>
  <c r="H189" i="27" s="1"/>
  <c r="F188" i="27"/>
  <c r="H188" i="27" s="1"/>
  <c r="F187" i="27"/>
  <c r="H187" i="27" s="1"/>
  <c r="F186" i="27"/>
  <c r="F185" i="27"/>
  <c r="H185" i="27" s="1"/>
  <c r="F184" i="27"/>
  <c r="H184" i="27" s="1"/>
  <c r="F183" i="27"/>
  <c r="H183" i="27" s="1"/>
  <c r="F182" i="27"/>
  <c r="H182" i="27" s="1"/>
  <c r="F181" i="27"/>
  <c r="H181" i="27" s="1"/>
  <c r="F180" i="27"/>
  <c r="H180" i="27" s="1"/>
  <c r="F179" i="27"/>
  <c r="H179" i="27" s="1"/>
  <c r="F178" i="27"/>
  <c r="H178" i="27" s="1"/>
  <c r="F177" i="27"/>
  <c r="H177" i="27" s="1"/>
  <c r="F176" i="27"/>
  <c r="F175" i="27"/>
  <c r="H175" i="27" s="1"/>
  <c r="F174" i="27"/>
  <c r="H174" i="27" s="1"/>
  <c r="F173" i="27"/>
  <c r="H173" i="27" s="1"/>
  <c r="F172" i="27"/>
  <c r="H172" i="27" s="1"/>
  <c r="F171" i="27"/>
  <c r="H171" i="27" s="1"/>
  <c r="F170" i="27"/>
  <c r="H170" i="27" s="1"/>
  <c r="F169" i="27"/>
  <c r="H169" i="27" s="1"/>
  <c r="F168" i="27"/>
  <c r="H168" i="27" s="1"/>
  <c r="F167" i="27"/>
  <c r="H167" i="27" s="1"/>
  <c r="F166" i="27"/>
  <c r="H166" i="27" s="1"/>
  <c r="F165" i="27"/>
  <c r="H165" i="27" s="1"/>
  <c r="F164" i="27"/>
  <c r="H164" i="27" s="1"/>
  <c r="F163" i="27"/>
  <c r="H163" i="27" s="1"/>
  <c r="F162" i="27"/>
  <c r="H162" i="27" s="1"/>
  <c r="F161" i="27"/>
  <c r="H161" i="27" s="1"/>
  <c r="F160" i="27"/>
  <c r="H160" i="27" s="1"/>
  <c r="F159" i="27"/>
  <c r="H159" i="27" s="1"/>
  <c r="F158" i="27"/>
  <c r="H158" i="27" s="1"/>
  <c r="F157" i="27"/>
  <c r="H157" i="27" s="1"/>
  <c r="F156" i="27"/>
  <c r="H156" i="27" s="1"/>
  <c r="F155" i="27"/>
  <c r="H155" i="27" s="1"/>
  <c r="F154" i="27"/>
  <c r="H154" i="27" s="1"/>
  <c r="F153" i="27"/>
  <c r="H153" i="27" s="1"/>
  <c r="F152" i="27"/>
  <c r="H152" i="27" s="1"/>
  <c r="F151" i="27"/>
  <c r="H151" i="27" s="1"/>
  <c r="F150" i="27"/>
  <c r="H150" i="27" s="1"/>
  <c r="F149" i="27"/>
  <c r="H149" i="27" s="1"/>
  <c r="F148" i="27"/>
  <c r="H148" i="27" s="1"/>
  <c r="F147" i="27"/>
  <c r="H147" i="27" s="1"/>
  <c r="F146" i="27"/>
  <c r="H146" i="27" s="1"/>
  <c r="F145" i="27"/>
  <c r="H145" i="27" s="1"/>
  <c r="F144" i="27"/>
  <c r="H144" i="27" s="1"/>
  <c r="F143" i="27"/>
  <c r="H143" i="27" s="1"/>
  <c r="F142" i="27"/>
  <c r="H142" i="27" s="1"/>
  <c r="F141" i="27"/>
  <c r="H141" i="27" s="1"/>
  <c r="F140" i="27"/>
  <c r="H140" i="27" s="1"/>
  <c r="F139" i="27"/>
  <c r="H139" i="27" s="1"/>
  <c r="F138" i="27"/>
  <c r="H138" i="27" s="1"/>
  <c r="F137" i="27"/>
  <c r="H137" i="27" s="1"/>
  <c r="F136" i="27"/>
  <c r="H136" i="27" s="1"/>
  <c r="F135" i="27"/>
  <c r="H135" i="27" s="1"/>
  <c r="F134" i="27"/>
  <c r="H134" i="27" s="1"/>
  <c r="F133" i="27"/>
  <c r="H133" i="27" s="1"/>
  <c r="F132" i="27"/>
  <c r="H132" i="27" s="1"/>
  <c r="F131" i="27"/>
  <c r="H131" i="27" s="1"/>
  <c r="F130" i="27"/>
  <c r="H130" i="27" s="1"/>
  <c r="F129" i="27"/>
  <c r="H129" i="27" s="1"/>
  <c r="F128" i="27"/>
  <c r="H128" i="27" s="1"/>
  <c r="C59" i="32"/>
  <c r="C60" i="32"/>
  <c r="C61" i="32"/>
  <c r="C62" i="32"/>
  <c r="C63" i="32"/>
  <c r="C64" i="32"/>
  <c r="C65" i="32"/>
  <c r="C66" i="32"/>
  <c r="C67" i="32"/>
  <c r="C17" i="32"/>
  <c r="E17" i="32"/>
  <c r="C18" i="32"/>
  <c r="E18" i="32"/>
  <c r="C19" i="32"/>
  <c r="E19" i="32"/>
  <c r="C20" i="32"/>
  <c r="E20" i="32"/>
  <c r="C21" i="32"/>
  <c r="D21" i="32"/>
  <c r="E21" i="32"/>
  <c r="C22" i="32"/>
  <c r="E22" i="32"/>
  <c r="E16" i="32"/>
  <c r="C16" i="32"/>
  <c r="B6" i="32"/>
  <c r="C5" i="29"/>
  <c r="D5" i="29"/>
  <c r="C6" i="29"/>
  <c r="D6" i="29"/>
  <c r="C7" i="29"/>
  <c r="D7" i="29"/>
  <c r="C8" i="29"/>
  <c r="D8" i="29"/>
  <c r="C9" i="29"/>
  <c r="D9" i="29"/>
  <c r="C10" i="29"/>
  <c r="D10" i="29"/>
  <c r="C11" i="29"/>
  <c r="D11" i="29"/>
  <c r="C12" i="29"/>
  <c r="D12" i="29"/>
  <c r="C13" i="29"/>
  <c r="D13" i="29"/>
  <c r="C14" i="29"/>
  <c r="D14" i="29"/>
  <c r="C15" i="29"/>
  <c r="D15" i="29"/>
  <c r="C16" i="29"/>
  <c r="D16" i="29"/>
  <c r="C17" i="29"/>
  <c r="D17" i="29"/>
  <c r="C18" i="29"/>
  <c r="D18" i="29"/>
  <c r="C19" i="29"/>
  <c r="D19" i="29"/>
  <c r="C20" i="29"/>
  <c r="D20" i="29"/>
  <c r="C21" i="29"/>
  <c r="D21" i="29"/>
  <c r="C22" i="29"/>
  <c r="D22" i="29"/>
  <c r="C23" i="29"/>
  <c r="D23" i="29"/>
  <c r="C24" i="29"/>
  <c r="D24" i="29"/>
  <c r="C25" i="29"/>
  <c r="D25" i="29"/>
  <c r="C26" i="29"/>
  <c r="D26" i="29"/>
  <c r="C27" i="29"/>
  <c r="D27" i="29"/>
  <c r="C28" i="29"/>
  <c r="D28" i="29"/>
  <c r="D59" i="32" s="1"/>
  <c r="C29" i="29"/>
  <c r="D29" i="29"/>
  <c r="D60" i="32" s="1"/>
  <c r="C30" i="29"/>
  <c r="D30" i="29"/>
  <c r="D61" i="32" s="1"/>
  <c r="C31" i="29"/>
  <c r="D31" i="29"/>
  <c r="D62" i="32" s="1"/>
  <c r="C32" i="29"/>
  <c r="D32" i="29"/>
  <c r="D63" i="32" s="1"/>
  <c r="C33" i="29"/>
  <c r="D33" i="29"/>
  <c r="D64" i="32" s="1"/>
  <c r="C34" i="29"/>
  <c r="D34" i="29"/>
  <c r="D65" i="32" s="1"/>
  <c r="C35" i="29"/>
  <c r="D35" i="29"/>
  <c r="D66" i="32" s="1"/>
  <c r="C36" i="29"/>
  <c r="D36" i="29"/>
  <c r="D67" i="32" s="1"/>
  <c r="A296" i="27"/>
  <c r="A297" i="27"/>
  <c r="A298" i="27"/>
  <c r="A299" i="27"/>
  <c r="A300" i="27"/>
  <c r="A301" i="27"/>
  <c r="A302" i="27"/>
  <c r="A303" i="27"/>
  <c r="A304" i="27"/>
  <c r="A305" i="27"/>
  <c r="A306" i="27"/>
  <c r="A307" i="27"/>
  <c r="A308" i="27"/>
  <c r="A309" i="27"/>
  <c r="A310" i="27"/>
  <c r="A311" i="27"/>
  <c r="A312" i="27"/>
  <c r="A313" i="27"/>
  <c r="A314" i="27"/>
  <c r="A315" i="27"/>
  <c r="A316" i="27"/>
  <c r="A317" i="27"/>
  <c r="A318" i="27"/>
  <c r="A319" i="27"/>
  <c r="A320" i="27"/>
  <c r="A321" i="27"/>
  <c r="A322" i="27"/>
  <c r="A323" i="27"/>
  <c r="A324" i="27"/>
  <c r="A325" i="27"/>
  <c r="A326" i="27"/>
  <c r="A327" i="27"/>
  <c r="A328" i="27"/>
  <c r="A329" i="27"/>
  <c r="A330" i="27"/>
  <c r="A331" i="27"/>
  <c r="A332" i="27"/>
  <c r="A333" i="27"/>
  <c r="A334" i="27"/>
  <c r="A335" i="27"/>
  <c r="A336" i="27"/>
  <c r="A337" i="27"/>
  <c r="A338" i="27"/>
  <c r="A339" i="27"/>
  <c r="A340" i="27"/>
  <c r="A341" i="27"/>
  <c r="A342" i="27"/>
  <c r="A343" i="27"/>
  <c r="A344" i="27"/>
  <c r="A345" i="27"/>
  <c r="A346" i="27"/>
  <c r="A347" i="27"/>
  <c r="A348" i="27"/>
  <c r="A349" i="27"/>
  <c r="A350" i="27"/>
  <c r="A351" i="27"/>
  <c r="A352" i="27"/>
  <c r="A353" i="27"/>
  <c r="A354" i="27"/>
  <c r="A355" i="27"/>
  <c r="A356" i="27"/>
  <c r="A357" i="27"/>
  <c r="A358" i="27"/>
  <c r="A359" i="27"/>
  <c r="A360" i="27"/>
  <c r="A361" i="27"/>
  <c r="A362" i="27"/>
  <c r="A363" i="27"/>
  <c r="A364" i="27"/>
  <c r="A365" i="27"/>
  <c r="A366" i="27"/>
  <c r="A367" i="27"/>
  <c r="A368" i="27"/>
  <c r="A369" i="27"/>
  <c r="A370" i="27"/>
  <c r="A371" i="27"/>
  <c r="A372" i="27"/>
  <c r="A373" i="27"/>
  <c r="A374" i="27"/>
  <c r="A375" i="27"/>
  <c r="A376" i="27"/>
  <c r="A377" i="27"/>
  <c r="A378" i="27"/>
  <c r="A379" i="27"/>
  <c r="A380" i="27"/>
  <c r="A381" i="27"/>
  <c r="A382" i="27"/>
  <c r="A383" i="27"/>
  <c r="A384" i="27"/>
  <c r="A385" i="27"/>
  <c r="A386" i="27"/>
  <c r="A387" i="27"/>
  <c r="A388" i="27"/>
  <c r="A389" i="27"/>
  <c r="A390" i="27"/>
  <c r="A391" i="27"/>
  <c r="A392" i="27"/>
  <c r="A393" i="27"/>
  <c r="A394" i="27"/>
  <c r="A395" i="27"/>
  <c r="A396" i="27"/>
  <c r="A397" i="27"/>
  <c r="A398" i="27"/>
  <c r="A399" i="27"/>
  <c r="A400" i="27"/>
  <c r="A401" i="27"/>
  <c r="A402" i="27"/>
  <c r="A403" i="27"/>
  <c r="A404" i="27"/>
  <c r="A405" i="27"/>
  <c r="A406" i="27"/>
  <c r="A407" i="27"/>
  <c r="A408" i="27"/>
  <c r="A409" i="27"/>
  <c r="A410" i="27"/>
  <c r="A411" i="27"/>
  <c r="A412" i="27"/>
  <c r="A413" i="27"/>
  <c r="A414" i="27"/>
  <c r="A415" i="27"/>
  <c r="A416" i="27"/>
  <c r="A417" i="27"/>
  <c r="A418" i="27"/>
  <c r="A419" i="27"/>
  <c r="A420" i="27"/>
  <c r="A421" i="27"/>
  <c r="A422" i="27"/>
  <c r="A423" i="27"/>
  <c r="A424" i="27"/>
  <c r="A425" i="27"/>
  <c r="A426" i="27"/>
  <c r="A427" i="27"/>
  <c r="A428" i="27"/>
  <c r="A429" i="27"/>
  <c r="A430" i="27"/>
  <c r="A431" i="27"/>
  <c r="A432" i="27"/>
  <c r="A433" i="27"/>
  <c r="A434" i="27"/>
  <c r="A435" i="27"/>
  <c r="L434" i="27" l="1"/>
  <c r="M296" i="27"/>
  <c r="H2" i="27"/>
  <c r="H4" i="27"/>
  <c r="H6" i="27"/>
  <c r="H8" i="27"/>
  <c r="H10" i="27"/>
  <c r="H12" i="27"/>
  <c r="H14" i="27"/>
  <c r="H16" i="27"/>
  <c r="H18" i="27"/>
  <c r="H20" i="27"/>
  <c r="H22" i="27"/>
  <c r="H24" i="27"/>
  <c r="H26" i="27"/>
  <c r="H28" i="27"/>
  <c r="H30" i="27"/>
  <c r="H58" i="27"/>
  <c r="H86" i="27"/>
  <c r="H88" i="27"/>
  <c r="H90" i="27"/>
  <c r="H92" i="27"/>
  <c r="H94" i="27"/>
  <c r="H96" i="27"/>
  <c r="H98" i="27"/>
  <c r="K434" i="27"/>
  <c r="K432" i="27"/>
  <c r="O426" i="27"/>
  <c r="K424" i="27"/>
  <c r="I412" i="27"/>
  <c r="Q412" i="27" s="1"/>
  <c r="J408" i="27"/>
  <c r="P398" i="27"/>
  <c r="O382" i="27"/>
  <c r="K360" i="27"/>
  <c r="J356" i="27"/>
  <c r="J322" i="27"/>
  <c r="L296" i="27"/>
  <c r="N425" i="27"/>
  <c r="N310" i="27"/>
  <c r="N314" i="27"/>
  <c r="P338" i="27"/>
  <c r="K433" i="27"/>
  <c r="K430" i="27"/>
  <c r="J425" i="27"/>
  <c r="O421" i="27"/>
  <c r="K420" i="27"/>
  <c r="O417" i="27"/>
  <c r="K416" i="27"/>
  <c r="O413" i="27"/>
  <c r="K412" i="27"/>
  <c r="K403" i="27"/>
  <c r="N395" i="27"/>
  <c r="I384" i="27"/>
  <c r="Q384" i="27" s="1"/>
  <c r="I380" i="27"/>
  <c r="Q380" i="27" s="1"/>
  <c r="J367" i="27"/>
  <c r="O353" i="27"/>
  <c r="N349" i="27"/>
  <c r="J347" i="27"/>
  <c r="P337" i="27"/>
  <c r="O322" i="27"/>
  <c r="K318" i="27"/>
  <c r="K314" i="27"/>
  <c r="I310" i="27"/>
  <c r="Q310" i="27" s="1"/>
  <c r="L305" i="27"/>
  <c r="O301" i="27"/>
  <c r="L293" i="27"/>
  <c r="M369" i="27"/>
  <c r="H114" i="27"/>
  <c r="N434" i="27"/>
  <c r="J434" i="27"/>
  <c r="N433" i="27"/>
  <c r="N430" i="27"/>
  <c r="J430" i="27"/>
  <c r="N429" i="27"/>
  <c r="P426" i="27"/>
  <c r="P425" i="27"/>
  <c r="L425" i="27"/>
  <c r="K422" i="27"/>
  <c r="O409" i="27"/>
  <c r="J400" i="27"/>
  <c r="P392" i="27"/>
  <c r="K388" i="27"/>
  <c r="M384" i="27"/>
  <c r="M380" i="27"/>
  <c r="K364" i="27"/>
  <c r="J360" i="27"/>
  <c r="O350" i="27"/>
  <c r="L346" i="27"/>
  <c r="L338" i="27"/>
  <c r="N322" i="27"/>
  <c r="N318" i="27"/>
  <c r="P314" i="27"/>
  <c r="L314" i="27"/>
  <c r="P310" i="27"/>
  <c r="L310" i="27"/>
  <c r="K308" i="27"/>
  <c r="N304" i="27"/>
  <c r="K300" i="27"/>
  <c r="L286" i="27"/>
  <c r="N307" i="27"/>
  <c r="L270" i="27"/>
  <c r="M434" i="27"/>
  <c r="I434" i="27"/>
  <c r="Q434" i="27" s="1"/>
  <c r="M433" i="27"/>
  <c r="I433" i="27"/>
  <c r="Q433" i="27" s="1"/>
  <c r="M430" i="27"/>
  <c r="I430" i="27"/>
  <c r="Q430" i="27" s="1"/>
  <c r="M429" i="27"/>
  <c r="I429" i="27"/>
  <c r="Q429" i="27" s="1"/>
  <c r="K426" i="27"/>
  <c r="O425" i="27"/>
  <c r="N422" i="27"/>
  <c r="J422" i="27"/>
  <c r="N401" i="27"/>
  <c r="J388" i="27"/>
  <c r="K384" i="27"/>
  <c r="K380" i="27"/>
  <c r="J364" i="27"/>
  <c r="M356" i="27"/>
  <c r="K352" i="27"/>
  <c r="M350" i="27"/>
  <c r="O342" i="27"/>
  <c r="M322" i="27"/>
  <c r="I322" i="27"/>
  <c r="Q322" i="27" s="1"/>
  <c r="M318" i="27"/>
  <c r="I318" i="27"/>
  <c r="Q318" i="27" s="1"/>
  <c r="O314" i="27"/>
  <c r="O310" i="27"/>
  <c r="J308" i="27"/>
  <c r="P300" i="27"/>
  <c r="I374" i="27"/>
  <c r="Q374" i="27" s="1"/>
  <c r="I378" i="27"/>
  <c r="Q378" i="27" s="1"/>
  <c r="P434" i="27"/>
  <c r="P433" i="27"/>
  <c r="P430" i="27"/>
  <c r="P429" i="27"/>
  <c r="N426" i="27"/>
  <c r="J426" i="27"/>
  <c r="M422" i="27"/>
  <c r="I422" i="27"/>
  <c r="Q422" i="27" s="1"/>
  <c r="K392" i="27"/>
  <c r="J384" i="27"/>
  <c r="L381" i="27"/>
  <c r="J380" i="27"/>
  <c r="N365" i="27"/>
  <c r="J365" i="27"/>
  <c r="P361" i="27"/>
  <c r="M360" i="27"/>
  <c r="K357" i="27"/>
  <c r="K356" i="27"/>
  <c r="N353" i="27"/>
  <c r="J353" i="27"/>
  <c r="J352" i="27"/>
  <c r="K349" i="27"/>
  <c r="P345" i="27"/>
  <c r="J345" i="27"/>
  <c r="K337" i="27"/>
  <c r="K333" i="27"/>
  <c r="P329" i="27"/>
  <c r="N325" i="27"/>
  <c r="J325" i="27"/>
  <c r="P322" i="27"/>
  <c r="P318" i="27"/>
  <c r="J316" i="27"/>
  <c r="J314" i="27"/>
  <c r="J310" i="27"/>
  <c r="N308" i="27"/>
  <c r="K304" i="27"/>
  <c r="L282" i="27"/>
  <c r="I375" i="27"/>
  <c r="Q375" i="27" s="1"/>
  <c r="H415" i="27"/>
  <c r="I415" i="27"/>
  <c r="Q415" i="27" s="1"/>
  <c r="P415" i="27"/>
  <c r="K415" i="27"/>
  <c r="H423" i="27"/>
  <c r="I423" i="27"/>
  <c r="Q423" i="27" s="1"/>
  <c r="M423" i="27"/>
  <c r="J423" i="27"/>
  <c r="N423" i="27"/>
  <c r="K423" i="27"/>
  <c r="H427" i="27"/>
  <c r="P427" i="27"/>
  <c r="I427" i="27"/>
  <c r="Q427" i="27" s="1"/>
  <c r="M427" i="27"/>
  <c r="J427" i="27"/>
  <c r="N427" i="27"/>
  <c r="H431" i="27"/>
  <c r="K431" i="27"/>
  <c r="P431" i="27"/>
  <c r="I431" i="27"/>
  <c r="Q431" i="27" s="1"/>
  <c r="M431" i="27"/>
  <c r="H435" i="27"/>
  <c r="J435" i="27"/>
  <c r="N435" i="27"/>
  <c r="K435" i="27"/>
  <c r="P435" i="27"/>
  <c r="L287" i="27"/>
  <c r="O287" i="27"/>
  <c r="L299" i="27"/>
  <c r="N299" i="27"/>
  <c r="O299" i="27"/>
  <c r="N303" i="27"/>
  <c r="O303" i="27"/>
  <c r="L303" i="27"/>
  <c r="N311" i="27"/>
  <c r="O311" i="27"/>
  <c r="L311" i="27"/>
  <c r="P311" i="27"/>
  <c r="N315" i="27"/>
  <c r="O315" i="27"/>
  <c r="L315" i="27"/>
  <c r="P315" i="27"/>
  <c r="M319" i="27"/>
  <c r="N319" i="27"/>
  <c r="O319" i="27"/>
  <c r="M323" i="27"/>
  <c r="N323" i="27"/>
  <c r="O323" i="27"/>
  <c r="N327" i="27"/>
  <c r="O327" i="27"/>
  <c r="L335" i="27"/>
  <c r="O335" i="27"/>
  <c r="L339" i="27"/>
  <c r="O339" i="27"/>
  <c r="P339" i="27"/>
  <c r="N347" i="27"/>
  <c r="O347" i="27"/>
  <c r="L351" i="27"/>
  <c r="N351" i="27"/>
  <c r="O351" i="27"/>
  <c r="L363" i="27"/>
  <c r="O363" i="27"/>
  <c r="I435" i="27"/>
  <c r="Q435" i="27" s="1"/>
  <c r="K427" i="27"/>
  <c r="L359" i="27"/>
  <c r="O355" i="27"/>
  <c r="P335" i="27"/>
  <c r="P319" i="27"/>
  <c r="I315" i="27"/>
  <c r="Q315" i="27" s="1"/>
  <c r="M303" i="27"/>
  <c r="H326" i="27"/>
  <c r="K326" i="27"/>
  <c r="H330" i="27"/>
  <c r="K330" i="27"/>
  <c r="H338" i="27"/>
  <c r="I338" i="27"/>
  <c r="Q338" i="27" s="1"/>
  <c r="M338" i="27"/>
  <c r="J338" i="27"/>
  <c r="N338" i="27"/>
  <c r="K338" i="27"/>
  <c r="H342" i="27"/>
  <c r="P342" i="27"/>
  <c r="I342" i="27"/>
  <c r="Q342" i="27" s="1"/>
  <c r="M342" i="27"/>
  <c r="J342" i="27"/>
  <c r="N342" i="27"/>
  <c r="H346" i="27"/>
  <c r="K346" i="27"/>
  <c r="P346" i="27"/>
  <c r="I346" i="27"/>
  <c r="Q346" i="27" s="1"/>
  <c r="M346" i="27"/>
  <c r="H350" i="27"/>
  <c r="J350" i="27"/>
  <c r="N350" i="27"/>
  <c r="K350" i="27"/>
  <c r="P350" i="27"/>
  <c r="H366" i="27"/>
  <c r="J366" i="27"/>
  <c r="H370" i="27"/>
  <c r="J370" i="27"/>
  <c r="H394" i="27"/>
  <c r="K394" i="27"/>
  <c r="P394" i="27"/>
  <c r="I394" i="27"/>
  <c r="Q394" i="27" s="1"/>
  <c r="M394" i="27"/>
  <c r="H398" i="27"/>
  <c r="I398" i="27"/>
  <c r="Q398" i="27" s="1"/>
  <c r="M398" i="27"/>
  <c r="J398" i="27"/>
  <c r="N398" i="27"/>
  <c r="K398" i="27"/>
  <c r="H402" i="27"/>
  <c r="I402" i="27"/>
  <c r="Q402" i="27" s="1"/>
  <c r="M402" i="27"/>
  <c r="J402" i="27"/>
  <c r="N402" i="27"/>
  <c r="K402" i="27"/>
  <c r="H406" i="27"/>
  <c r="P406" i="27"/>
  <c r="I406" i="27"/>
  <c r="Q406" i="27" s="1"/>
  <c r="M406" i="27"/>
  <c r="J406" i="27"/>
  <c r="N406" i="27"/>
  <c r="L283" i="27"/>
  <c r="O283" i="27"/>
  <c r="J431" i="27"/>
  <c r="L331" i="27"/>
  <c r="L319" i="27"/>
  <c r="M311" i="27"/>
  <c r="L291" i="27"/>
  <c r="H299" i="27"/>
  <c r="J299" i="27"/>
  <c r="I303" i="27"/>
  <c r="Q303" i="27" s="1"/>
  <c r="J303" i="27"/>
  <c r="H307" i="27"/>
  <c r="J307" i="27"/>
  <c r="K307" i="27"/>
  <c r="H311" i="27"/>
  <c r="J311" i="27"/>
  <c r="K311" i="27"/>
  <c r="H315" i="27"/>
  <c r="J315" i="27"/>
  <c r="K315" i="27"/>
  <c r="H319" i="27"/>
  <c r="I319" i="27"/>
  <c r="Q319" i="27" s="1"/>
  <c r="J319" i="27"/>
  <c r="K319" i="27"/>
  <c r="H323" i="27"/>
  <c r="I323" i="27"/>
  <c r="Q323" i="27" s="1"/>
  <c r="J323" i="27"/>
  <c r="K323" i="27"/>
  <c r="N380" i="27"/>
  <c r="O380" i="27"/>
  <c r="L380" i="27"/>
  <c r="P380" i="27"/>
  <c r="N384" i="27"/>
  <c r="O384" i="27"/>
  <c r="L384" i="27"/>
  <c r="P384" i="27"/>
  <c r="L388" i="27"/>
  <c r="P388" i="27"/>
  <c r="I388" i="27"/>
  <c r="Q388" i="27" s="1"/>
  <c r="M388" i="27"/>
  <c r="N388" i="27"/>
  <c r="I392" i="27"/>
  <c r="Q392" i="27" s="1"/>
  <c r="M392" i="27"/>
  <c r="N392" i="27"/>
  <c r="O392" i="27"/>
  <c r="I408" i="27"/>
  <c r="Q408" i="27" s="1"/>
  <c r="M408" i="27"/>
  <c r="N408" i="27"/>
  <c r="O408" i="27"/>
  <c r="N412" i="27"/>
  <c r="O412" i="27"/>
  <c r="L412" i="27"/>
  <c r="P412" i="27"/>
  <c r="O416" i="27"/>
  <c r="L416" i="27"/>
  <c r="P416" i="27"/>
  <c r="I416" i="27"/>
  <c r="Q416" i="27" s="1"/>
  <c r="M416" i="27"/>
  <c r="L420" i="27"/>
  <c r="P420" i="27"/>
  <c r="I420" i="27"/>
  <c r="Q420" i="27" s="1"/>
  <c r="M420" i="27"/>
  <c r="N420" i="27"/>
  <c r="L428" i="27"/>
  <c r="O428" i="27"/>
  <c r="H411" i="27"/>
  <c r="P411" i="27"/>
  <c r="H419" i="27"/>
  <c r="P419" i="27"/>
  <c r="K419" i="27"/>
  <c r="O307" i="27"/>
  <c r="L307" i="27"/>
  <c r="M435" i="27"/>
  <c r="P423" i="27"/>
  <c r="K411" i="27"/>
  <c r="L347" i="27"/>
  <c r="O343" i="27"/>
  <c r="P323" i="27"/>
  <c r="I311" i="27"/>
  <c r="Q311" i="27" s="1"/>
  <c r="K299" i="27"/>
  <c r="O366" i="27"/>
  <c r="L366" i="27"/>
  <c r="N366" i="27"/>
  <c r="O370" i="27"/>
  <c r="N370" i="27"/>
  <c r="M374" i="27"/>
  <c r="O374" i="27"/>
  <c r="M378" i="27"/>
  <c r="O378" i="27"/>
  <c r="I355" i="27"/>
  <c r="Q355" i="27" s="1"/>
  <c r="N393" i="27"/>
  <c r="P405" i="27"/>
  <c r="H308" i="27"/>
  <c r="H3" i="27"/>
  <c r="H5" i="27"/>
  <c r="H7" i="27"/>
  <c r="H9" i="27"/>
  <c r="H11" i="27"/>
  <c r="H13" i="27"/>
  <c r="H15" i="27"/>
  <c r="H17" i="27"/>
  <c r="H19" i="27"/>
  <c r="H21" i="27"/>
  <c r="H23" i="27"/>
  <c r="H25" i="27"/>
  <c r="H27" i="27"/>
  <c r="H29" i="27"/>
  <c r="H87" i="27"/>
  <c r="H89" i="27"/>
  <c r="H91" i="27"/>
  <c r="H93" i="27"/>
  <c r="H95" i="27"/>
  <c r="H97" i="27"/>
  <c r="H99" i="27"/>
  <c r="P296" i="27"/>
  <c r="I296" i="27"/>
  <c r="Q296" i="27" s="1"/>
  <c r="L390" i="27"/>
  <c r="N295" i="27"/>
  <c r="H295" i="27"/>
  <c r="I313" i="27"/>
  <c r="Q313" i="27" s="1"/>
  <c r="H313" i="27"/>
  <c r="K313" i="27"/>
  <c r="K328" i="27"/>
  <c r="I328" i="27"/>
  <c r="Q328" i="27" s="1"/>
  <c r="H328" i="27"/>
  <c r="K363" i="27"/>
  <c r="H363" i="27"/>
  <c r="M363" i="27"/>
  <c r="M324" i="27"/>
  <c r="O324" i="27"/>
  <c r="P324" i="27"/>
  <c r="N332" i="27"/>
  <c r="O332" i="27"/>
  <c r="L332" i="27"/>
  <c r="N336" i="27"/>
  <c r="O336" i="27"/>
  <c r="O356" i="27"/>
  <c r="L356" i="27"/>
  <c r="P356" i="27"/>
  <c r="N364" i="27"/>
  <c r="O364" i="27"/>
  <c r="J199" i="27"/>
  <c r="H199" i="27"/>
  <c r="P291" i="27"/>
  <c r="H291" i="27"/>
  <c r="H297" i="27"/>
  <c r="J297" i="27"/>
  <c r="I305" i="27"/>
  <c r="Q305" i="27" s="1"/>
  <c r="H305" i="27"/>
  <c r="K305" i="27"/>
  <c r="I317" i="27"/>
  <c r="Q317" i="27" s="1"/>
  <c r="H317" i="27"/>
  <c r="I321" i="27"/>
  <c r="Q321" i="27" s="1"/>
  <c r="H321" i="27"/>
  <c r="K321" i="27"/>
  <c r="P321" i="27"/>
  <c r="I332" i="27"/>
  <c r="Q332" i="27" s="1"/>
  <c r="H332" i="27"/>
  <c r="J332" i="27"/>
  <c r="K355" i="27"/>
  <c r="H355" i="27"/>
  <c r="H371" i="27"/>
  <c r="I371" i="27"/>
  <c r="Q371" i="27" s="1"/>
  <c r="K379" i="27"/>
  <c r="H379" i="27"/>
  <c r="K383" i="27"/>
  <c r="H383" i="27"/>
  <c r="I391" i="27"/>
  <c r="Q391" i="27" s="1"/>
  <c r="H391" i="27"/>
  <c r="P328" i="27"/>
  <c r="L328" i="27"/>
  <c r="M328" i="27"/>
  <c r="I352" i="27"/>
  <c r="Q352" i="27" s="1"/>
  <c r="M352" i="27"/>
  <c r="N352" i="27"/>
  <c r="O360" i="27"/>
  <c r="L360" i="27"/>
  <c r="P360" i="27"/>
  <c r="L367" i="27"/>
  <c r="M367" i="27"/>
  <c r="M371" i="27"/>
  <c r="N371" i="27"/>
  <c r="J176" i="27"/>
  <c r="H176" i="27"/>
  <c r="J208" i="27"/>
  <c r="H208" i="27"/>
  <c r="J252" i="27"/>
  <c r="H252" i="27"/>
  <c r="N421" i="27"/>
  <c r="N417" i="27"/>
  <c r="N413" i="27"/>
  <c r="N409" i="27"/>
  <c r="N407" i="27"/>
  <c r="J407" i="27"/>
  <c r="L405" i="27"/>
  <c r="N403" i="27"/>
  <c r="J403" i="27"/>
  <c r="L401" i="27"/>
  <c r="P399" i="27"/>
  <c r="O397" i="27"/>
  <c r="M395" i="27"/>
  <c r="I395" i="27"/>
  <c r="Q395" i="27" s="1"/>
  <c r="P389" i="27"/>
  <c r="K387" i="27"/>
  <c r="L385" i="27"/>
  <c r="J383" i="27"/>
  <c r="L379" i="27"/>
  <c r="I367" i="27"/>
  <c r="Q367" i="27" s="1"/>
  <c r="P364" i="27"/>
  <c r="P317" i="27"/>
  <c r="L297" i="27"/>
  <c r="N297" i="27"/>
  <c r="P309" i="27"/>
  <c r="L309" i="27"/>
  <c r="J271" i="27"/>
  <c r="H271" i="27"/>
  <c r="N287" i="27"/>
  <c r="H287" i="27"/>
  <c r="I301" i="27"/>
  <c r="Q301" i="27" s="1"/>
  <c r="H301" i="27"/>
  <c r="K301" i="27"/>
  <c r="J309" i="27"/>
  <c r="H309" i="27"/>
  <c r="K324" i="27"/>
  <c r="I324" i="27"/>
  <c r="Q324" i="27" s="1"/>
  <c r="I336" i="27"/>
  <c r="Q336" i="27" s="1"/>
  <c r="H336" i="27"/>
  <c r="J336" i="27"/>
  <c r="K336" i="27"/>
  <c r="J359" i="27"/>
  <c r="H359" i="27"/>
  <c r="P359" i="27"/>
  <c r="K375" i="27"/>
  <c r="H375" i="27"/>
  <c r="K241" i="27"/>
  <c r="H241" i="27"/>
  <c r="J257" i="27"/>
  <c r="H257" i="27"/>
  <c r="J269" i="27"/>
  <c r="H269" i="27"/>
  <c r="J277" i="27"/>
  <c r="H277" i="27"/>
  <c r="J285" i="27"/>
  <c r="H285" i="27"/>
  <c r="J293" i="27"/>
  <c r="H293" i="27"/>
  <c r="M421" i="27"/>
  <c r="I421" i="27"/>
  <c r="Q421" i="27" s="1"/>
  <c r="M417" i="27"/>
  <c r="I417" i="27"/>
  <c r="Q417" i="27" s="1"/>
  <c r="M413" i="27"/>
  <c r="I413" i="27"/>
  <c r="Q413" i="27" s="1"/>
  <c r="M409" i="27"/>
  <c r="I409" i="27"/>
  <c r="Q409" i="27" s="1"/>
  <c r="M407" i="27"/>
  <c r="I407" i="27"/>
  <c r="Q407" i="27" s="1"/>
  <c r="M403" i="27"/>
  <c r="I403" i="27"/>
  <c r="Q403" i="27" s="1"/>
  <c r="K399" i="27"/>
  <c r="N397" i="27"/>
  <c r="P395" i="27"/>
  <c r="O393" i="27"/>
  <c r="O389" i="27"/>
  <c r="J387" i="27"/>
  <c r="I385" i="27"/>
  <c r="Q385" i="27" s="1"/>
  <c r="P379" i="27"/>
  <c r="I379" i="27"/>
  <c r="Q379" i="27" s="1"/>
  <c r="P375" i="27"/>
  <c r="O371" i="27"/>
  <c r="O367" i="27"/>
  <c r="M364" i="27"/>
  <c r="I364" i="27"/>
  <c r="Q364" i="27" s="1"/>
  <c r="I363" i="27"/>
  <c r="Q363" i="27" s="1"/>
  <c r="K359" i="27"/>
  <c r="P352" i="27"/>
  <c r="L336" i="27"/>
  <c r="M332" i="27"/>
  <c r="O328" i="27"/>
  <c r="H410" i="27"/>
  <c r="J410" i="27"/>
  <c r="J414" i="27"/>
  <c r="H414" i="27"/>
  <c r="L294" i="27"/>
  <c r="O294" i="27"/>
  <c r="H276" i="27"/>
  <c r="H340" i="27"/>
  <c r="J279" i="27"/>
  <c r="H279" i="27"/>
  <c r="K186" i="27"/>
  <c r="H186" i="27"/>
  <c r="I198" i="27"/>
  <c r="Q198" i="27" s="1"/>
  <c r="H198" i="27"/>
  <c r="J202" i="27"/>
  <c r="H202" i="27"/>
  <c r="I206" i="27"/>
  <c r="Q206" i="27" s="1"/>
  <c r="H206" i="27"/>
  <c r="K210" i="27"/>
  <c r="H210" i="27"/>
  <c r="I218" i="27"/>
  <c r="Q218" i="27" s="1"/>
  <c r="H218" i="27"/>
  <c r="J246" i="27"/>
  <c r="H246" i="27"/>
  <c r="I250" i="27"/>
  <c r="Q250" i="27" s="1"/>
  <c r="H250" i="27"/>
  <c r="K254" i="27"/>
  <c r="H254" i="27"/>
  <c r="J262" i="27"/>
  <c r="H262" i="27"/>
  <c r="J266" i="27"/>
  <c r="H266" i="27"/>
  <c r="J274" i="27"/>
  <c r="H274" i="27"/>
  <c r="J282" i="27"/>
  <c r="H282" i="27"/>
  <c r="J290" i="27"/>
  <c r="H290" i="27"/>
  <c r="P421" i="27"/>
  <c r="P417" i="27"/>
  <c r="P413" i="27"/>
  <c r="P409" i="27"/>
  <c r="P407" i="27"/>
  <c r="P403" i="27"/>
  <c r="N399" i="27"/>
  <c r="J399" i="27"/>
  <c r="K395" i="27"/>
  <c r="M383" i="27"/>
  <c r="O375" i="27"/>
  <c r="L371" i="27"/>
  <c r="N367" i="27"/>
  <c r="L364" i="27"/>
  <c r="P363" i="27"/>
  <c r="N360" i="27"/>
  <c r="I360" i="27"/>
  <c r="Q360" i="27" s="1"/>
  <c r="N356" i="27"/>
  <c r="I356" i="27"/>
  <c r="Q356" i="27" s="1"/>
  <c r="O352" i="27"/>
  <c r="M308" i="27"/>
  <c r="I308" i="27"/>
  <c r="Q308" i="27" s="1"/>
  <c r="M304" i="27"/>
  <c r="I304" i="27"/>
  <c r="Q304" i="27" s="1"/>
  <c r="N300" i="27"/>
  <c r="J300" i="27"/>
  <c r="K296" i="27"/>
  <c r="J302" i="27"/>
  <c r="H302" i="27"/>
  <c r="H296" i="27"/>
  <c r="P304" i="27"/>
  <c r="M300" i="27"/>
  <c r="I300" i="27"/>
  <c r="Q300" i="27" s="1"/>
  <c r="N296" i="27"/>
  <c r="K303" i="27"/>
  <c r="H303" i="27"/>
  <c r="J369" i="27"/>
  <c r="H369" i="27"/>
  <c r="K373" i="27"/>
  <c r="H373" i="27"/>
  <c r="I381" i="27"/>
  <c r="Q381" i="27" s="1"/>
  <c r="H381" i="27"/>
  <c r="K385" i="27"/>
  <c r="H385" i="27"/>
  <c r="J389" i="27"/>
  <c r="H389" i="27"/>
  <c r="I397" i="27"/>
  <c r="Q397" i="27" s="1"/>
  <c r="H397" i="27"/>
  <c r="I401" i="27"/>
  <c r="Q401" i="27" s="1"/>
  <c r="H401" i="27"/>
  <c r="J405" i="27"/>
  <c r="H405" i="27"/>
  <c r="I411" i="27"/>
  <c r="Q411" i="27" s="1"/>
  <c r="H316" i="27"/>
  <c r="H396" i="27"/>
  <c r="H428" i="27"/>
  <c r="I331" i="27"/>
  <c r="Q331" i="27" s="1"/>
  <c r="H331" i="27"/>
  <c r="J335" i="27"/>
  <c r="H335" i="27"/>
  <c r="J339" i="27"/>
  <c r="H339" i="27"/>
  <c r="I343" i="27"/>
  <c r="Q343" i="27" s="1"/>
  <c r="H343" i="27"/>
  <c r="K374" i="27"/>
  <c r="H374" i="27"/>
  <c r="K378" i="27"/>
  <c r="H378" i="27"/>
  <c r="J382" i="27"/>
  <c r="H382" i="27"/>
  <c r="J386" i="27"/>
  <c r="H386" i="27"/>
  <c r="H400" i="27"/>
  <c r="C38" i="29"/>
  <c r="D38" i="29"/>
  <c r="D6" i="32" s="1"/>
  <c r="M405" i="27"/>
  <c r="I405" i="27"/>
  <c r="Q405" i="27" s="1"/>
  <c r="P401" i="27"/>
  <c r="P397" i="27"/>
  <c r="K393" i="27"/>
  <c r="M389" i="27"/>
  <c r="I389" i="27"/>
  <c r="Q389" i="27" s="1"/>
  <c r="N385" i="27"/>
  <c r="J385" i="27"/>
  <c r="P381" i="27"/>
  <c r="N379" i="27"/>
  <c r="J379" i="27"/>
  <c r="J378" i="27"/>
  <c r="N375" i="27"/>
  <c r="J375" i="27"/>
  <c r="J374" i="27"/>
  <c r="K371" i="27"/>
  <c r="P370" i="27"/>
  <c r="K370" i="27"/>
  <c r="K367" i="27"/>
  <c r="P366" i="27"/>
  <c r="K366" i="27"/>
  <c r="N363" i="27"/>
  <c r="J363" i="27"/>
  <c r="M359" i="27"/>
  <c r="I359" i="27"/>
  <c r="Q359" i="27" s="1"/>
  <c r="P355" i="27"/>
  <c r="K351" i="27"/>
  <c r="K347" i="27"/>
  <c r="P343" i="27"/>
  <c r="M339" i="27"/>
  <c r="I339" i="27"/>
  <c r="Q339" i="27" s="1"/>
  <c r="P336" i="27"/>
  <c r="M335" i="27"/>
  <c r="I335" i="27"/>
  <c r="Q335" i="27" s="1"/>
  <c r="K332" i="27"/>
  <c r="P331" i="27"/>
  <c r="N328" i="27"/>
  <c r="J328" i="27"/>
  <c r="K327" i="27"/>
  <c r="N324" i="27"/>
  <c r="J324" i="27"/>
  <c r="P313" i="27"/>
  <c r="M309" i="27"/>
  <c r="I309" i="27"/>
  <c r="Q309" i="27" s="1"/>
  <c r="P305" i="27"/>
  <c r="P301" i="27"/>
  <c r="K297" i="27"/>
  <c r="I369" i="27"/>
  <c r="Q369" i="27" s="1"/>
  <c r="I373" i="27"/>
  <c r="Q373" i="27" s="1"/>
  <c r="N377" i="27"/>
  <c r="I383" i="27"/>
  <c r="Q383" i="27" s="1"/>
  <c r="I414" i="27"/>
  <c r="Q414" i="27" s="1"/>
  <c r="I320" i="27"/>
  <c r="Q320" i="27" s="1"/>
  <c r="N374" i="27"/>
  <c r="N378" i="27"/>
  <c r="L414" i="27"/>
  <c r="M393" i="27"/>
  <c r="I393" i="27"/>
  <c r="Q393" i="27" s="1"/>
  <c r="K389" i="27"/>
  <c r="P385" i="27"/>
  <c r="N381" i="27"/>
  <c r="J381" i="27"/>
  <c r="M370" i="27"/>
  <c r="I370" i="27"/>
  <c r="Q370" i="27" s="1"/>
  <c r="M366" i="27"/>
  <c r="I366" i="27"/>
  <c r="Q366" i="27" s="1"/>
  <c r="M351" i="27"/>
  <c r="I351" i="27"/>
  <c r="Q351" i="27" s="1"/>
  <c r="M347" i="27"/>
  <c r="I347" i="27"/>
  <c r="Q347" i="27" s="1"/>
  <c r="N343" i="27"/>
  <c r="J343" i="27"/>
  <c r="K339" i="27"/>
  <c r="K335" i="27"/>
  <c r="N331" i="27"/>
  <c r="J331" i="27"/>
  <c r="M327" i="27"/>
  <c r="I327" i="27"/>
  <c r="Q327" i="27" s="1"/>
  <c r="K309" i="27"/>
  <c r="N305" i="27"/>
  <c r="J305" i="27"/>
  <c r="N301" i="27"/>
  <c r="J301" i="27"/>
  <c r="M297" i="27"/>
  <c r="I297" i="27"/>
  <c r="Q297" i="27" s="1"/>
  <c r="I344" i="27"/>
  <c r="Q344" i="27" s="1"/>
  <c r="N405" i="27"/>
  <c r="M401" i="27"/>
  <c r="M397" i="27"/>
  <c r="P393" i="27"/>
  <c r="N389" i="27"/>
  <c r="M381" i="27"/>
  <c r="P378" i="27"/>
  <c r="P374" i="27"/>
  <c r="P371" i="27"/>
  <c r="P367" i="27"/>
  <c r="N359" i="27"/>
  <c r="P351" i="27"/>
  <c r="P347" i="27"/>
  <c r="M343" i="27"/>
  <c r="N339" i="27"/>
  <c r="M336" i="27"/>
  <c r="N335" i="27"/>
  <c r="P332" i="27"/>
  <c r="M331" i="27"/>
  <c r="P327" i="27"/>
  <c r="K317" i="27"/>
  <c r="N309" i="27"/>
  <c r="M305" i="27"/>
  <c r="M301" i="27"/>
  <c r="P297" i="27"/>
  <c r="N341" i="27"/>
  <c r="N345" i="27"/>
  <c r="P376" i="27"/>
  <c r="P391" i="27"/>
  <c r="P204" i="27"/>
  <c r="P248" i="27"/>
  <c r="N221" i="27"/>
  <c r="L273" i="27"/>
  <c r="O289" i="27"/>
  <c r="O265" i="27"/>
  <c r="I277" i="27"/>
  <c r="Q277" i="27" s="1"/>
  <c r="N284" i="27"/>
  <c r="I285" i="27"/>
  <c r="Q285" i="27" s="1"/>
  <c r="M261" i="27"/>
  <c r="N269" i="27"/>
  <c r="M277" i="27"/>
  <c r="P280" i="27"/>
  <c r="M200" i="27"/>
  <c r="P128" i="27"/>
  <c r="K281" i="27"/>
  <c r="I253" i="27"/>
  <c r="Q253" i="27" s="1"/>
  <c r="M293" i="27"/>
  <c r="M269" i="27"/>
  <c r="N218" i="27"/>
  <c r="M230" i="27"/>
  <c r="M242" i="27"/>
  <c r="N254" i="27"/>
  <c r="M227" i="27"/>
  <c r="P231" i="27"/>
  <c r="P243" i="27"/>
  <c r="N255" i="27"/>
  <c r="N263" i="27"/>
  <c r="N274" i="27"/>
  <c r="N279" i="27"/>
  <c r="O128" i="27"/>
  <c r="K273" i="27"/>
  <c r="I269" i="27"/>
  <c r="Q269" i="27" s="1"/>
  <c r="K265" i="27"/>
  <c r="I258" i="27"/>
  <c r="Q258" i="27" s="1"/>
  <c r="K246" i="27"/>
  <c r="P238" i="27"/>
  <c r="J218" i="27"/>
  <c r="K218" i="27" s="1"/>
  <c r="O288" i="27"/>
  <c r="M174" i="27"/>
  <c r="N210" i="27"/>
  <c r="N266" i="27"/>
  <c r="N244" i="27"/>
  <c r="K294" i="27"/>
  <c r="I293" i="27"/>
  <c r="Q293" i="27" s="1"/>
  <c r="M290" i="27"/>
  <c r="M285" i="27"/>
  <c r="I282" i="27"/>
  <c r="Q282" i="27" s="1"/>
  <c r="K278" i="27"/>
  <c r="M274" i="27"/>
  <c r="M266" i="27"/>
  <c r="K257" i="27"/>
  <c r="M250" i="27"/>
  <c r="M245" i="27"/>
  <c r="M234" i="27"/>
  <c r="M206" i="27"/>
  <c r="M182" i="27"/>
  <c r="N202" i="27"/>
  <c r="M214" i="27"/>
  <c r="N226" i="27"/>
  <c r="M258" i="27"/>
  <c r="I290" i="27"/>
  <c r="Q290" i="27" s="1"/>
  <c r="K286" i="27"/>
  <c r="M282" i="27"/>
  <c r="O210" i="27"/>
  <c r="N249" i="27"/>
  <c r="P253" i="27"/>
  <c r="N277" i="27"/>
  <c r="L281" i="27"/>
  <c r="K289" i="27"/>
  <c r="I274" i="27"/>
  <c r="Q274" i="27" s="1"/>
  <c r="K270" i="27"/>
  <c r="I266" i="27"/>
  <c r="Q266" i="27" s="1"/>
  <c r="K262" i="27"/>
  <c r="O254" i="27"/>
  <c r="O249" i="27"/>
  <c r="I242" i="27"/>
  <c r="Q242" i="27" s="1"/>
  <c r="M222" i="27"/>
  <c r="I214" i="27"/>
  <c r="Q214" i="27" s="1"/>
  <c r="P272" i="27"/>
  <c r="L432" i="27"/>
  <c r="O424" i="27"/>
  <c r="I410" i="27"/>
  <c r="Q410" i="27" s="1"/>
  <c r="L418" i="27"/>
  <c r="O410" i="27"/>
  <c r="O414" i="27"/>
  <c r="M414" i="27"/>
  <c r="M418" i="27"/>
  <c r="O404" i="27"/>
  <c r="L396" i="27"/>
  <c r="N400" i="27"/>
  <c r="N404" i="27"/>
  <c r="O400" i="27"/>
  <c r="I386" i="27"/>
  <c r="Q386" i="27" s="1"/>
  <c r="M390" i="27"/>
  <c r="M382" i="27"/>
  <c r="I390" i="27"/>
  <c r="Q390" i="27" s="1"/>
  <c r="N387" i="27"/>
  <c r="O386" i="27"/>
  <c r="O383" i="27"/>
  <c r="N383" i="27"/>
  <c r="I368" i="27"/>
  <c r="Q368" i="27" s="1"/>
  <c r="P372" i="27"/>
  <c r="L376" i="27"/>
  <c r="O377" i="27"/>
  <c r="O373" i="27"/>
  <c r="L369" i="27"/>
  <c r="N373" i="27"/>
  <c r="P369" i="27"/>
  <c r="O376" i="27"/>
  <c r="O368" i="27"/>
  <c r="I372" i="27"/>
  <c r="Q372" i="27" s="1"/>
  <c r="L358" i="27"/>
  <c r="L362" i="27"/>
  <c r="M358" i="27"/>
  <c r="O354" i="27"/>
  <c r="M354" i="27"/>
  <c r="I358" i="27"/>
  <c r="Q358" i="27" s="1"/>
  <c r="I362" i="27"/>
  <c r="Q362" i="27" s="1"/>
  <c r="L344" i="27"/>
  <c r="P349" i="27"/>
  <c r="L349" i="27"/>
  <c r="O345" i="27"/>
  <c r="O341" i="27"/>
  <c r="O340" i="27"/>
  <c r="O348" i="27"/>
  <c r="O344" i="27"/>
  <c r="M344" i="27"/>
  <c r="M348" i="27"/>
  <c r="L334" i="27"/>
  <c r="O330" i="27"/>
  <c r="O326" i="27"/>
  <c r="N330" i="27"/>
  <c r="M334" i="27"/>
  <c r="O321" i="27"/>
  <c r="O320" i="27"/>
  <c r="O317" i="27"/>
  <c r="O313" i="27"/>
  <c r="O312" i="27"/>
  <c r="L320" i="27"/>
  <c r="O316" i="27"/>
  <c r="N316" i="27"/>
  <c r="M320" i="27"/>
  <c r="L306" i="27"/>
  <c r="L298" i="27"/>
  <c r="O302" i="27"/>
  <c r="M302" i="27"/>
  <c r="O292" i="27"/>
  <c r="L284" i="27"/>
  <c r="O284" i="27"/>
  <c r="N432" i="27"/>
  <c r="J432" i="27"/>
  <c r="N428" i="27"/>
  <c r="J428" i="27"/>
  <c r="N424" i="27"/>
  <c r="J424" i="27"/>
  <c r="M432" i="27"/>
  <c r="M428" i="27"/>
  <c r="M424" i="27"/>
  <c r="I424" i="27"/>
  <c r="Q424" i="27" s="1"/>
  <c r="I432" i="27"/>
  <c r="Q432" i="27" s="1"/>
  <c r="I428" i="27"/>
  <c r="Q428" i="27" s="1"/>
  <c r="P432" i="27"/>
  <c r="P428" i="27"/>
  <c r="P424" i="27"/>
  <c r="I418" i="27"/>
  <c r="Q418" i="27" s="1"/>
  <c r="M410" i="27"/>
  <c r="P410" i="27"/>
  <c r="N419" i="27"/>
  <c r="J419" i="27"/>
  <c r="K418" i="27"/>
  <c r="N415" i="27"/>
  <c r="J415" i="27"/>
  <c r="K414" i="27"/>
  <c r="N411" i="27"/>
  <c r="J411" i="27"/>
  <c r="K410" i="27"/>
  <c r="P418" i="27"/>
  <c r="P414" i="27"/>
  <c r="M419" i="27"/>
  <c r="N418" i="27"/>
  <c r="M415" i="27"/>
  <c r="N414" i="27"/>
  <c r="M411" i="27"/>
  <c r="N410" i="27"/>
  <c r="J404" i="27"/>
  <c r="N396" i="27"/>
  <c r="K404" i="27"/>
  <c r="J396" i="27"/>
  <c r="M404" i="27"/>
  <c r="I404" i="27"/>
  <c r="Q404" i="27" s="1"/>
  <c r="M400" i="27"/>
  <c r="I400" i="27"/>
  <c r="Q400" i="27" s="1"/>
  <c r="M396" i="27"/>
  <c r="I396" i="27"/>
  <c r="Q396" i="27" s="1"/>
  <c r="P404" i="27"/>
  <c r="P400" i="27"/>
  <c r="P396" i="27"/>
  <c r="J390" i="27"/>
  <c r="N391" i="27"/>
  <c r="J391" i="27"/>
  <c r="M387" i="27"/>
  <c r="I387" i="27"/>
  <c r="Q387" i="27" s="1"/>
  <c r="P383" i="27"/>
  <c r="I382" i="27"/>
  <c r="Q382" i="27" s="1"/>
  <c r="M386" i="27"/>
  <c r="M391" i="27"/>
  <c r="P387" i="27"/>
  <c r="P390" i="27"/>
  <c r="P386" i="27"/>
  <c r="P382" i="27"/>
  <c r="K390" i="27"/>
  <c r="K386" i="27"/>
  <c r="K382" i="27"/>
  <c r="N390" i="27"/>
  <c r="N386" i="27"/>
  <c r="N382" i="27"/>
  <c r="I376" i="27"/>
  <c r="Q376" i="27" s="1"/>
  <c r="M377" i="27"/>
  <c r="I377" i="27"/>
  <c r="Q377" i="27" s="1"/>
  <c r="P373" i="27"/>
  <c r="K369" i="27"/>
  <c r="P368" i="27"/>
  <c r="P377" i="27"/>
  <c r="N369" i="27"/>
  <c r="K376" i="27"/>
  <c r="K372" i="27"/>
  <c r="K368" i="27"/>
  <c r="N376" i="27"/>
  <c r="J376" i="27"/>
  <c r="N372" i="27"/>
  <c r="J372" i="27"/>
  <c r="N368" i="27"/>
  <c r="J368" i="27"/>
  <c r="M376" i="27"/>
  <c r="M372" i="27"/>
  <c r="M368" i="27"/>
  <c r="M362" i="27"/>
  <c r="I354" i="27"/>
  <c r="Q354" i="27" s="1"/>
  <c r="J362" i="27"/>
  <c r="J358" i="27"/>
  <c r="J354" i="27"/>
  <c r="P354" i="27"/>
  <c r="K362" i="27"/>
  <c r="K358" i="27"/>
  <c r="N355" i="27"/>
  <c r="J355" i="27"/>
  <c r="K354" i="27"/>
  <c r="P362" i="27"/>
  <c r="P358" i="27"/>
  <c r="N362" i="27"/>
  <c r="N358" i="27"/>
  <c r="M355" i="27"/>
  <c r="N354" i="27"/>
  <c r="J344" i="27"/>
  <c r="I348" i="27"/>
  <c r="Q348" i="27" s="1"/>
  <c r="M340" i="27"/>
  <c r="J348" i="27"/>
  <c r="I340" i="27"/>
  <c r="Q340" i="27" s="1"/>
  <c r="P348" i="27"/>
  <c r="P344" i="27"/>
  <c r="P340" i="27"/>
  <c r="K348" i="27"/>
  <c r="K344" i="27"/>
  <c r="K340" i="27"/>
  <c r="N348" i="27"/>
  <c r="N344" i="27"/>
  <c r="N340" i="27"/>
  <c r="I334" i="27"/>
  <c r="Q334" i="27" s="1"/>
  <c r="J330" i="27"/>
  <c r="J334" i="27"/>
  <c r="P334" i="27"/>
  <c r="M330" i="27"/>
  <c r="I330" i="27"/>
  <c r="Q330" i="27" s="1"/>
  <c r="N326" i="27"/>
  <c r="J326" i="27"/>
  <c r="K334" i="27"/>
  <c r="P330" i="27"/>
  <c r="M326" i="27"/>
  <c r="I326" i="27"/>
  <c r="Q326" i="27" s="1"/>
  <c r="N334" i="27"/>
  <c r="P326" i="27"/>
  <c r="J320" i="27"/>
  <c r="N321" i="27"/>
  <c r="J321" i="27"/>
  <c r="N317" i="27"/>
  <c r="J317" i="27"/>
  <c r="N313" i="27"/>
  <c r="J313" i="27"/>
  <c r="M321" i="27"/>
  <c r="M317" i="27"/>
  <c r="M313" i="27"/>
  <c r="K312" i="27"/>
  <c r="P320" i="27"/>
  <c r="M316" i="27"/>
  <c r="I316" i="27"/>
  <c r="Q316" i="27" s="1"/>
  <c r="N312" i="27"/>
  <c r="J312" i="27"/>
  <c r="K320" i="27"/>
  <c r="P316" i="27"/>
  <c r="M312" i="27"/>
  <c r="I312" i="27"/>
  <c r="Q312" i="27" s="1"/>
  <c r="N320" i="27"/>
  <c r="P312" i="27"/>
  <c r="M307" i="27"/>
  <c r="I307" i="27"/>
  <c r="Q307" i="27" s="1"/>
  <c r="K306" i="27"/>
  <c r="P303" i="27"/>
  <c r="I302" i="27"/>
  <c r="Q302" i="27" s="1"/>
  <c r="M299" i="27"/>
  <c r="I299" i="27"/>
  <c r="Q299" i="27" s="1"/>
  <c r="K298" i="27"/>
  <c r="P307" i="27"/>
  <c r="P299" i="27"/>
  <c r="N306" i="27"/>
  <c r="J306" i="27"/>
  <c r="P302" i="27"/>
  <c r="N298" i="27"/>
  <c r="J298" i="27"/>
  <c r="M306" i="27"/>
  <c r="I306" i="27"/>
  <c r="Q306" i="27" s="1"/>
  <c r="K302" i="27"/>
  <c r="M298" i="27"/>
  <c r="I298" i="27"/>
  <c r="Q298" i="27" s="1"/>
  <c r="P306" i="27"/>
  <c r="N302" i="27"/>
  <c r="P298" i="27"/>
  <c r="P267" i="27"/>
  <c r="J132" i="27"/>
  <c r="K132" i="27"/>
  <c r="I132" i="27"/>
  <c r="Q132" i="27" s="1"/>
  <c r="J140" i="27"/>
  <c r="I140" i="27"/>
  <c r="Q140" i="27" s="1"/>
  <c r="K140" i="27"/>
  <c r="J148" i="27"/>
  <c r="I148" i="27"/>
  <c r="Q148" i="27" s="1"/>
  <c r="K148" i="27"/>
  <c r="J156" i="27"/>
  <c r="K156" i="27" s="1"/>
  <c r="I156" i="27"/>
  <c r="Q156" i="27" s="1"/>
  <c r="J160" i="27"/>
  <c r="K160" i="27" s="1"/>
  <c r="I160" i="27"/>
  <c r="Q160" i="27" s="1"/>
  <c r="I168" i="27"/>
  <c r="Q168" i="27" s="1"/>
  <c r="J168" i="27"/>
  <c r="K168" i="27" s="1"/>
  <c r="K176" i="27"/>
  <c r="I176" i="27"/>
  <c r="Q176" i="27" s="1"/>
  <c r="K184" i="27"/>
  <c r="I184" i="27"/>
  <c r="Q184" i="27" s="1"/>
  <c r="J184" i="27"/>
  <c r="K192" i="27"/>
  <c r="I192" i="27"/>
  <c r="Q192" i="27" s="1"/>
  <c r="J192" i="27"/>
  <c r="K200" i="27"/>
  <c r="I200" i="27"/>
  <c r="Q200" i="27" s="1"/>
  <c r="J200" i="27"/>
  <c r="I212" i="27"/>
  <c r="Q212" i="27" s="1"/>
  <c r="J212" i="27"/>
  <c r="K212" i="27" s="1"/>
  <c r="J216" i="27"/>
  <c r="K216" i="27" s="1"/>
  <c r="I216" i="27"/>
  <c r="Q216" i="27" s="1"/>
  <c r="J224" i="27"/>
  <c r="K224" i="27" s="1"/>
  <c r="I232" i="27"/>
  <c r="Q232" i="27" s="1"/>
  <c r="J232" i="27"/>
  <c r="K232" i="27" s="1"/>
  <c r="K244" i="27"/>
  <c r="I244" i="27"/>
  <c r="Q244" i="27" s="1"/>
  <c r="J244" i="27"/>
  <c r="I248" i="27"/>
  <c r="Q248" i="27" s="1"/>
  <c r="J248" i="27"/>
  <c r="K248" i="27"/>
  <c r="I256" i="27"/>
  <c r="Q256" i="27" s="1"/>
  <c r="J256" i="27"/>
  <c r="K256" i="27"/>
  <c r="I264" i="27"/>
  <c r="Q264" i="27" s="1"/>
  <c r="J264" i="27"/>
  <c r="K264" i="27"/>
  <c r="K276" i="27"/>
  <c r="I276" i="27"/>
  <c r="Q276" i="27" s="1"/>
  <c r="K284" i="27"/>
  <c r="P284" i="27"/>
  <c r="I284" i="27"/>
  <c r="Q284" i="27" s="1"/>
  <c r="M284" i="27"/>
  <c r="K292" i="27"/>
  <c r="P292" i="27"/>
  <c r="I292" i="27"/>
  <c r="Q292" i="27" s="1"/>
  <c r="M292" i="27"/>
  <c r="N132" i="27"/>
  <c r="P132" i="27"/>
  <c r="L132" i="27"/>
  <c r="M132" i="27"/>
  <c r="O132" i="27"/>
  <c r="L144" i="27"/>
  <c r="P144" i="27"/>
  <c r="N144" i="27"/>
  <c r="O144" i="27"/>
  <c r="M144" i="27"/>
  <c r="N148" i="27"/>
  <c r="M148" i="27"/>
  <c r="O148" i="27"/>
  <c r="P148" i="27"/>
  <c r="L148" i="27"/>
  <c r="N156" i="27"/>
  <c r="L156" i="27"/>
  <c r="M156" i="27"/>
  <c r="O156" i="27"/>
  <c r="P156" i="27"/>
  <c r="M164" i="27"/>
  <c r="N164" i="27"/>
  <c r="O164" i="27"/>
  <c r="P164" i="27"/>
  <c r="N172" i="27"/>
  <c r="O172" i="27"/>
  <c r="M172" i="27"/>
  <c r="P172" i="27"/>
  <c r="M180" i="27"/>
  <c r="N180" i="27"/>
  <c r="O180" i="27"/>
  <c r="L180" i="27"/>
  <c r="P180" i="27"/>
  <c r="M188" i="27"/>
  <c r="N188" i="27"/>
  <c r="O188" i="27"/>
  <c r="L188" i="27"/>
  <c r="P188" i="27"/>
  <c r="M196" i="27"/>
  <c r="N196" i="27"/>
  <c r="O196" i="27"/>
  <c r="P196" i="27"/>
  <c r="M204" i="27"/>
  <c r="N204" i="27"/>
  <c r="L204" i="27"/>
  <c r="O204" i="27"/>
  <c r="O208" i="27"/>
  <c r="L208" i="27"/>
  <c r="P208" i="27"/>
  <c r="M208" i="27"/>
  <c r="N208" i="27"/>
  <c r="N216" i="27"/>
  <c r="O216" i="27"/>
  <c r="P216" i="27"/>
  <c r="L216" i="27"/>
  <c r="O224" i="27"/>
  <c r="L224" i="27"/>
  <c r="P224" i="27"/>
  <c r="M224" i="27"/>
  <c r="N224" i="27"/>
  <c r="L232" i="27"/>
  <c r="P232" i="27"/>
  <c r="M232" i="27"/>
  <c r="N232" i="27"/>
  <c r="M240" i="27"/>
  <c r="N240" i="27"/>
  <c r="O240" i="27"/>
  <c r="P240" i="27"/>
  <c r="M248" i="27"/>
  <c r="N248" i="27"/>
  <c r="L248" i="27"/>
  <c r="O248" i="27"/>
  <c r="M256" i="27"/>
  <c r="N256" i="27"/>
  <c r="O256" i="27"/>
  <c r="P256" i="27"/>
  <c r="M264" i="27"/>
  <c r="N264" i="27"/>
  <c r="O264" i="27"/>
  <c r="M272" i="27"/>
  <c r="N272" i="27"/>
  <c r="O272" i="27"/>
  <c r="N292" i="27"/>
  <c r="P275" i="27"/>
  <c r="L272" i="27"/>
  <c r="I224" i="27"/>
  <c r="Q224" i="27" s="1"/>
  <c r="L172" i="27"/>
  <c r="J135" i="27"/>
  <c r="I135" i="27"/>
  <c r="Q135" i="27" s="1"/>
  <c r="K135" i="27"/>
  <c r="J143" i="27"/>
  <c r="I143" i="27"/>
  <c r="Q143" i="27" s="1"/>
  <c r="K143" i="27"/>
  <c r="J151" i="27"/>
  <c r="I151" i="27"/>
  <c r="Q151" i="27" s="1"/>
  <c r="K151" i="27"/>
  <c r="J163" i="27"/>
  <c r="K163" i="27" s="1"/>
  <c r="I163" i="27"/>
  <c r="Q163" i="27" s="1"/>
  <c r="I171" i="27"/>
  <c r="Q171" i="27" s="1"/>
  <c r="J171" i="27"/>
  <c r="K171" i="27"/>
  <c r="K179" i="27"/>
  <c r="I179" i="27"/>
  <c r="Q179" i="27" s="1"/>
  <c r="J179" i="27"/>
  <c r="K187" i="27"/>
  <c r="I187" i="27"/>
  <c r="Q187" i="27" s="1"/>
  <c r="J187" i="27"/>
  <c r="I191" i="27"/>
  <c r="Q191" i="27" s="1"/>
  <c r="J191" i="27"/>
  <c r="K191" i="27"/>
  <c r="I199" i="27"/>
  <c r="Q199" i="27" s="1"/>
  <c r="K199" i="27"/>
  <c r="I207" i="27"/>
  <c r="Q207" i="27" s="1"/>
  <c r="J207" i="27"/>
  <c r="K207" i="27"/>
  <c r="I215" i="27"/>
  <c r="Q215" i="27" s="1"/>
  <c r="J215" i="27"/>
  <c r="K215" i="27" s="1"/>
  <c r="I223" i="27"/>
  <c r="Q223" i="27" s="1"/>
  <c r="J223" i="27"/>
  <c r="K223" i="27" s="1"/>
  <c r="I231" i="27"/>
  <c r="Q231" i="27" s="1"/>
  <c r="J231" i="27"/>
  <c r="K231" i="27" s="1"/>
  <c r="I239" i="27"/>
  <c r="Q239" i="27" s="1"/>
  <c r="J239" i="27"/>
  <c r="K239" i="27" s="1"/>
  <c r="K247" i="27"/>
  <c r="I247" i="27"/>
  <c r="Q247" i="27" s="1"/>
  <c r="K255" i="27"/>
  <c r="I255" i="27"/>
  <c r="Q255" i="27" s="1"/>
  <c r="J255" i="27"/>
  <c r="K263" i="27"/>
  <c r="I263" i="27"/>
  <c r="Q263" i="27" s="1"/>
  <c r="I275" i="27"/>
  <c r="Q275" i="27" s="1"/>
  <c r="J275" i="27"/>
  <c r="K275" i="27"/>
  <c r="K279" i="27"/>
  <c r="I279" i="27"/>
  <c r="Q279" i="27" s="1"/>
  <c r="K287" i="27"/>
  <c r="P287" i="27"/>
  <c r="I287" i="27"/>
  <c r="Q287" i="27" s="1"/>
  <c r="M287" i="27"/>
  <c r="K295" i="27"/>
  <c r="P295" i="27"/>
  <c r="I295" i="27"/>
  <c r="Q295" i="27" s="1"/>
  <c r="M295" i="27"/>
  <c r="N135" i="27"/>
  <c r="O135" i="27"/>
  <c r="P135" i="27"/>
  <c r="L135" i="27"/>
  <c r="M135" i="27"/>
  <c r="L139" i="27"/>
  <c r="P139" i="27"/>
  <c r="N139" i="27"/>
  <c r="O139" i="27"/>
  <c r="M139" i="27"/>
  <c r="L147" i="27"/>
  <c r="P147" i="27"/>
  <c r="M147" i="27"/>
  <c r="N147" i="27"/>
  <c r="O147" i="27"/>
  <c r="L155" i="27"/>
  <c r="P155" i="27"/>
  <c r="M155" i="27"/>
  <c r="N155" i="27"/>
  <c r="O155" i="27"/>
  <c r="N163" i="27"/>
  <c r="M163" i="27"/>
  <c r="O163" i="27"/>
  <c r="P163" i="27"/>
  <c r="L163" i="27"/>
  <c r="L171" i="27"/>
  <c r="P171" i="27"/>
  <c r="M171" i="27"/>
  <c r="O171" i="27"/>
  <c r="N171" i="27"/>
  <c r="O179" i="27"/>
  <c r="L179" i="27"/>
  <c r="P179" i="27"/>
  <c r="M179" i="27"/>
  <c r="M183" i="27"/>
  <c r="N183" i="27"/>
  <c r="O183" i="27"/>
  <c r="L183" i="27"/>
  <c r="P183" i="27"/>
  <c r="M191" i="27"/>
  <c r="N191" i="27"/>
  <c r="O191" i="27"/>
  <c r="P191" i="27"/>
  <c r="L191" i="27"/>
  <c r="O195" i="27"/>
  <c r="L195" i="27"/>
  <c r="P195" i="27"/>
  <c r="M195" i="27"/>
  <c r="N195" i="27"/>
  <c r="O203" i="27"/>
  <c r="M203" i="27"/>
  <c r="N203" i="27"/>
  <c r="L203" i="27"/>
  <c r="P203" i="27"/>
  <c r="O211" i="27"/>
  <c r="L211" i="27"/>
  <c r="P211" i="27"/>
  <c r="M211" i="27"/>
  <c r="N219" i="27"/>
  <c r="O219" i="27"/>
  <c r="L219" i="27"/>
  <c r="M219" i="27"/>
  <c r="P219" i="27"/>
  <c r="L223" i="27"/>
  <c r="P223" i="27"/>
  <c r="M223" i="27"/>
  <c r="N223" i="27"/>
  <c r="O223" i="27"/>
  <c r="M231" i="27"/>
  <c r="N231" i="27"/>
  <c r="L231" i="27"/>
  <c r="O231" i="27"/>
  <c r="O239" i="27"/>
  <c r="L239" i="27"/>
  <c r="P239" i="27"/>
  <c r="M239" i="27"/>
  <c r="O247" i="27"/>
  <c r="L247" i="27"/>
  <c r="P247" i="27"/>
  <c r="M247" i="27"/>
  <c r="N247" i="27"/>
  <c r="M251" i="27"/>
  <c r="N251" i="27"/>
  <c r="O251" i="27"/>
  <c r="P251" i="27"/>
  <c r="M259" i="27"/>
  <c r="N259" i="27"/>
  <c r="L259" i="27"/>
  <c r="O259" i="27"/>
  <c r="M267" i="27"/>
  <c r="N267" i="27"/>
  <c r="O267" i="27"/>
  <c r="O271" i="27"/>
  <c r="L271" i="27"/>
  <c r="P271" i="27"/>
  <c r="M271" i="27"/>
  <c r="O279" i="27"/>
  <c r="L279" i="27"/>
  <c r="P279" i="27"/>
  <c r="M279" i="27"/>
  <c r="N211" i="27"/>
  <c r="I128" i="27"/>
  <c r="Q128" i="27" s="1"/>
  <c r="J128" i="27"/>
  <c r="J136" i="27"/>
  <c r="K136" i="27"/>
  <c r="I136" i="27"/>
  <c r="Q136" i="27" s="1"/>
  <c r="I144" i="27"/>
  <c r="Q144" i="27" s="1"/>
  <c r="J144" i="27"/>
  <c r="K144" i="27"/>
  <c r="I152" i="27"/>
  <c r="Q152" i="27" s="1"/>
  <c r="J152" i="27"/>
  <c r="K152" i="27"/>
  <c r="I164" i="27"/>
  <c r="Q164" i="27" s="1"/>
  <c r="J164" i="27"/>
  <c r="K164" i="27" s="1"/>
  <c r="J172" i="27"/>
  <c r="K172" i="27"/>
  <c r="I172" i="27"/>
  <c r="Q172" i="27" s="1"/>
  <c r="I180" i="27"/>
  <c r="Q180" i="27" s="1"/>
  <c r="J180" i="27"/>
  <c r="K180" i="27"/>
  <c r="I188" i="27"/>
  <c r="Q188" i="27" s="1"/>
  <c r="J188" i="27"/>
  <c r="K188" i="27"/>
  <c r="I196" i="27"/>
  <c r="Q196" i="27" s="1"/>
  <c r="J196" i="27"/>
  <c r="K196" i="27"/>
  <c r="I204" i="27"/>
  <c r="Q204" i="27" s="1"/>
  <c r="J204" i="27"/>
  <c r="K204" i="27"/>
  <c r="K208" i="27"/>
  <c r="I208" i="27"/>
  <c r="Q208" i="27" s="1"/>
  <c r="I220" i="27"/>
  <c r="Q220" i="27" s="1"/>
  <c r="J220" i="27"/>
  <c r="K220" i="27" s="1"/>
  <c r="I228" i="27"/>
  <c r="Q228" i="27" s="1"/>
  <c r="J228" i="27"/>
  <c r="K228" i="27" s="1"/>
  <c r="I236" i="27"/>
  <c r="Q236" i="27" s="1"/>
  <c r="I240" i="27"/>
  <c r="Q240" i="27" s="1"/>
  <c r="J240" i="27"/>
  <c r="K240" i="27"/>
  <c r="K252" i="27"/>
  <c r="I252" i="27"/>
  <c r="Q252" i="27" s="1"/>
  <c r="K260" i="27"/>
  <c r="I260" i="27"/>
  <c r="Q260" i="27" s="1"/>
  <c r="J260" i="27"/>
  <c r="K268" i="27"/>
  <c r="I268" i="27"/>
  <c r="Q268" i="27" s="1"/>
  <c r="I272" i="27"/>
  <c r="Q272" i="27" s="1"/>
  <c r="J272" i="27"/>
  <c r="K272" i="27"/>
  <c r="I280" i="27"/>
  <c r="Q280" i="27" s="1"/>
  <c r="J280" i="27"/>
  <c r="K280" i="27"/>
  <c r="I288" i="27"/>
  <c r="Q288" i="27" s="1"/>
  <c r="M288" i="27"/>
  <c r="J288" i="27"/>
  <c r="N288" i="27"/>
  <c r="K288" i="27"/>
  <c r="M128" i="27"/>
  <c r="N128" i="27"/>
  <c r="L136" i="27"/>
  <c r="P136" i="27"/>
  <c r="O136" i="27"/>
  <c r="M136" i="27"/>
  <c r="N136" i="27"/>
  <c r="N140" i="27"/>
  <c r="O140" i="27"/>
  <c r="P140" i="27"/>
  <c r="L140" i="27"/>
  <c r="M140" i="27"/>
  <c r="L152" i="27"/>
  <c r="P152" i="27"/>
  <c r="M152" i="27"/>
  <c r="N152" i="27"/>
  <c r="O152" i="27"/>
  <c r="O160" i="27"/>
  <c r="P160" i="27"/>
  <c r="L160" i="27"/>
  <c r="M160" i="27"/>
  <c r="N160" i="27"/>
  <c r="L168" i="27"/>
  <c r="P168" i="27"/>
  <c r="M168" i="27"/>
  <c r="N168" i="27"/>
  <c r="O168" i="27"/>
  <c r="O176" i="27"/>
  <c r="L176" i="27"/>
  <c r="P176" i="27"/>
  <c r="M176" i="27"/>
  <c r="N176" i="27"/>
  <c r="O184" i="27"/>
  <c r="L184" i="27"/>
  <c r="P184" i="27"/>
  <c r="M184" i="27"/>
  <c r="N184" i="27"/>
  <c r="O192" i="27"/>
  <c r="L192" i="27"/>
  <c r="P192" i="27"/>
  <c r="M192" i="27"/>
  <c r="N192" i="27"/>
  <c r="O200" i="27"/>
  <c r="N200" i="27"/>
  <c r="P200" i="27"/>
  <c r="L200" i="27"/>
  <c r="M212" i="27"/>
  <c r="N212" i="27"/>
  <c r="O212" i="27"/>
  <c r="P212" i="27"/>
  <c r="L220" i="27"/>
  <c r="P220" i="27"/>
  <c r="M220" i="27"/>
  <c r="N220" i="27"/>
  <c r="M228" i="27"/>
  <c r="N228" i="27"/>
  <c r="O228" i="27"/>
  <c r="P228" i="27"/>
  <c r="L236" i="27"/>
  <c r="P236" i="27"/>
  <c r="M236" i="27"/>
  <c r="N236" i="27"/>
  <c r="O236" i="27"/>
  <c r="O244" i="27"/>
  <c r="L244" i="27"/>
  <c r="P244" i="27"/>
  <c r="M244" i="27"/>
  <c r="O252" i="27"/>
  <c r="L252" i="27"/>
  <c r="P252" i="27"/>
  <c r="M252" i="27"/>
  <c r="N252" i="27"/>
  <c r="O260" i="27"/>
  <c r="L260" i="27"/>
  <c r="P260" i="27"/>
  <c r="M260" i="27"/>
  <c r="O268" i="27"/>
  <c r="L268" i="27"/>
  <c r="P268" i="27"/>
  <c r="M268" i="27"/>
  <c r="O276" i="27"/>
  <c r="L276" i="27"/>
  <c r="P276" i="27"/>
  <c r="M276" i="27"/>
  <c r="M280" i="27"/>
  <c r="N280" i="27"/>
  <c r="O280" i="27"/>
  <c r="I129" i="27"/>
  <c r="Q129" i="27" s="1"/>
  <c r="J129" i="27"/>
  <c r="K129" i="27"/>
  <c r="I133" i="27"/>
  <c r="Q133" i="27" s="1"/>
  <c r="J133" i="27"/>
  <c r="K133" i="27"/>
  <c r="K137" i="27"/>
  <c r="I137" i="27"/>
  <c r="Q137" i="27" s="1"/>
  <c r="J137" i="27"/>
  <c r="I141" i="27"/>
  <c r="Q141" i="27" s="1"/>
  <c r="K141" i="27"/>
  <c r="J141" i="27"/>
  <c r="K145" i="27"/>
  <c r="J145" i="27"/>
  <c r="I145" i="27"/>
  <c r="Q145" i="27" s="1"/>
  <c r="I149" i="27"/>
  <c r="Q149" i="27" s="1"/>
  <c r="J149" i="27"/>
  <c r="K149" i="27"/>
  <c r="K153" i="27"/>
  <c r="I153" i="27"/>
  <c r="Q153" i="27" s="1"/>
  <c r="J153" i="27"/>
  <c r="I157" i="27"/>
  <c r="Q157" i="27" s="1"/>
  <c r="J157" i="27"/>
  <c r="K157" i="27" s="1"/>
  <c r="J161" i="27"/>
  <c r="K161" i="27" s="1"/>
  <c r="I161" i="27"/>
  <c r="Q161" i="27" s="1"/>
  <c r="I165" i="27"/>
  <c r="Q165" i="27" s="1"/>
  <c r="J165" i="27"/>
  <c r="K165" i="27" s="1"/>
  <c r="J169" i="27"/>
  <c r="K169" i="27" s="1"/>
  <c r="I169" i="27"/>
  <c r="Q169" i="27" s="1"/>
  <c r="I173" i="27"/>
  <c r="Q173" i="27" s="1"/>
  <c r="J173" i="27"/>
  <c r="K173" i="27"/>
  <c r="J177" i="27"/>
  <c r="K177" i="27"/>
  <c r="I177" i="27"/>
  <c r="Q177" i="27" s="1"/>
  <c r="I181" i="27"/>
  <c r="Q181" i="27" s="1"/>
  <c r="J181" i="27"/>
  <c r="K181" i="27"/>
  <c r="J185" i="27"/>
  <c r="K185" i="27"/>
  <c r="I185" i="27"/>
  <c r="Q185" i="27" s="1"/>
  <c r="I189" i="27"/>
  <c r="Q189" i="27" s="1"/>
  <c r="J189" i="27"/>
  <c r="K189" i="27"/>
  <c r="J193" i="27"/>
  <c r="K193" i="27"/>
  <c r="I197" i="27"/>
  <c r="Q197" i="27" s="1"/>
  <c r="J197" i="27"/>
  <c r="K197" i="27"/>
  <c r="J201" i="27"/>
  <c r="K201" i="27"/>
  <c r="I201" i="27"/>
  <c r="Q201" i="27" s="1"/>
  <c r="I205" i="27"/>
  <c r="Q205" i="27" s="1"/>
  <c r="J205" i="27"/>
  <c r="K205" i="27"/>
  <c r="J209" i="27"/>
  <c r="K209" i="27"/>
  <c r="I213" i="27"/>
  <c r="Q213" i="27" s="1"/>
  <c r="J213" i="27"/>
  <c r="K213" i="27" s="1"/>
  <c r="I217" i="27"/>
  <c r="Q217" i="27" s="1"/>
  <c r="J217" i="27"/>
  <c r="K217" i="27" s="1"/>
  <c r="I221" i="27"/>
  <c r="Q221" i="27" s="1"/>
  <c r="J221" i="27"/>
  <c r="K221" i="27" s="1"/>
  <c r="I225" i="27"/>
  <c r="Q225" i="27" s="1"/>
  <c r="J225" i="27"/>
  <c r="K225" i="27" s="1"/>
  <c r="I229" i="27"/>
  <c r="Q229" i="27" s="1"/>
  <c r="I233" i="27"/>
  <c r="Q233" i="27" s="1"/>
  <c r="J233" i="27"/>
  <c r="K233" i="27" s="1"/>
  <c r="J237" i="27"/>
  <c r="K237" i="27" s="1"/>
  <c r="I241" i="27"/>
  <c r="Q241" i="27" s="1"/>
  <c r="J241" i="27"/>
  <c r="M201" i="27"/>
  <c r="N205" i="27"/>
  <c r="P209" i="27"/>
  <c r="M221" i="27"/>
  <c r="M233" i="27"/>
  <c r="P237" i="27"/>
  <c r="K128" i="27"/>
  <c r="J287" i="27"/>
  <c r="J284" i="27"/>
  <c r="L280" i="27"/>
  <c r="N268" i="27"/>
  <c r="N260" i="27"/>
  <c r="J247" i="27"/>
  <c r="L240" i="27"/>
  <c r="I237" i="27"/>
  <c r="Q237" i="27" s="1"/>
  <c r="N233" i="27"/>
  <c r="M216" i="27"/>
  <c r="L196" i="27"/>
  <c r="L164" i="27"/>
  <c r="J131" i="27"/>
  <c r="K131" i="27"/>
  <c r="I131" i="27"/>
  <c r="Q131" i="27" s="1"/>
  <c r="I139" i="27"/>
  <c r="Q139" i="27" s="1"/>
  <c r="J139" i="27"/>
  <c r="K139" i="27"/>
  <c r="I147" i="27"/>
  <c r="Q147" i="27" s="1"/>
  <c r="J147" i="27"/>
  <c r="K147" i="27"/>
  <c r="K155" i="27"/>
  <c r="I155" i="27"/>
  <c r="Q155" i="27" s="1"/>
  <c r="J155" i="27"/>
  <c r="I159" i="27"/>
  <c r="Q159" i="27" s="1"/>
  <c r="J159" i="27"/>
  <c r="K159" i="27" s="1"/>
  <c r="J167" i="27"/>
  <c r="K167" i="27" s="1"/>
  <c r="I167" i="27"/>
  <c r="Q167" i="27" s="1"/>
  <c r="I175" i="27"/>
  <c r="Q175" i="27" s="1"/>
  <c r="J175" i="27"/>
  <c r="K175" i="27"/>
  <c r="I183" i="27"/>
  <c r="Q183" i="27" s="1"/>
  <c r="J183" i="27"/>
  <c r="K183" i="27"/>
  <c r="K195" i="27"/>
  <c r="I195" i="27"/>
  <c r="Q195" i="27" s="1"/>
  <c r="J195" i="27"/>
  <c r="K203" i="27"/>
  <c r="I203" i="27"/>
  <c r="Q203" i="27" s="1"/>
  <c r="J203" i="27"/>
  <c r="K211" i="27"/>
  <c r="I211" i="27"/>
  <c r="Q211" i="27" s="1"/>
  <c r="J211" i="27"/>
  <c r="J219" i="27"/>
  <c r="K219" i="27" s="1"/>
  <c r="J227" i="27"/>
  <c r="K227" i="27" s="1"/>
  <c r="I227" i="27"/>
  <c r="Q227" i="27" s="1"/>
  <c r="I235" i="27"/>
  <c r="Q235" i="27" s="1"/>
  <c r="J235" i="27"/>
  <c r="K235" i="27" s="1"/>
  <c r="I243" i="27"/>
  <c r="Q243" i="27" s="1"/>
  <c r="J243" i="27"/>
  <c r="K243" i="27"/>
  <c r="I251" i="27"/>
  <c r="Q251" i="27" s="1"/>
  <c r="J251" i="27"/>
  <c r="K251" i="27"/>
  <c r="I259" i="27"/>
  <c r="Q259" i="27" s="1"/>
  <c r="J259" i="27"/>
  <c r="K259" i="27"/>
  <c r="I267" i="27"/>
  <c r="Q267" i="27" s="1"/>
  <c r="J267" i="27"/>
  <c r="K267" i="27"/>
  <c r="K271" i="27"/>
  <c r="I271" i="27"/>
  <c r="Q271" i="27" s="1"/>
  <c r="I283" i="27"/>
  <c r="Q283" i="27" s="1"/>
  <c r="M283" i="27"/>
  <c r="J283" i="27"/>
  <c r="N283" i="27"/>
  <c r="K283" i="27"/>
  <c r="I291" i="27"/>
  <c r="Q291" i="27" s="1"/>
  <c r="M291" i="27"/>
  <c r="J291" i="27"/>
  <c r="N291" i="27"/>
  <c r="K291" i="27"/>
  <c r="L131" i="27"/>
  <c r="P131" i="27"/>
  <c r="O131" i="27"/>
  <c r="M131" i="27"/>
  <c r="N131" i="27"/>
  <c r="N143" i="27"/>
  <c r="M143" i="27"/>
  <c r="O143" i="27"/>
  <c r="P143" i="27"/>
  <c r="L143" i="27"/>
  <c r="N151" i="27"/>
  <c r="L151" i="27"/>
  <c r="M151" i="27"/>
  <c r="O151" i="27"/>
  <c r="P151" i="27"/>
  <c r="M159" i="27"/>
  <c r="O159" i="27"/>
  <c r="P159" i="27"/>
  <c r="L159" i="27"/>
  <c r="N159" i="27"/>
  <c r="N167" i="27"/>
  <c r="O167" i="27"/>
  <c r="M167" i="27"/>
  <c r="P167" i="27"/>
  <c r="L167" i="27"/>
  <c r="M175" i="27"/>
  <c r="N175" i="27"/>
  <c r="O175" i="27"/>
  <c r="L175" i="27"/>
  <c r="P175" i="27"/>
  <c r="O187" i="27"/>
  <c r="L187" i="27"/>
  <c r="P187" i="27"/>
  <c r="M187" i="27"/>
  <c r="N187" i="27"/>
  <c r="M199" i="27"/>
  <c r="O199" i="27"/>
  <c r="L199" i="27"/>
  <c r="N199" i="27"/>
  <c r="P199" i="27"/>
  <c r="M207" i="27"/>
  <c r="N207" i="27"/>
  <c r="O207" i="27"/>
  <c r="P207" i="27"/>
  <c r="L215" i="27"/>
  <c r="P215" i="27"/>
  <c r="M215" i="27"/>
  <c r="N215" i="27"/>
  <c r="N227" i="27"/>
  <c r="O227" i="27"/>
  <c r="P227" i="27"/>
  <c r="L227" i="27"/>
  <c r="M235" i="27"/>
  <c r="N235" i="27"/>
  <c r="O235" i="27"/>
  <c r="P235" i="27"/>
  <c r="M243" i="27"/>
  <c r="N243" i="27"/>
  <c r="L243" i="27"/>
  <c r="O243" i="27"/>
  <c r="O255" i="27"/>
  <c r="L255" i="27"/>
  <c r="P255" i="27"/>
  <c r="M255" i="27"/>
  <c r="O263" i="27"/>
  <c r="L263" i="27"/>
  <c r="P263" i="27"/>
  <c r="M263" i="27"/>
  <c r="M275" i="27"/>
  <c r="N275" i="27"/>
  <c r="O275" i="27"/>
  <c r="J130" i="27"/>
  <c r="I130" i="27"/>
  <c r="Q130" i="27" s="1"/>
  <c r="K130" i="27"/>
  <c r="K134" i="27"/>
  <c r="I134" i="27"/>
  <c r="Q134" i="27" s="1"/>
  <c r="J134" i="27"/>
  <c r="I138" i="27"/>
  <c r="Q138" i="27" s="1"/>
  <c r="J138" i="27"/>
  <c r="K138" i="27"/>
  <c r="K142" i="27"/>
  <c r="I142" i="27"/>
  <c r="Q142" i="27" s="1"/>
  <c r="J142" i="27"/>
  <c r="I146" i="27"/>
  <c r="Q146" i="27" s="1"/>
  <c r="K146" i="27"/>
  <c r="J146" i="27"/>
  <c r="K150" i="27"/>
  <c r="J150" i="27"/>
  <c r="I150" i="27"/>
  <c r="Q150" i="27" s="1"/>
  <c r="I154" i="27"/>
  <c r="Q154" i="27" s="1"/>
  <c r="J154" i="27"/>
  <c r="K154" i="27"/>
  <c r="J295" i="27"/>
  <c r="J292" i="27"/>
  <c r="P288" i="27"/>
  <c r="P283" i="27"/>
  <c r="N276" i="27"/>
  <c r="N271" i="27"/>
  <c r="J268" i="27"/>
  <c r="P264" i="27"/>
  <c r="J263" i="27"/>
  <c r="P259" i="27"/>
  <c r="L256" i="27"/>
  <c r="N239" i="27"/>
  <c r="J236" i="27"/>
  <c r="K236" i="27" s="1"/>
  <c r="O232" i="27"/>
  <c r="J229" i="27"/>
  <c r="K229" i="27" s="1"/>
  <c r="P225" i="27"/>
  <c r="I219" i="27"/>
  <c r="Q219" i="27" s="1"/>
  <c r="O215" i="27"/>
  <c r="L212" i="27"/>
  <c r="I209" i="27"/>
  <c r="Q209" i="27" s="1"/>
  <c r="I193" i="27"/>
  <c r="Q193" i="27" s="1"/>
  <c r="N179" i="27"/>
  <c r="N294" i="27"/>
  <c r="J294" i="27"/>
  <c r="P293" i="27"/>
  <c r="P290" i="27"/>
  <c r="N289" i="27"/>
  <c r="J289" i="27"/>
  <c r="N286" i="27"/>
  <c r="J286" i="27"/>
  <c r="P285" i="27"/>
  <c r="P282" i="27"/>
  <c r="N281" i="27"/>
  <c r="J281" i="27"/>
  <c r="N278" i="27"/>
  <c r="J278" i="27"/>
  <c r="P277" i="27"/>
  <c r="L277" i="27"/>
  <c r="P274" i="27"/>
  <c r="L274" i="27"/>
  <c r="N273" i="27"/>
  <c r="J273" i="27"/>
  <c r="N270" i="27"/>
  <c r="J270" i="27"/>
  <c r="P269" i="27"/>
  <c r="L269" i="27"/>
  <c r="P266" i="27"/>
  <c r="L266" i="27"/>
  <c r="N265" i="27"/>
  <c r="J265" i="27"/>
  <c r="P258" i="27"/>
  <c r="P242" i="27"/>
  <c r="O238" i="27"/>
  <c r="P230" i="27"/>
  <c r="P214" i="27"/>
  <c r="J245" i="27"/>
  <c r="K245" i="27"/>
  <c r="I249" i="27"/>
  <c r="Q249" i="27" s="1"/>
  <c r="J253" i="27"/>
  <c r="K253" i="27"/>
  <c r="I257" i="27"/>
  <c r="Q257" i="27" s="1"/>
  <c r="J261" i="27"/>
  <c r="K261" i="27"/>
  <c r="L129" i="27"/>
  <c r="P129" i="27"/>
  <c r="N129" i="27"/>
  <c r="O129" i="27"/>
  <c r="M129" i="27"/>
  <c r="M133" i="27"/>
  <c r="L133" i="27"/>
  <c r="N133" i="27"/>
  <c r="O133" i="27"/>
  <c r="P133" i="27"/>
  <c r="O137" i="27"/>
  <c r="L137" i="27"/>
  <c r="M137" i="27"/>
  <c r="N137" i="27"/>
  <c r="M141" i="27"/>
  <c r="P141" i="27"/>
  <c r="L141" i="27"/>
  <c r="N141" i="27"/>
  <c r="O141" i="27"/>
  <c r="O145" i="27"/>
  <c r="P145" i="27"/>
  <c r="L145" i="27"/>
  <c r="M145" i="27"/>
  <c r="N145" i="27"/>
  <c r="M149" i="27"/>
  <c r="O149" i="27"/>
  <c r="P149" i="27"/>
  <c r="L149" i="27"/>
  <c r="N149" i="27"/>
  <c r="O153" i="27"/>
  <c r="N153" i="27"/>
  <c r="P153" i="27"/>
  <c r="L153" i="27"/>
  <c r="M157" i="27"/>
  <c r="N157" i="27"/>
  <c r="O157" i="27"/>
  <c r="P157" i="27"/>
  <c r="L157" i="27"/>
  <c r="N161" i="27"/>
  <c r="L161" i="27"/>
  <c r="M161" i="27"/>
  <c r="O161" i="27"/>
  <c r="P161" i="27"/>
  <c r="L165" i="27"/>
  <c r="P165" i="27"/>
  <c r="M165" i="27"/>
  <c r="N165" i="27"/>
  <c r="O165" i="27"/>
  <c r="O169" i="27"/>
  <c r="L169" i="27"/>
  <c r="P169" i="27"/>
  <c r="M169" i="27"/>
  <c r="N169" i="27"/>
  <c r="L173" i="27"/>
  <c r="P173" i="27"/>
  <c r="M173" i="27"/>
  <c r="N173" i="27"/>
  <c r="O173" i="27"/>
  <c r="N177" i="27"/>
  <c r="O177" i="27"/>
  <c r="L177" i="27"/>
  <c r="P177" i="27"/>
  <c r="L181" i="27"/>
  <c r="P181" i="27"/>
  <c r="M181" i="27"/>
  <c r="N181" i="27"/>
  <c r="O181" i="27"/>
  <c r="N185" i="27"/>
  <c r="O185" i="27"/>
  <c r="L185" i="27"/>
  <c r="P185" i="27"/>
  <c r="M185" i="27"/>
  <c r="L189" i="27"/>
  <c r="P189" i="27"/>
  <c r="M189" i="27"/>
  <c r="N189" i="27"/>
  <c r="N193" i="27"/>
  <c r="O193" i="27"/>
  <c r="L193" i="27"/>
  <c r="P193" i="27"/>
  <c r="M193" i="27"/>
  <c r="L197" i="27"/>
  <c r="P197" i="27"/>
  <c r="M197" i="27"/>
  <c r="N197" i="27"/>
  <c r="N201" i="27"/>
  <c r="P201" i="27"/>
  <c r="L201" i="27"/>
  <c r="L205" i="27"/>
  <c r="P205" i="27"/>
  <c r="M205" i="27"/>
  <c r="N209" i="27"/>
  <c r="O209" i="27"/>
  <c r="L213" i="27"/>
  <c r="P213" i="27"/>
  <c r="M213" i="27"/>
  <c r="M217" i="27"/>
  <c r="N217" i="27"/>
  <c r="O221" i="27"/>
  <c r="L221" i="27"/>
  <c r="P221" i="27"/>
  <c r="M225" i="27"/>
  <c r="N225" i="27"/>
  <c r="O229" i="27"/>
  <c r="L229" i="27"/>
  <c r="P229" i="27"/>
  <c r="O233" i="27"/>
  <c r="L233" i="27"/>
  <c r="P233" i="27"/>
  <c r="N237" i="27"/>
  <c r="O237" i="27"/>
  <c r="L241" i="27"/>
  <c r="P241" i="27"/>
  <c r="M241" i="27"/>
  <c r="N245" i="27"/>
  <c r="O245" i="27"/>
  <c r="L249" i="27"/>
  <c r="P249" i="27"/>
  <c r="M249" i="27"/>
  <c r="N253" i="27"/>
  <c r="O253" i="27"/>
  <c r="L257" i="27"/>
  <c r="P257" i="27"/>
  <c r="M257" i="27"/>
  <c r="N261" i="27"/>
  <c r="O261" i="27"/>
  <c r="M294" i="27"/>
  <c r="I294" i="27"/>
  <c r="Q294" i="27" s="1"/>
  <c r="K293" i="27"/>
  <c r="K290" i="27"/>
  <c r="M289" i="27"/>
  <c r="I289" i="27"/>
  <c r="Q289" i="27" s="1"/>
  <c r="M286" i="27"/>
  <c r="I286" i="27"/>
  <c r="Q286" i="27" s="1"/>
  <c r="K285" i="27"/>
  <c r="K282" i="27"/>
  <c r="M281" i="27"/>
  <c r="I281" i="27"/>
  <c r="Q281" i="27" s="1"/>
  <c r="M278" i="27"/>
  <c r="I278" i="27"/>
  <c r="Q278" i="27" s="1"/>
  <c r="O277" i="27"/>
  <c r="K277" i="27"/>
  <c r="O274" i="27"/>
  <c r="K274" i="27"/>
  <c r="M273" i="27"/>
  <c r="I273" i="27"/>
  <c r="Q273" i="27" s="1"/>
  <c r="M270" i="27"/>
  <c r="I270" i="27"/>
  <c r="Q270" i="27" s="1"/>
  <c r="O269" i="27"/>
  <c r="K269" i="27"/>
  <c r="O266" i="27"/>
  <c r="K266" i="27"/>
  <c r="M265" i="27"/>
  <c r="I265" i="27"/>
  <c r="Q265" i="27" s="1"/>
  <c r="I261" i="27"/>
  <c r="Q261" i="27" s="1"/>
  <c r="O257" i="27"/>
  <c r="M253" i="27"/>
  <c r="K249" i="27"/>
  <c r="I245" i="27"/>
  <c r="Q245" i="27" s="1"/>
  <c r="O241" i="27"/>
  <c r="M237" i="27"/>
  <c r="N229" i="27"/>
  <c r="J226" i="27"/>
  <c r="K226" i="27" s="1"/>
  <c r="L225" i="27"/>
  <c r="P217" i="27"/>
  <c r="O213" i="27"/>
  <c r="M209" i="27"/>
  <c r="P137" i="27"/>
  <c r="I158" i="27"/>
  <c r="Q158" i="27" s="1"/>
  <c r="J158" i="27"/>
  <c r="K158" i="27" s="1"/>
  <c r="I162" i="27"/>
  <c r="Q162" i="27" s="1"/>
  <c r="J162" i="27"/>
  <c r="K162" i="27" s="1"/>
  <c r="J166" i="27"/>
  <c r="K166" i="27" s="1"/>
  <c r="I166" i="27"/>
  <c r="Q166" i="27" s="1"/>
  <c r="I170" i="27"/>
  <c r="Q170" i="27" s="1"/>
  <c r="J170" i="27"/>
  <c r="K170" i="27"/>
  <c r="J174" i="27"/>
  <c r="K174" i="27"/>
  <c r="I178" i="27"/>
  <c r="Q178" i="27" s="1"/>
  <c r="J178" i="27"/>
  <c r="K178" i="27"/>
  <c r="J182" i="27"/>
  <c r="K182" i="27"/>
  <c r="I182" i="27"/>
  <c r="Q182" i="27" s="1"/>
  <c r="I186" i="27"/>
  <c r="Q186" i="27" s="1"/>
  <c r="J186" i="27"/>
  <c r="J190" i="27"/>
  <c r="K190" i="27"/>
  <c r="I190" i="27"/>
  <c r="Q190" i="27" s="1"/>
  <c r="I194" i="27"/>
  <c r="Q194" i="27" s="1"/>
  <c r="J194" i="27"/>
  <c r="J198" i="27"/>
  <c r="K198" i="27"/>
  <c r="K202" i="27"/>
  <c r="J206" i="27"/>
  <c r="K206" i="27"/>
  <c r="I210" i="27"/>
  <c r="Q210" i="27" s="1"/>
  <c r="J214" i="27"/>
  <c r="K214" i="27" s="1"/>
  <c r="I222" i="27"/>
  <c r="Q222" i="27" s="1"/>
  <c r="J222" i="27"/>
  <c r="K222" i="27" s="1"/>
  <c r="I230" i="27"/>
  <c r="Q230" i="27" s="1"/>
  <c r="J230" i="27"/>
  <c r="K230" i="27" s="1"/>
  <c r="I234" i="27"/>
  <c r="Q234" i="27" s="1"/>
  <c r="J234" i="27"/>
  <c r="K234" i="27" s="1"/>
  <c r="I238" i="27"/>
  <c r="Q238" i="27" s="1"/>
  <c r="J242" i="27"/>
  <c r="K242" i="27"/>
  <c r="I246" i="27"/>
  <c r="Q246" i="27" s="1"/>
  <c r="J250" i="27"/>
  <c r="K250" i="27"/>
  <c r="I254" i="27"/>
  <c r="Q254" i="27" s="1"/>
  <c r="J258" i="27"/>
  <c r="K258" i="27"/>
  <c r="I262" i="27"/>
  <c r="Q262" i="27" s="1"/>
  <c r="N130" i="27"/>
  <c r="O130" i="27"/>
  <c r="P130" i="27"/>
  <c r="L130" i="27"/>
  <c r="M130" i="27"/>
  <c r="O134" i="27"/>
  <c r="M134" i="27"/>
  <c r="N134" i="27"/>
  <c r="P134" i="27"/>
  <c r="L134" i="27"/>
  <c r="M138" i="27"/>
  <c r="L138" i="27"/>
  <c r="N138" i="27"/>
  <c r="O138" i="27"/>
  <c r="P138" i="27"/>
  <c r="O142" i="27"/>
  <c r="L142" i="27"/>
  <c r="M142" i="27"/>
  <c r="N142" i="27"/>
  <c r="P142" i="27"/>
  <c r="M146" i="27"/>
  <c r="P146" i="27"/>
  <c r="L146" i="27"/>
  <c r="N146" i="27"/>
  <c r="O150" i="27"/>
  <c r="P150" i="27"/>
  <c r="L150" i="27"/>
  <c r="M150" i="27"/>
  <c r="N150" i="27"/>
  <c r="M154" i="27"/>
  <c r="O154" i="27"/>
  <c r="P154" i="27"/>
  <c r="L154" i="27"/>
  <c r="N154" i="27"/>
  <c r="O158" i="27"/>
  <c r="N158" i="27"/>
  <c r="P158" i="27"/>
  <c r="L158" i="27"/>
  <c r="M158" i="27"/>
  <c r="L162" i="27"/>
  <c r="P162" i="27"/>
  <c r="M162" i="27"/>
  <c r="N162" i="27"/>
  <c r="O162" i="27"/>
  <c r="N166" i="27"/>
  <c r="O166" i="27"/>
  <c r="L166" i="27"/>
  <c r="P166" i="27"/>
  <c r="M166" i="27"/>
  <c r="M170" i="27"/>
  <c r="N170" i="27"/>
  <c r="P170" i="27"/>
  <c r="L170" i="27"/>
  <c r="O170" i="27"/>
  <c r="N174" i="27"/>
  <c r="O174" i="27"/>
  <c r="L174" i="27"/>
  <c r="P174" i="27"/>
  <c r="L178" i="27"/>
  <c r="P178" i="27"/>
  <c r="M178" i="27"/>
  <c r="N178" i="27"/>
  <c r="O178" i="27"/>
  <c r="N182" i="27"/>
  <c r="O182" i="27"/>
  <c r="L182" i="27"/>
  <c r="P182" i="27"/>
  <c r="L186" i="27"/>
  <c r="P186" i="27"/>
  <c r="M186" i="27"/>
  <c r="N186" i="27"/>
  <c r="O186" i="27"/>
  <c r="N190" i="27"/>
  <c r="O190" i="27"/>
  <c r="L190" i="27"/>
  <c r="P190" i="27"/>
  <c r="M190" i="27"/>
  <c r="L194" i="27"/>
  <c r="P194" i="27"/>
  <c r="M194" i="27"/>
  <c r="N194" i="27"/>
  <c r="N198" i="27"/>
  <c r="L198" i="27"/>
  <c r="P198" i="27"/>
  <c r="M198" i="27"/>
  <c r="O198" i="27"/>
  <c r="L202" i="27"/>
  <c r="P202" i="27"/>
  <c r="M202" i="27"/>
  <c r="N206" i="27"/>
  <c r="O206" i="27"/>
  <c r="L210" i="27"/>
  <c r="P210" i="27"/>
  <c r="M210" i="27"/>
  <c r="N214" i="27"/>
  <c r="O214" i="27"/>
  <c r="O218" i="27"/>
  <c r="L218" i="27"/>
  <c r="P218" i="27"/>
  <c r="N222" i="27"/>
  <c r="O222" i="27"/>
  <c r="L226" i="27"/>
  <c r="P226" i="27"/>
  <c r="M226" i="27"/>
  <c r="N230" i="27"/>
  <c r="O230" i="27"/>
  <c r="N234" i="27"/>
  <c r="O234" i="27"/>
  <c r="M238" i="27"/>
  <c r="N238" i="27"/>
  <c r="N242" i="27"/>
  <c r="O242" i="27"/>
  <c r="L246" i="27"/>
  <c r="P246" i="27"/>
  <c r="M246" i="27"/>
  <c r="N250" i="27"/>
  <c r="O250" i="27"/>
  <c r="L254" i="27"/>
  <c r="P254" i="27"/>
  <c r="M254" i="27"/>
  <c r="N258" i="27"/>
  <c r="O258" i="27"/>
  <c r="L262" i="27"/>
  <c r="P262" i="27"/>
  <c r="M262" i="27"/>
  <c r="P294" i="27"/>
  <c r="N293" i="27"/>
  <c r="N290" i="27"/>
  <c r="P289" i="27"/>
  <c r="P286" i="27"/>
  <c r="N285" i="27"/>
  <c r="N282" i="27"/>
  <c r="P281" i="27"/>
  <c r="P278" i="27"/>
  <c r="P273" i="27"/>
  <c r="P270" i="27"/>
  <c r="P265" i="27"/>
  <c r="N262" i="27"/>
  <c r="P261" i="27"/>
  <c r="L258" i="27"/>
  <c r="N257" i="27"/>
  <c r="J254" i="27"/>
  <c r="L253" i="27"/>
  <c r="P250" i="27"/>
  <c r="J249" i="27"/>
  <c r="N246" i="27"/>
  <c r="P245" i="27"/>
  <c r="L242" i="27"/>
  <c r="N241" i="27"/>
  <c r="J238" i="27"/>
  <c r="K238" i="27" s="1"/>
  <c r="L237" i="27"/>
  <c r="P234" i="27"/>
  <c r="L230" i="27"/>
  <c r="M229" i="27"/>
  <c r="I226" i="27"/>
  <c r="Q226" i="27" s="1"/>
  <c r="P222" i="27"/>
  <c r="M218" i="27"/>
  <c r="O217" i="27"/>
  <c r="L214" i="27"/>
  <c r="N213" i="27"/>
  <c r="J210" i="27"/>
  <c r="L209" i="27"/>
  <c r="P206" i="27"/>
  <c r="I202" i="27"/>
  <c r="Q202" i="27" s="1"/>
  <c r="O197" i="27"/>
  <c r="K194" i="27"/>
  <c r="M177" i="27"/>
  <c r="I174" i="27"/>
  <c r="Q174" i="27" s="1"/>
  <c r="M153" i="27"/>
  <c r="AI24" i="33"/>
  <c r="AI22" i="33"/>
  <c r="AI32" i="33"/>
  <c r="AI33" i="33"/>
  <c r="AI34" i="33"/>
  <c r="AI35" i="33"/>
  <c r="AI36" i="33"/>
  <c r="AI37" i="33"/>
  <c r="AI38" i="33"/>
  <c r="AI39" i="33"/>
  <c r="AI40" i="33"/>
  <c r="AI41" i="33"/>
  <c r="AI19" i="33"/>
  <c r="AI52" i="33"/>
  <c r="AI51" i="33"/>
  <c r="AI50" i="33"/>
  <c r="AI49" i="33"/>
  <c r="AI48" i="33"/>
  <c r="AI47" i="33"/>
  <c r="AI46" i="33"/>
  <c r="AI45" i="33"/>
  <c r="AI44" i="33"/>
  <c r="AI43" i="33"/>
  <c r="AI42" i="33"/>
  <c r="AI31" i="33"/>
  <c r="AI30" i="33"/>
  <c r="AI29" i="33"/>
  <c r="AI28" i="33"/>
  <c r="AI27" i="33"/>
  <c r="AI26" i="33"/>
  <c r="AI23" i="33"/>
  <c r="AI21" i="33"/>
  <c r="AI20" i="33"/>
  <c r="L333" i="7"/>
  <c r="L334" i="7"/>
  <c r="L335" i="7"/>
  <c r="L336" i="7"/>
  <c r="L337" i="7"/>
  <c r="L338" i="7"/>
  <c r="L339" i="7"/>
  <c r="L340" i="7"/>
  <c r="L341" i="7"/>
  <c r="L342" i="7"/>
  <c r="L343" i="7"/>
  <c r="L344" i="7"/>
  <c r="L345" i="7"/>
  <c r="L346" i="7"/>
  <c r="L347" i="7"/>
  <c r="L348" i="7"/>
  <c r="L349" i="7"/>
  <c r="L350" i="7"/>
  <c r="L351" i="7"/>
  <c r="L352" i="7"/>
  <c r="L353" i="7"/>
  <c r="L354" i="7"/>
  <c r="L355" i="7"/>
  <c r="L356" i="7"/>
  <c r="L357" i="7"/>
  <c r="L358" i="7"/>
  <c r="L359" i="7"/>
  <c r="L323" i="7"/>
  <c r="L324" i="7"/>
  <c r="L325" i="7"/>
  <c r="L326" i="7"/>
  <c r="L327" i="7"/>
  <c r="L328" i="7"/>
  <c r="L329" i="7"/>
  <c r="L330" i="7"/>
  <c r="L331" i="7"/>
  <c r="L332" i="7"/>
  <c r="L360" i="7"/>
  <c r="L361" i="7"/>
  <c r="L362" i="7"/>
  <c r="L311" i="7" l="1"/>
  <c r="L312" i="7"/>
  <c r="L313" i="7"/>
  <c r="L314" i="7"/>
  <c r="L315" i="7"/>
  <c r="L316" i="7"/>
  <c r="L317" i="7"/>
  <c r="L318" i="7"/>
  <c r="L319" i="7"/>
  <c r="L320" i="7"/>
  <c r="L321" i="7"/>
  <c r="L322" i="7"/>
  <c r="L363" i="7"/>
  <c r="L299" i="7"/>
  <c r="L300" i="7"/>
  <c r="L301" i="7"/>
  <c r="L302" i="7"/>
  <c r="L303" i="7"/>
  <c r="L304" i="7"/>
  <c r="L298" i="7" l="1"/>
  <c r="L297" i="7" l="1"/>
  <c r="L117" i="7" l="1"/>
  <c r="C58" i="32"/>
  <c r="C57" i="32"/>
  <c r="C56" i="32"/>
  <c r="C55" i="32"/>
  <c r="C54" i="32"/>
  <c r="C53" i="32"/>
  <c r="C52" i="32"/>
  <c r="C51" i="32"/>
  <c r="C50" i="32"/>
  <c r="C49" i="32"/>
  <c r="C48" i="32"/>
  <c r="C47" i="32"/>
  <c r="C46" i="32"/>
  <c r="C45" i="32"/>
  <c r="C44" i="32"/>
  <c r="C43" i="32"/>
  <c r="C42" i="32"/>
  <c r="C41" i="32"/>
  <c r="C40" i="32"/>
  <c r="C39" i="32"/>
  <c r="C38" i="32"/>
  <c r="C37" i="32"/>
  <c r="C36" i="32"/>
  <c r="H20" i="28"/>
  <c r="J20" i="28" s="1"/>
  <c r="K20" i="28" s="1"/>
  <c r="H19" i="28"/>
  <c r="J19" i="28" s="1"/>
  <c r="K19" i="28" s="1"/>
  <c r="H18" i="28"/>
  <c r="J18" i="28" s="1"/>
  <c r="H17" i="28"/>
  <c r="J17" i="28" s="1"/>
  <c r="H16" i="28"/>
  <c r="J16" i="28" s="1"/>
  <c r="K16" i="28" s="1"/>
  <c r="H15" i="28"/>
  <c r="J15" i="28" s="1"/>
  <c r="H14" i="28"/>
  <c r="J14" i="28" s="1"/>
  <c r="K14" i="28" s="1"/>
  <c r="H13" i="28"/>
  <c r="J13" i="28" s="1"/>
  <c r="K13" i="28" s="1"/>
  <c r="H12" i="28"/>
  <c r="J12" i="28" s="1"/>
  <c r="H11" i="28"/>
  <c r="J11" i="28" s="1"/>
  <c r="K11" i="28" s="1"/>
  <c r="H10" i="28"/>
  <c r="J10" i="28" s="1"/>
  <c r="H9" i="28"/>
  <c r="J9" i="28" s="1"/>
  <c r="K9" i="28" s="1"/>
  <c r="D58" i="32"/>
  <c r="I59" i="29" l="1"/>
  <c r="J59" i="29" s="1"/>
  <c r="K59" i="29" s="1"/>
  <c r="I63" i="29"/>
  <c r="J63" i="29" s="1"/>
  <c r="K63" i="29" s="1"/>
  <c r="I74" i="29"/>
  <c r="J74" i="29" s="1"/>
  <c r="K74" i="29" s="1"/>
  <c r="I61" i="29"/>
  <c r="J61" i="29" s="1"/>
  <c r="K61" i="29" s="1"/>
  <c r="I68" i="29"/>
  <c r="J68" i="29" s="1"/>
  <c r="K68" i="29" s="1"/>
  <c r="I58" i="29"/>
  <c r="J58" i="29" s="1"/>
  <c r="I127" i="29"/>
  <c r="J127" i="29" s="1"/>
  <c r="K127" i="29" s="1"/>
  <c r="I130" i="29"/>
  <c r="J130" i="29" s="1"/>
  <c r="K130" i="29" s="1"/>
  <c r="I67" i="29"/>
  <c r="J67" i="29" s="1"/>
  <c r="K67" i="29" s="1"/>
  <c r="I47" i="29"/>
  <c r="J47" i="29" s="1"/>
  <c r="K47" i="29" s="1"/>
  <c r="I62" i="29"/>
  <c r="J62" i="29" s="1"/>
  <c r="K62" i="29" s="1"/>
  <c r="I114" i="29"/>
  <c r="J114" i="29" s="1"/>
  <c r="K114" i="29" s="1"/>
  <c r="I129" i="29"/>
  <c r="J129" i="29" s="1"/>
  <c r="K129" i="29" s="1"/>
  <c r="I196" i="29"/>
  <c r="J196" i="29" s="1"/>
  <c r="I200" i="29"/>
  <c r="J200" i="29" s="1"/>
  <c r="K200" i="29" s="1"/>
  <c r="I324" i="29"/>
  <c r="J324" i="29" s="1"/>
  <c r="K324" i="29" s="1"/>
  <c r="I197" i="29"/>
  <c r="J197" i="29" s="1"/>
  <c r="K197" i="29" s="1"/>
  <c r="I64" i="29"/>
  <c r="J64" i="29" s="1"/>
  <c r="K64" i="29" s="1"/>
  <c r="I299" i="29"/>
  <c r="J299" i="29" s="1"/>
  <c r="K299" i="29" s="1"/>
  <c r="I313" i="29"/>
  <c r="J313" i="29" s="1"/>
  <c r="I327" i="29"/>
  <c r="J327" i="29" s="1"/>
  <c r="K327" i="29" s="1"/>
  <c r="I372" i="29"/>
  <c r="J372" i="29" s="1"/>
  <c r="K372" i="29" s="1"/>
  <c r="I385" i="29"/>
  <c r="J385" i="29" s="1"/>
  <c r="K385" i="29" s="1"/>
  <c r="I300" i="29"/>
  <c r="J300" i="29" s="1"/>
  <c r="K300" i="29" s="1"/>
  <c r="I322" i="29"/>
  <c r="J322" i="29" s="1"/>
  <c r="K322" i="29" s="1"/>
  <c r="I329" i="29"/>
  <c r="J329" i="29" s="1"/>
  <c r="K329" i="29" s="1"/>
  <c r="I386" i="29"/>
  <c r="J386" i="29" s="1"/>
  <c r="K386" i="29" s="1"/>
  <c r="I371" i="29"/>
  <c r="J371" i="29" s="1"/>
  <c r="K371" i="29" s="1"/>
  <c r="I131" i="29"/>
  <c r="J131" i="29" s="1"/>
  <c r="K131" i="29" s="1"/>
  <c r="I288" i="29"/>
  <c r="J288" i="29" s="1"/>
  <c r="K288" i="29" s="1"/>
  <c r="K17" i="28"/>
  <c r="I287" i="29"/>
  <c r="J287" i="29" s="1"/>
  <c r="K287" i="29" s="1"/>
  <c r="K15" i="28"/>
  <c r="I357" i="29"/>
  <c r="J357" i="29" s="1"/>
  <c r="K357" i="29" s="1"/>
  <c r="I352" i="29"/>
  <c r="J352" i="29" s="1"/>
  <c r="K352" i="29" s="1"/>
  <c r="K10" i="28"/>
  <c r="I345" i="29"/>
  <c r="J345" i="29" s="1"/>
  <c r="K345" i="29" s="1"/>
  <c r="I198" i="29"/>
  <c r="J198" i="29" s="1"/>
  <c r="K198" i="29" s="1"/>
  <c r="I294" i="29"/>
  <c r="J294" i="29" s="1"/>
  <c r="K294" i="29" s="1"/>
  <c r="I301" i="29"/>
  <c r="J301" i="29" s="1"/>
  <c r="K301" i="29" s="1"/>
  <c r="I330" i="29"/>
  <c r="J330" i="29" s="1"/>
  <c r="K330" i="29" s="1"/>
  <c r="I69" i="29"/>
  <c r="J69" i="29" s="1"/>
  <c r="K69" i="29" s="1"/>
  <c r="I314" i="29"/>
  <c r="J314" i="29" s="1"/>
  <c r="K314" i="29" s="1"/>
  <c r="I338" i="29"/>
  <c r="J338" i="29" s="1"/>
  <c r="I290" i="29"/>
  <c r="J290" i="29" s="1"/>
  <c r="K290" i="29" s="1"/>
  <c r="I281" i="29"/>
  <c r="J281" i="29" s="1"/>
  <c r="K281" i="29" s="1"/>
  <c r="K18" i="28"/>
  <c r="K12" i="28"/>
  <c r="M5" i="7"/>
  <c r="L242" i="7"/>
  <c r="L243" i="7"/>
  <c r="L244" i="7"/>
  <c r="L245" i="7"/>
  <c r="L246" i="7"/>
  <c r="L247" i="7"/>
  <c r="L248" i="7"/>
  <c r="L249" i="7"/>
  <c r="L250" i="7"/>
  <c r="L251" i="7"/>
  <c r="L252" i="7"/>
  <c r="L253" i="7"/>
  <c r="L254" i="7"/>
  <c r="L255" i="7"/>
  <c r="L256" i="7"/>
  <c r="L257" i="7"/>
  <c r="L367" i="7"/>
  <c r="L366" i="7"/>
  <c r="L365" i="7"/>
  <c r="L364" i="7"/>
  <c r="L222" i="7"/>
  <c r="L221" i="7"/>
  <c r="L220" i="7"/>
  <c r="L241" i="7"/>
  <c r="L240" i="7"/>
  <c r="L239" i="7"/>
  <c r="L238" i="7"/>
  <c r="L237" i="7"/>
  <c r="D57" i="32"/>
  <c r="D56" i="32"/>
  <c r="D55" i="32"/>
  <c r="D54" i="32"/>
  <c r="D53" i="32"/>
  <c r="D52" i="32"/>
  <c r="D51" i="32"/>
  <c r="D50" i="32"/>
  <c r="D49" i="32"/>
  <c r="D48" i="32"/>
  <c r="D47" i="32"/>
  <c r="D46" i="32"/>
  <c r="D45" i="32"/>
  <c r="D44" i="32"/>
  <c r="D43" i="32"/>
  <c r="D42" i="32"/>
  <c r="D41" i="32"/>
  <c r="D40" i="32"/>
  <c r="D39" i="32"/>
  <c r="D38" i="32"/>
  <c r="D37" i="32"/>
  <c r="H860" i="28"/>
  <c r="J860" i="28" s="1"/>
  <c r="K860" i="28" s="1"/>
  <c r="H859" i="28"/>
  <c r="J859" i="28" s="1"/>
  <c r="K859" i="28" s="1"/>
  <c r="H858" i="28"/>
  <c r="J858" i="28" s="1"/>
  <c r="K858" i="28" s="1"/>
  <c r="H857" i="28"/>
  <c r="J857" i="28" s="1"/>
  <c r="K857" i="28" s="1"/>
  <c r="H856" i="28"/>
  <c r="J856" i="28" s="1"/>
  <c r="K856" i="28" s="1"/>
  <c r="H855" i="28"/>
  <c r="J855" i="28" s="1"/>
  <c r="H854" i="28"/>
  <c r="J854" i="28" s="1"/>
  <c r="K854" i="28" s="1"/>
  <c r="H853" i="28"/>
  <c r="J853" i="28" s="1"/>
  <c r="K853" i="28" s="1"/>
  <c r="H852" i="28"/>
  <c r="J852" i="28" s="1"/>
  <c r="K852" i="28" s="1"/>
  <c r="H851" i="28"/>
  <c r="J851" i="28" s="1"/>
  <c r="K851" i="28" s="1"/>
  <c r="H850" i="28"/>
  <c r="J850" i="28" s="1"/>
  <c r="K850" i="28" s="1"/>
  <c r="H849" i="28"/>
  <c r="J849" i="28" s="1"/>
  <c r="K849" i="28" s="1"/>
  <c r="H848" i="28"/>
  <c r="J848" i="28" s="1"/>
  <c r="K848" i="28" s="1"/>
  <c r="H847" i="28"/>
  <c r="J847" i="28" s="1"/>
  <c r="K847" i="28" s="1"/>
  <c r="H846" i="28"/>
  <c r="J846" i="28" s="1"/>
  <c r="K846" i="28" s="1"/>
  <c r="H845" i="28"/>
  <c r="J845" i="28" s="1"/>
  <c r="K845" i="28" s="1"/>
  <c r="H844" i="28"/>
  <c r="J844" i="28" s="1"/>
  <c r="K844" i="28" s="1"/>
  <c r="H843" i="28"/>
  <c r="J843" i="28" s="1"/>
  <c r="K843" i="28" s="1"/>
  <c r="H842" i="28"/>
  <c r="J842" i="28" s="1"/>
  <c r="K842" i="28" s="1"/>
  <c r="H841" i="28"/>
  <c r="J841" i="28" s="1"/>
  <c r="K841" i="28" s="1"/>
  <c r="H840" i="28"/>
  <c r="J840" i="28" s="1"/>
  <c r="K840" i="28" s="1"/>
  <c r="H839" i="28"/>
  <c r="J839" i="28" s="1"/>
  <c r="K839" i="28" s="1"/>
  <c r="H838" i="28"/>
  <c r="J838" i="28" s="1"/>
  <c r="H837" i="28"/>
  <c r="J837" i="28" s="1"/>
  <c r="H836" i="28"/>
  <c r="J836" i="28" s="1"/>
  <c r="K836" i="28" s="1"/>
  <c r="H835" i="28"/>
  <c r="J835" i="28" s="1"/>
  <c r="K835" i="28" s="1"/>
  <c r="H834" i="28"/>
  <c r="J834" i="28" s="1"/>
  <c r="K834" i="28" s="1"/>
  <c r="H833" i="28"/>
  <c r="J833" i="28" s="1"/>
  <c r="K833" i="28" s="1"/>
  <c r="H832" i="28"/>
  <c r="J832" i="28" s="1"/>
  <c r="K832" i="28" s="1"/>
  <c r="H831" i="28"/>
  <c r="J831" i="28" s="1"/>
  <c r="K831" i="28" s="1"/>
  <c r="H830" i="28"/>
  <c r="J830" i="28" s="1"/>
  <c r="K830" i="28" s="1"/>
  <c r="H829" i="28"/>
  <c r="J829" i="28" s="1"/>
  <c r="K829" i="28" s="1"/>
  <c r="H828" i="28"/>
  <c r="J828" i="28" s="1"/>
  <c r="K828" i="28" s="1"/>
  <c r="H827" i="28"/>
  <c r="J827" i="28" s="1"/>
  <c r="K827" i="28" s="1"/>
  <c r="H826" i="28"/>
  <c r="J826" i="28" s="1"/>
  <c r="H825" i="28"/>
  <c r="J825" i="28" s="1"/>
  <c r="K825" i="28" s="1"/>
  <c r="H824" i="28"/>
  <c r="J824" i="28" s="1"/>
  <c r="K824" i="28" s="1"/>
  <c r="H823" i="28"/>
  <c r="J823" i="28" s="1"/>
  <c r="K823" i="28" s="1"/>
  <c r="H822" i="28"/>
  <c r="J822" i="28" s="1"/>
  <c r="K822" i="28" s="1"/>
  <c r="H821" i="28"/>
  <c r="J821" i="28" s="1"/>
  <c r="K821" i="28" s="1"/>
  <c r="H820" i="28"/>
  <c r="J820" i="28" s="1"/>
  <c r="H819" i="28"/>
  <c r="J819" i="28" s="1"/>
  <c r="H818" i="28"/>
  <c r="J818" i="28" s="1"/>
  <c r="K818" i="28" s="1"/>
  <c r="H817" i="28"/>
  <c r="J817" i="28" s="1"/>
  <c r="K817" i="28" s="1"/>
  <c r="H816" i="28"/>
  <c r="J816" i="28" s="1"/>
  <c r="K816" i="28" s="1"/>
  <c r="H815" i="28"/>
  <c r="J815" i="28" s="1"/>
  <c r="K815" i="28" s="1"/>
  <c r="H814" i="28"/>
  <c r="J814" i="28" s="1"/>
  <c r="K814" i="28" s="1"/>
  <c r="H813" i="28"/>
  <c r="J813" i="28" s="1"/>
  <c r="K813" i="28" s="1"/>
  <c r="H812" i="28"/>
  <c r="J812" i="28" s="1"/>
  <c r="K812" i="28" s="1"/>
  <c r="H811" i="28"/>
  <c r="J811" i="28" s="1"/>
  <c r="K811" i="28" s="1"/>
  <c r="H810" i="28"/>
  <c r="J810" i="28" s="1"/>
  <c r="K810" i="28" s="1"/>
  <c r="H809" i="28"/>
  <c r="J809" i="28" s="1"/>
  <c r="K809" i="28" s="1"/>
  <c r="H808" i="28"/>
  <c r="J808" i="28" s="1"/>
  <c r="K808" i="28" s="1"/>
  <c r="H807" i="28"/>
  <c r="J807" i="28" s="1"/>
  <c r="H806" i="28"/>
  <c r="J806" i="28" s="1"/>
  <c r="K806" i="28" s="1"/>
  <c r="H805" i="28"/>
  <c r="J805" i="28" s="1"/>
  <c r="K805" i="28" s="1"/>
  <c r="H804" i="28"/>
  <c r="J804" i="28" s="1"/>
  <c r="K804" i="28" s="1"/>
  <c r="H803" i="28"/>
  <c r="J803" i="28" s="1"/>
  <c r="K803" i="28" s="1"/>
  <c r="H802" i="28"/>
  <c r="J802" i="28" s="1"/>
  <c r="H801" i="28"/>
  <c r="J801" i="28" s="1"/>
  <c r="H800" i="28"/>
  <c r="J800" i="28" s="1"/>
  <c r="K800" i="28" s="1"/>
  <c r="H799" i="28"/>
  <c r="J799" i="28" s="1"/>
  <c r="K799" i="28" s="1"/>
  <c r="H798" i="28"/>
  <c r="J798" i="28" s="1"/>
  <c r="K798" i="28" s="1"/>
  <c r="H797" i="28"/>
  <c r="J797" i="28" s="1"/>
  <c r="K797" i="28" s="1"/>
  <c r="H796" i="28"/>
  <c r="J796" i="28" s="1"/>
  <c r="K796" i="28" s="1"/>
  <c r="H795" i="28"/>
  <c r="J795" i="28" s="1"/>
  <c r="H794" i="28"/>
  <c r="J794" i="28" s="1"/>
  <c r="K794" i="28" s="1"/>
  <c r="H793" i="28"/>
  <c r="J793" i="28" s="1"/>
  <c r="K793" i="28" s="1"/>
  <c r="H792" i="28"/>
  <c r="J792" i="28" s="1"/>
  <c r="K792" i="28" s="1"/>
  <c r="H791" i="28"/>
  <c r="J791" i="28" s="1"/>
  <c r="K791" i="28" s="1"/>
  <c r="H790" i="28"/>
  <c r="J790" i="28" s="1"/>
  <c r="K790" i="28" s="1"/>
  <c r="H789" i="28"/>
  <c r="J789" i="28" s="1"/>
  <c r="K789" i="28" s="1"/>
  <c r="H788" i="28"/>
  <c r="J788" i="28" s="1"/>
  <c r="K788" i="28" s="1"/>
  <c r="H787" i="28"/>
  <c r="J787" i="28" s="1"/>
  <c r="K787" i="28" s="1"/>
  <c r="H786" i="28"/>
  <c r="J786" i="28" s="1"/>
  <c r="K786" i="28" s="1"/>
  <c r="H785" i="28"/>
  <c r="J785" i="28" s="1"/>
  <c r="K785" i="28" s="1"/>
  <c r="H784" i="28"/>
  <c r="J784" i="28" s="1"/>
  <c r="K784" i="28" s="1"/>
  <c r="H783" i="28"/>
  <c r="J783" i="28" s="1"/>
  <c r="H782" i="28"/>
  <c r="J782" i="28" s="1"/>
  <c r="K782" i="28" s="1"/>
  <c r="H781" i="28"/>
  <c r="J781" i="28" s="1"/>
  <c r="K781" i="28" s="1"/>
  <c r="H780" i="28"/>
  <c r="J780" i="28" s="1"/>
  <c r="H779" i="28"/>
  <c r="J779" i="28" s="1"/>
  <c r="K779" i="28" s="1"/>
  <c r="H778" i="28"/>
  <c r="J778" i="28" s="1"/>
  <c r="K778" i="28" s="1"/>
  <c r="H777" i="28"/>
  <c r="J777" i="28" s="1"/>
  <c r="K777" i="28" s="1"/>
  <c r="H776" i="28"/>
  <c r="J776" i="28" s="1"/>
  <c r="K776" i="28" s="1"/>
  <c r="H775" i="28"/>
  <c r="J775" i="28" s="1"/>
  <c r="K775" i="28" s="1"/>
  <c r="H774" i="28"/>
  <c r="J774" i="28" s="1"/>
  <c r="K774" i="28" s="1"/>
  <c r="H773" i="28"/>
  <c r="J773" i="28" s="1"/>
  <c r="K773" i="28" s="1"/>
  <c r="H772" i="28"/>
  <c r="J772" i="28" s="1"/>
  <c r="K772" i="28" s="1"/>
  <c r="H771" i="28"/>
  <c r="J771" i="28" s="1"/>
  <c r="K771" i="28" s="1"/>
  <c r="H770" i="28"/>
  <c r="J770" i="28" s="1"/>
  <c r="K770" i="28" s="1"/>
  <c r="H769" i="28"/>
  <c r="J769" i="28" s="1"/>
  <c r="K769" i="28" s="1"/>
  <c r="H768" i="28"/>
  <c r="J768" i="28" s="1"/>
  <c r="K768" i="28" s="1"/>
  <c r="H767" i="28"/>
  <c r="J767" i="28" s="1"/>
  <c r="K767" i="28" s="1"/>
  <c r="H766" i="28"/>
  <c r="J766" i="28" s="1"/>
  <c r="K766" i="28" s="1"/>
  <c r="H765" i="28"/>
  <c r="J765" i="28" s="1"/>
  <c r="K765" i="28" s="1"/>
  <c r="H764" i="28"/>
  <c r="J764" i="28" s="1"/>
  <c r="K764" i="28" s="1"/>
  <c r="H763" i="28"/>
  <c r="J763" i="28" s="1"/>
  <c r="K763" i="28" s="1"/>
  <c r="H762" i="28"/>
  <c r="J762" i="28" s="1"/>
  <c r="K762" i="28" s="1"/>
  <c r="H761" i="28"/>
  <c r="J761" i="28" s="1"/>
  <c r="K761" i="28" s="1"/>
  <c r="H760" i="28"/>
  <c r="J760" i="28" s="1"/>
  <c r="K760" i="28" s="1"/>
  <c r="H759" i="28"/>
  <c r="J759" i="28" s="1"/>
  <c r="K759" i="28" s="1"/>
  <c r="H758" i="28"/>
  <c r="J758" i="28" s="1"/>
  <c r="K758" i="28" s="1"/>
  <c r="H757" i="28"/>
  <c r="J757" i="28" s="1"/>
  <c r="K757" i="28" s="1"/>
  <c r="H756" i="28"/>
  <c r="J756" i="28" s="1"/>
  <c r="K756" i="28" s="1"/>
  <c r="H755" i="28"/>
  <c r="J755" i="28" s="1"/>
  <c r="K755" i="28" s="1"/>
  <c r="H754" i="28"/>
  <c r="J754" i="28" s="1"/>
  <c r="K754" i="28" s="1"/>
  <c r="H753" i="28"/>
  <c r="J753" i="28" s="1"/>
  <c r="K753" i="28" s="1"/>
  <c r="H752" i="28"/>
  <c r="J752" i="28" s="1"/>
  <c r="K752" i="28" s="1"/>
  <c r="H751" i="28"/>
  <c r="J751" i="28" s="1"/>
  <c r="K751" i="28" s="1"/>
  <c r="H750" i="28"/>
  <c r="J750" i="28" s="1"/>
  <c r="K750" i="28" s="1"/>
  <c r="H749" i="28"/>
  <c r="J749" i="28" s="1"/>
  <c r="K749" i="28" s="1"/>
  <c r="H748" i="28"/>
  <c r="J748" i="28" s="1"/>
  <c r="K748" i="28" s="1"/>
  <c r="H747" i="28"/>
  <c r="J747" i="28" s="1"/>
  <c r="H746" i="28"/>
  <c r="J746" i="28" s="1"/>
  <c r="K746" i="28" s="1"/>
  <c r="H745" i="28"/>
  <c r="J745" i="28" s="1"/>
  <c r="K745" i="28" s="1"/>
  <c r="H744" i="28"/>
  <c r="J744" i="28" s="1"/>
  <c r="K744" i="28" s="1"/>
  <c r="H743" i="28"/>
  <c r="J743" i="28" s="1"/>
  <c r="K743" i="28" s="1"/>
  <c r="H742" i="28"/>
  <c r="J742" i="28" s="1"/>
  <c r="K742" i="28" s="1"/>
  <c r="H741" i="28"/>
  <c r="J741" i="28" s="1"/>
  <c r="K741" i="28" s="1"/>
  <c r="H740" i="28"/>
  <c r="J740" i="28" s="1"/>
  <c r="K740" i="28" s="1"/>
  <c r="H739" i="28"/>
  <c r="J739" i="28" s="1"/>
  <c r="K739" i="28" s="1"/>
  <c r="H738" i="28"/>
  <c r="J738" i="28" s="1"/>
  <c r="K738" i="28" s="1"/>
  <c r="H737" i="28"/>
  <c r="J737" i="28" s="1"/>
  <c r="K737" i="28" s="1"/>
  <c r="H736" i="28"/>
  <c r="J736" i="28" s="1"/>
  <c r="K736" i="28" s="1"/>
  <c r="H735" i="28"/>
  <c r="J735" i="28" s="1"/>
  <c r="H734" i="28"/>
  <c r="J734" i="28" s="1"/>
  <c r="K734" i="28" s="1"/>
  <c r="H733" i="28"/>
  <c r="J733" i="28" s="1"/>
  <c r="K733" i="28" s="1"/>
  <c r="H732" i="28"/>
  <c r="J732" i="28" s="1"/>
  <c r="K732" i="28" s="1"/>
  <c r="H731" i="28"/>
  <c r="J731" i="28" s="1"/>
  <c r="K731" i="28" s="1"/>
  <c r="H730" i="28"/>
  <c r="J730" i="28" s="1"/>
  <c r="H729" i="28"/>
  <c r="J729" i="28" s="1"/>
  <c r="H728" i="28"/>
  <c r="J728" i="28" s="1"/>
  <c r="K728" i="28" s="1"/>
  <c r="H727" i="28"/>
  <c r="J727" i="28" s="1"/>
  <c r="K727" i="28" s="1"/>
  <c r="H726" i="28"/>
  <c r="J726" i="28" s="1"/>
  <c r="K726" i="28" s="1"/>
  <c r="H725" i="28"/>
  <c r="J725" i="28" s="1"/>
  <c r="K725" i="28" s="1"/>
  <c r="H724" i="28"/>
  <c r="J724" i="28" s="1"/>
  <c r="K724" i="28" s="1"/>
  <c r="H723" i="28"/>
  <c r="J723" i="28" s="1"/>
  <c r="K723" i="28" s="1"/>
  <c r="H722" i="28"/>
  <c r="J722" i="28" s="1"/>
  <c r="K722" i="28" s="1"/>
  <c r="H721" i="28"/>
  <c r="J721" i="28" s="1"/>
  <c r="K721" i="28" s="1"/>
  <c r="H720" i="28"/>
  <c r="J720" i="28" s="1"/>
  <c r="K720" i="28" s="1"/>
  <c r="H719" i="28"/>
  <c r="J719" i="28" s="1"/>
  <c r="K719" i="28" s="1"/>
  <c r="H718" i="28"/>
  <c r="J718" i="28" s="1"/>
  <c r="H717" i="28"/>
  <c r="J717" i="28" s="1"/>
  <c r="H716" i="28"/>
  <c r="J716" i="28" s="1"/>
  <c r="K716" i="28" s="1"/>
  <c r="H715" i="28"/>
  <c r="J715" i="28" s="1"/>
  <c r="K715" i="28" s="1"/>
  <c r="H714" i="28"/>
  <c r="J714" i="28" s="1"/>
  <c r="K714" i="28" s="1"/>
  <c r="H713" i="28"/>
  <c r="J713" i="28" s="1"/>
  <c r="K713" i="28" s="1"/>
  <c r="H712" i="28"/>
  <c r="J712" i="28" s="1"/>
  <c r="H711" i="28"/>
  <c r="J711" i="28" s="1"/>
  <c r="H710" i="28"/>
  <c r="J710" i="28" s="1"/>
  <c r="K710" i="28" s="1"/>
  <c r="H709" i="28"/>
  <c r="J709" i="28" s="1"/>
  <c r="K709" i="28" s="1"/>
  <c r="H708" i="28"/>
  <c r="J708" i="28" s="1"/>
  <c r="K708" i="28" s="1"/>
  <c r="H707" i="28"/>
  <c r="J707" i="28" s="1"/>
  <c r="K707" i="28" s="1"/>
  <c r="H706" i="28"/>
  <c r="J706" i="28" s="1"/>
  <c r="K706" i="28" s="1"/>
  <c r="H705" i="28"/>
  <c r="J705" i="28" s="1"/>
  <c r="K705" i="28" s="1"/>
  <c r="H704" i="28"/>
  <c r="J704" i="28" s="1"/>
  <c r="K704" i="28" s="1"/>
  <c r="H703" i="28"/>
  <c r="J703" i="28" s="1"/>
  <c r="K703" i="28" s="1"/>
  <c r="H702" i="28"/>
  <c r="J702" i="28" s="1"/>
  <c r="K702" i="28" s="1"/>
  <c r="H701" i="28"/>
  <c r="J701" i="28" s="1"/>
  <c r="H700" i="28"/>
  <c r="J700" i="28" s="1"/>
  <c r="K700" i="28" s="1"/>
  <c r="H699" i="28"/>
  <c r="J699" i="28" s="1"/>
  <c r="H698" i="28"/>
  <c r="J698" i="28" s="1"/>
  <c r="K698" i="28" s="1"/>
  <c r="H697" i="28"/>
  <c r="J697" i="28" s="1"/>
  <c r="K697" i="28" s="1"/>
  <c r="H696" i="28"/>
  <c r="J696" i="28" s="1"/>
  <c r="K696" i="28" s="1"/>
  <c r="H695" i="28"/>
  <c r="J695" i="28" s="1"/>
  <c r="H694" i="28"/>
  <c r="J694" i="28" s="1"/>
  <c r="K694" i="28" s="1"/>
  <c r="H693" i="28"/>
  <c r="J693" i="28" s="1"/>
  <c r="H692" i="28"/>
  <c r="J692" i="28" s="1"/>
  <c r="K692" i="28" s="1"/>
  <c r="H691" i="28"/>
  <c r="J691" i="28" s="1"/>
  <c r="K691" i="28" s="1"/>
  <c r="H690" i="28"/>
  <c r="J690" i="28" s="1"/>
  <c r="K690" i="28" s="1"/>
  <c r="H689" i="28"/>
  <c r="J689" i="28" s="1"/>
  <c r="K689" i="28" s="1"/>
  <c r="H688" i="28"/>
  <c r="J688" i="28" s="1"/>
  <c r="H687" i="28"/>
  <c r="J687" i="28" s="1"/>
  <c r="I311" i="29" s="1"/>
  <c r="J311" i="29" s="1"/>
  <c r="K311" i="29" s="1"/>
  <c r="H686" i="28"/>
  <c r="J686" i="28" s="1"/>
  <c r="K686" i="28" s="1"/>
  <c r="H685" i="28"/>
  <c r="J685" i="28" s="1"/>
  <c r="K685" i="28" s="1"/>
  <c r="H684" i="28"/>
  <c r="J684" i="28" s="1"/>
  <c r="K684" i="28" s="1"/>
  <c r="H683" i="28"/>
  <c r="J683" i="28" s="1"/>
  <c r="K683" i="28" s="1"/>
  <c r="H682" i="28"/>
  <c r="J682" i="28" s="1"/>
  <c r="K682" i="28" s="1"/>
  <c r="H681" i="28"/>
  <c r="J681" i="28" s="1"/>
  <c r="H680" i="28"/>
  <c r="J680" i="28" s="1"/>
  <c r="K680" i="28" s="1"/>
  <c r="H679" i="28"/>
  <c r="J679" i="28" s="1"/>
  <c r="K679" i="28" s="1"/>
  <c r="H678" i="28"/>
  <c r="J678" i="28" s="1"/>
  <c r="K678" i="28" s="1"/>
  <c r="H677" i="28"/>
  <c r="J677" i="28" s="1"/>
  <c r="K677" i="28" s="1"/>
  <c r="H676" i="28"/>
  <c r="J676" i="28" s="1"/>
  <c r="K676" i="28" s="1"/>
  <c r="H675" i="28"/>
  <c r="J675" i="28" s="1"/>
  <c r="K675" i="28" s="1"/>
  <c r="H674" i="28"/>
  <c r="J674" i="28" s="1"/>
  <c r="K674" i="28" s="1"/>
  <c r="H673" i="28"/>
  <c r="J673" i="28" s="1"/>
  <c r="K673" i="28" s="1"/>
  <c r="H672" i="28"/>
  <c r="J672" i="28" s="1"/>
  <c r="K672" i="28" s="1"/>
  <c r="H671" i="28"/>
  <c r="J671" i="28" s="1"/>
  <c r="K671" i="28" s="1"/>
  <c r="H670" i="28"/>
  <c r="J670" i="28" s="1"/>
  <c r="K670" i="28" s="1"/>
  <c r="H669" i="28"/>
  <c r="J669" i="28" s="1"/>
  <c r="K669" i="28" s="1"/>
  <c r="H668" i="28"/>
  <c r="J668" i="28" s="1"/>
  <c r="K668" i="28" s="1"/>
  <c r="H667" i="28"/>
  <c r="J667" i="28" s="1"/>
  <c r="K667" i="28" s="1"/>
  <c r="H666" i="28"/>
  <c r="J666" i="28" s="1"/>
  <c r="K666" i="28" s="1"/>
  <c r="H665" i="28"/>
  <c r="J665" i="28" s="1"/>
  <c r="K665" i="28" s="1"/>
  <c r="H664" i="28"/>
  <c r="J664" i="28" s="1"/>
  <c r="K664" i="28" s="1"/>
  <c r="H663" i="28"/>
  <c r="J663" i="28" s="1"/>
  <c r="K663" i="28" s="1"/>
  <c r="H662" i="28"/>
  <c r="J662" i="28" s="1"/>
  <c r="K662" i="28" s="1"/>
  <c r="H661" i="28"/>
  <c r="J661" i="28" s="1"/>
  <c r="K661" i="28" s="1"/>
  <c r="H660" i="28"/>
  <c r="J660" i="28" s="1"/>
  <c r="K660" i="28" s="1"/>
  <c r="H659" i="28"/>
  <c r="J659" i="28" s="1"/>
  <c r="K659" i="28" s="1"/>
  <c r="H658" i="28"/>
  <c r="J658" i="28" s="1"/>
  <c r="K658" i="28" s="1"/>
  <c r="H657" i="28"/>
  <c r="J657" i="28" s="1"/>
  <c r="K657" i="28" s="1"/>
  <c r="H656" i="28"/>
  <c r="J656" i="28" s="1"/>
  <c r="K656" i="28" s="1"/>
  <c r="H655" i="28"/>
  <c r="J655" i="28" s="1"/>
  <c r="K655" i="28" s="1"/>
  <c r="H654" i="28"/>
  <c r="J654" i="28" s="1"/>
  <c r="K654" i="28" s="1"/>
  <c r="H653" i="28"/>
  <c r="J653" i="28" s="1"/>
  <c r="K653" i="28" s="1"/>
  <c r="H652" i="28"/>
  <c r="J652" i="28" s="1"/>
  <c r="K652" i="28" s="1"/>
  <c r="H651" i="28"/>
  <c r="J651" i="28" s="1"/>
  <c r="K651" i="28" s="1"/>
  <c r="H650" i="28"/>
  <c r="J650" i="28" s="1"/>
  <c r="K650" i="28" s="1"/>
  <c r="H649" i="28"/>
  <c r="J649" i="28" s="1"/>
  <c r="K649" i="28" s="1"/>
  <c r="H648" i="28"/>
  <c r="J648" i="28" s="1"/>
  <c r="K648" i="28" s="1"/>
  <c r="H647" i="28"/>
  <c r="J647" i="28" s="1"/>
  <c r="K647" i="28" s="1"/>
  <c r="H646" i="28"/>
  <c r="J646" i="28" s="1"/>
  <c r="K646" i="28" s="1"/>
  <c r="H645" i="28"/>
  <c r="J645" i="28" s="1"/>
  <c r="K645" i="28" s="1"/>
  <c r="H644" i="28"/>
  <c r="J644" i="28" s="1"/>
  <c r="K644" i="28" s="1"/>
  <c r="H643" i="28"/>
  <c r="J643" i="28" s="1"/>
  <c r="K643" i="28" s="1"/>
  <c r="H642" i="28"/>
  <c r="J642" i="28" s="1"/>
  <c r="K642" i="28" s="1"/>
  <c r="H641" i="28"/>
  <c r="J641" i="28" s="1"/>
  <c r="K641" i="28" s="1"/>
  <c r="H640" i="28"/>
  <c r="J640" i="28" s="1"/>
  <c r="K640" i="28" s="1"/>
  <c r="H639" i="28"/>
  <c r="J639" i="28" s="1"/>
  <c r="K639" i="28" s="1"/>
  <c r="H638" i="28"/>
  <c r="J638" i="28" s="1"/>
  <c r="K638" i="28" s="1"/>
  <c r="H637" i="28"/>
  <c r="J637" i="28" s="1"/>
  <c r="K637" i="28" s="1"/>
  <c r="H636" i="28"/>
  <c r="J636" i="28" s="1"/>
  <c r="K636" i="28" s="1"/>
  <c r="H635" i="28"/>
  <c r="J635" i="28" s="1"/>
  <c r="K635" i="28" s="1"/>
  <c r="H634" i="28"/>
  <c r="J634" i="28" s="1"/>
  <c r="K634" i="28" s="1"/>
  <c r="H633" i="28"/>
  <c r="J633" i="28" s="1"/>
  <c r="K633" i="28" s="1"/>
  <c r="H632" i="28"/>
  <c r="J632" i="28" s="1"/>
  <c r="K632" i="28" s="1"/>
  <c r="H631" i="28"/>
  <c r="J631" i="28" s="1"/>
  <c r="K631" i="28" s="1"/>
  <c r="H630" i="28"/>
  <c r="J630" i="28" s="1"/>
  <c r="K630" i="28" s="1"/>
  <c r="H629" i="28"/>
  <c r="J629" i="28" s="1"/>
  <c r="K629" i="28" s="1"/>
  <c r="H628" i="28"/>
  <c r="J628" i="28" s="1"/>
  <c r="K628" i="28" s="1"/>
  <c r="H627" i="28"/>
  <c r="J627" i="28" s="1"/>
  <c r="K627" i="28" s="1"/>
  <c r="H626" i="28"/>
  <c r="J626" i="28" s="1"/>
  <c r="K626" i="28" s="1"/>
  <c r="H625" i="28"/>
  <c r="J625" i="28" s="1"/>
  <c r="K625" i="28" s="1"/>
  <c r="H624" i="28"/>
  <c r="J624" i="28" s="1"/>
  <c r="K624" i="28" s="1"/>
  <c r="H623" i="28"/>
  <c r="J623" i="28" s="1"/>
  <c r="K623" i="28" s="1"/>
  <c r="H622" i="28"/>
  <c r="J622" i="28" s="1"/>
  <c r="K622" i="28" s="1"/>
  <c r="H621" i="28"/>
  <c r="J621" i="28" s="1"/>
  <c r="K621" i="28" s="1"/>
  <c r="H620" i="28"/>
  <c r="J620" i="28" s="1"/>
  <c r="K620" i="28" s="1"/>
  <c r="H619" i="28"/>
  <c r="J619" i="28" s="1"/>
  <c r="K619" i="28" s="1"/>
  <c r="H618" i="28"/>
  <c r="J618" i="28" s="1"/>
  <c r="K618" i="28" s="1"/>
  <c r="H617" i="28"/>
  <c r="J617" i="28" s="1"/>
  <c r="K617" i="28" s="1"/>
  <c r="H616" i="28"/>
  <c r="J616" i="28" s="1"/>
  <c r="K616" i="28" s="1"/>
  <c r="H615" i="28"/>
  <c r="J615" i="28" s="1"/>
  <c r="K615" i="28" s="1"/>
  <c r="H614" i="28"/>
  <c r="J614" i="28" s="1"/>
  <c r="K614" i="28" s="1"/>
  <c r="H613" i="28"/>
  <c r="J613" i="28" s="1"/>
  <c r="K613" i="28" s="1"/>
  <c r="H612" i="28"/>
  <c r="J612" i="28" s="1"/>
  <c r="K612" i="28" s="1"/>
  <c r="H611" i="28"/>
  <c r="J611" i="28" s="1"/>
  <c r="K611" i="28" s="1"/>
  <c r="H610" i="28"/>
  <c r="J610" i="28" s="1"/>
  <c r="K610" i="28" s="1"/>
  <c r="H609" i="28"/>
  <c r="J609" i="28" s="1"/>
  <c r="K609" i="28" s="1"/>
  <c r="H608" i="28"/>
  <c r="J608" i="28" s="1"/>
  <c r="K608" i="28" s="1"/>
  <c r="H607" i="28"/>
  <c r="J607" i="28" s="1"/>
  <c r="K607" i="28" s="1"/>
  <c r="H606" i="28"/>
  <c r="J606" i="28" s="1"/>
  <c r="K606" i="28" s="1"/>
  <c r="H605" i="28"/>
  <c r="J605" i="28" s="1"/>
  <c r="K605" i="28" s="1"/>
  <c r="H604" i="28"/>
  <c r="J604" i="28" s="1"/>
  <c r="K604" i="28" s="1"/>
  <c r="H603" i="28"/>
  <c r="J603" i="28" s="1"/>
  <c r="K603" i="28" s="1"/>
  <c r="H602" i="28"/>
  <c r="J602" i="28" s="1"/>
  <c r="K602" i="28" s="1"/>
  <c r="H601" i="28"/>
  <c r="J601" i="28" s="1"/>
  <c r="K601" i="28" s="1"/>
  <c r="H600" i="28"/>
  <c r="J600" i="28" s="1"/>
  <c r="K600" i="28" s="1"/>
  <c r="H599" i="28"/>
  <c r="J599" i="28" s="1"/>
  <c r="K599" i="28" s="1"/>
  <c r="H598" i="28"/>
  <c r="J598" i="28" s="1"/>
  <c r="K598" i="28" s="1"/>
  <c r="H597" i="28"/>
  <c r="J597" i="28" s="1"/>
  <c r="K597" i="28" s="1"/>
  <c r="H596" i="28"/>
  <c r="J596" i="28" s="1"/>
  <c r="K596" i="28" s="1"/>
  <c r="H595" i="28"/>
  <c r="J595" i="28" s="1"/>
  <c r="K595" i="28" s="1"/>
  <c r="H594" i="28"/>
  <c r="J594" i="28" s="1"/>
  <c r="K594" i="28" s="1"/>
  <c r="H593" i="28"/>
  <c r="J593" i="28" s="1"/>
  <c r="K593" i="28" s="1"/>
  <c r="H592" i="28"/>
  <c r="J592" i="28" s="1"/>
  <c r="K592" i="28" s="1"/>
  <c r="H591" i="28"/>
  <c r="J591" i="28" s="1"/>
  <c r="K591" i="28" s="1"/>
  <c r="H590" i="28"/>
  <c r="J590" i="28" s="1"/>
  <c r="K590" i="28" s="1"/>
  <c r="H589" i="28"/>
  <c r="J589" i="28" s="1"/>
  <c r="K589" i="28" s="1"/>
  <c r="H588" i="28"/>
  <c r="J588" i="28" s="1"/>
  <c r="K588" i="28" s="1"/>
  <c r="H587" i="28"/>
  <c r="J587" i="28" s="1"/>
  <c r="K587" i="28" s="1"/>
  <c r="H586" i="28"/>
  <c r="J586" i="28" s="1"/>
  <c r="K586" i="28" s="1"/>
  <c r="H585" i="28"/>
  <c r="J585" i="28" s="1"/>
  <c r="K585" i="28" s="1"/>
  <c r="H584" i="28"/>
  <c r="J584" i="28" s="1"/>
  <c r="K584" i="28" s="1"/>
  <c r="H583" i="28"/>
  <c r="J583" i="28" s="1"/>
  <c r="K583" i="28" s="1"/>
  <c r="H582" i="28"/>
  <c r="J582" i="28" s="1"/>
  <c r="K582" i="28" s="1"/>
  <c r="H581" i="28"/>
  <c r="J581" i="28" s="1"/>
  <c r="K581" i="28" s="1"/>
  <c r="H580" i="28"/>
  <c r="J580" i="28" s="1"/>
  <c r="K580" i="28" s="1"/>
  <c r="H579" i="28"/>
  <c r="J579" i="28" s="1"/>
  <c r="K579" i="28" s="1"/>
  <c r="H578" i="28"/>
  <c r="J578" i="28" s="1"/>
  <c r="K578" i="28" s="1"/>
  <c r="H577" i="28"/>
  <c r="J577" i="28" s="1"/>
  <c r="K577" i="28" s="1"/>
  <c r="H576" i="28"/>
  <c r="J576" i="28" s="1"/>
  <c r="K576" i="28" s="1"/>
  <c r="H575" i="28"/>
  <c r="J575" i="28" s="1"/>
  <c r="K575" i="28" s="1"/>
  <c r="H574" i="28"/>
  <c r="J574" i="28" s="1"/>
  <c r="K574" i="28" s="1"/>
  <c r="H573" i="28"/>
  <c r="J573" i="28" s="1"/>
  <c r="K573" i="28" s="1"/>
  <c r="H572" i="28"/>
  <c r="J572" i="28" s="1"/>
  <c r="K572" i="28" s="1"/>
  <c r="H571" i="28"/>
  <c r="J571" i="28" s="1"/>
  <c r="K571" i="28" s="1"/>
  <c r="H570" i="28"/>
  <c r="J570" i="28" s="1"/>
  <c r="K570" i="28" s="1"/>
  <c r="H569" i="28"/>
  <c r="J569" i="28" s="1"/>
  <c r="K569" i="28" s="1"/>
  <c r="H568" i="28"/>
  <c r="J568" i="28" s="1"/>
  <c r="K568" i="28" s="1"/>
  <c r="H567" i="28"/>
  <c r="J567" i="28" s="1"/>
  <c r="K567" i="28" s="1"/>
  <c r="H566" i="28"/>
  <c r="J566" i="28" s="1"/>
  <c r="K566" i="28" s="1"/>
  <c r="H565" i="28"/>
  <c r="J565" i="28" s="1"/>
  <c r="K565" i="28" s="1"/>
  <c r="H564" i="28"/>
  <c r="J564" i="28" s="1"/>
  <c r="K564" i="28" s="1"/>
  <c r="H563" i="28"/>
  <c r="J563" i="28" s="1"/>
  <c r="K563" i="28" s="1"/>
  <c r="H562" i="28"/>
  <c r="J562" i="28" s="1"/>
  <c r="K562" i="28" s="1"/>
  <c r="H561" i="28"/>
  <c r="J561" i="28" s="1"/>
  <c r="K561" i="28" s="1"/>
  <c r="H560" i="28"/>
  <c r="J560" i="28" s="1"/>
  <c r="K560" i="28" s="1"/>
  <c r="H559" i="28"/>
  <c r="J559" i="28" s="1"/>
  <c r="K559" i="28" s="1"/>
  <c r="H558" i="28"/>
  <c r="J558" i="28" s="1"/>
  <c r="K558" i="28" s="1"/>
  <c r="H557" i="28"/>
  <c r="J557" i="28" s="1"/>
  <c r="K557" i="28" s="1"/>
  <c r="H556" i="28"/>
  <c r="J556" i="28" s="1"/>
  <c r="K556" i="28" s="1"/>
  <c r="H555" i="28"/>
  <c r="J555" i="28" s="1"/>
  <c r="K555" i="28" s="1"/>
  <c r="H554" i="28"/>
  <c r="J554" i="28" s="1"/>
  <c r="K554" i="28" s="1"/>
  <c r="H553" i="28"/>
  <c r="J553" i="28" s="1"/>
  <c r="K553" i="28" s="1"/>
  <c r="H552" i="28"/>
  <c r="J552" i="28" s="1"/>
  <c r="K552" i="28" s="1"/>
  <c r="H551" i="28"/>
  <c r="J551" i="28" s="1"/>
  <c r="K551" i="28" s="1"/>
  <c r="H550" i="28"/>
  <c r="J550" i="28" s="1"/>
  <c r="K550" i="28" s="1"/>
  <c r="H549" i="28"/>
  <c r="J549" i="28" s="1"/>
  <c r="K549" i="28" s="1"/>
  <c r="H548" i="28"/>
  <c r="J548" i="28" s="1"/>
  <c r="K548" i="28" s="1"/>
  <c r="H547" i="28"/>
  <c r="J547" i="28" s="1"/>
  <c r="K547" i="28" s="1"/>
  <c r="H546" i="28"/>
  <c r="J546" i="28" s="1"/>
  <c r="K546" i="28" s="1"/>
  <c r="H545" i="28"/>
  <c r="J545" i="28" s="1"/>
  <c r="K545" i="28" s="1"/>
  <c r="H544" i="28"/>
  <c r="J544" i="28" s="1"/>
  <c r="K544" i="28" s="1"/>
  <c r="H543" i="28"/>
  <c r="J543" i="28" s="1"/>
  <c r="K543" i="28" s="1"/>
  <c r="H542" i="28"/>
  <c r="J542" i="28" s="1"/>
  <c r="K542" i="28" s="1"/>
  <c r="H541" i="28"/>
  <c r="J541" i="28" s="1"/>
  <c r="K541" i="28" s="1"/>
  <c r="H540" i="28"/>
  <c r="J540" i="28" s="1"/>
  <c r="K540" i="28" s="1"/>
  <c r="H539" i="28"/>
  <c r="J539" i="28" s="1"/>
  <c r="K539" i="28" s="1"/>
  <c r="H538" i="28"/>
  <c r="J538" i="28" s="1"/>
  <c r="K538" i="28" s="1"/>
  <c r="H537" i="28"/>
  <c r="J537" i="28" s="1"/>
  <c r="K537" i="28" s="1"/>
  <c r="H536" i="28"/>
  <c r="J536" i="28" s="1"/>
  <c r="K536" i="28" s="1"/>
  <c r="H535" i="28"/>
  <c r="J535" i="28" s="1"/>
  <c r="K535" i="28" s="1"/>
  <c r="H534" i="28"/>
  <c r="J534" i="28" s="1"/>
  <c r="K534" i="28" s="1"/>
  <c r="H533" i="28"/>
  <c r="J533" i="28" s="1"/>
  <c r="K533" i="28" s="1"/>
  <c r="H532" i="28"/>
  <c r="J532" i="28" s="1"/>
  <c r="K532" i="28" s="1"/>
  <c r="H531" i="28"/>
  <c r="J531" i="28" s="1"/>
  <c r="H530" i="28"/>
  <c r="J530" i="28" s="1"/>
  <c r="K530" i="28" s="1"/>
  <c r="H529" i="28"/>
  <c r="J529" i="28" s="1"/>
  <c r="K529" i="28" s="1"/>
  <c r="H528" i="28"/>
  <c r="J528" i="28" s="1"/>
  <c r="K528" i="28" s="1"/>
  <c r="H527" i="28"/>
  <c r="J527" i="28" s="1"/>
  <c r="K527" i="28" s="1"/>
  <c r="H526" i="28"/>
  <c r="J526" i="28" s="1"/>
  <c r="K526" i="28" s="1"/>
  <c r="H525" i="28"/>
  <c r="J525" i="28" s="1"/>
  <c r="K525" i="28" s="1"/>
  <c r="H524" i="28"/>
  <c r="J524" i="28" s="1"/>
  <c r="K524" i="28" s="1"/>
  <c r="H523" i="28"/>
  <c r="J523" i="28" s="1"/>
  <c r="K523" i="28" s="1"/>
  <c r="H522" i="28"/>
  <c r="J522" i="28" s="1"/>
  <c r="K522" i="28" s="1"/>
  <c r="H521" i="28"/>
  <c r="J521" i="28" s="1"/>
  <c r="K521" i="28" s="1"/>
  <c r="H520" i="28"/>
  <c r="J520" i="28" s="1"/>
  <c r="K520" i="28" s="1"/>
  <c r="H519" i="28"/>
  <c r="J519" i="28" s="1"/>
  <c r="K519" i="28" s="1"/>
  <c r="H518" i="28"/>
  <c r="J518" i="28" s="1"/>
  <c r="K518" i="28" s="1"/>
  <c r="H517" i="28"/>
  <c r="J517" i="28" s="1"/>
  <c r="K517" i="28" s="1"/>
  <c r="H516" i="28"/>
  <c r="J516" i="28" s="1"/>
  <c r="K516" i="28" s="1"/>
  <c r="H515" i="28"/>
  <c r="J515" i="28" s="1"/>
  <c r="K515" i="28" s="1"/>
  <c r="H514" i="28"/>
  <c r="J514" i="28" s="1"/>
  <c r="K514" i="28" s="1"/>
  <c r="H513" i="28"/>
  <c r="J513" i="28" s="1"/>
  <c r="K513" i="28" s="1"/>
  <c r="H512" i="28"/>
  <c r="J512" i="28" s="1"/>
  <c r="K512" i="28" s="1"/>
  <c r="H511" i="28"/>
  <c r="J511" i="28" s="1"/>
  <c r="K511" i="28" s="1"/>
  <c r="H510" i="28"/>
  <c r="J510" i="28" s="1"/>
  <c r="K510" i="28" s="1"/>
  <c r="H509" i="28"/>
  <c r="J509" i="28" s="1"/>
  <c r="K509" i="28" s="1"/>
  <c r="H508" i="28"/>
  <c r="J508" i="28" s="1"/>
  <c r="K508" i="28" s="1"/>
  <c r="H507" i="28"/>
  <c r="J507" i="28" s="1"/>
  <c r="K507" i="28" s="1"/>
  <c r="H506" i="28"/>
  <c r="J506" i="28" s="1"/>
  <c r="K506" i="28" s="1"/>
  <c r="H505" i="28"/>
  <c r="J505" i="28" s="1"/>
  <c r="K505" i="28" s="1"/>
  <c r="H504" i="28"/>
  <c r="J504" i="28" s="1"/>
  <c r="K504" i="28" s="1"/>
  <c r="H503" i="28"/>
  <c r="J503" i="28" s="1"/>
  <c r="K503" i="28" s="1"/>
  <c r="H502" i="28"/>
  <c r="J502" i="28" s="1"/>
  <c r="K502" i="28" s="1"/>
  <c r="H501" i="28"/>
  <c r="J501" i="28" s="1"/>
  <c r="H500" i="28"/>
  <c r="J500" i="28" s="1"/>
  <c r="K500" i="28" s="1"/>
  <c r="H499" i="28"/>
  <c r="J499" i="28" s="1"/>
  <c r="K499" i="28" s="1"/>
  <c r="H498" i="28"/>
  <c r="J498" i="28" s="1"/>
  <c r="K498" i="28" s="1"/>
  <c r="H497" i="28"/>
  <c r="J497" i="28" s="1"/>
  <c r="K497" i="28" s="1"/>
  <c r="H496" i="28"/>
  <c r="J496" i="28" s="1"/>
  <c r="K496" i="28" s="1"/>
  <c r="H495" i="28"/>
  <c r="J495" i="28" s="1"/>
  <c r="K495" i="28" s="1"/>
  <c r="H494" i="28"/>
  <c r="J494" i="28" s="1"/>
  <c r="K494" i="28" s="1"/>
  <c r="H493" i="28"/>
  <c r="J493" i="28" s="1"/>
  <c r="K493" i="28" s="1"/>
  <c r="H492" i="28"/>
  <c r="J492" i="28" s="1"/>
  <c r="K492" i="28" s="1"/>
  <c r="H491" i="28"/>
  <c r="J491" i="28" s="1"/>
  <c r="K491" i="28" s="1"/>
  <c r="H490" i="28"/>
  <c r="J490" i="28" s="1"/>
  <c r="K490" i="28" s="1"/>
  <c r="H489" i="28"/>
  <c r="J489" i="28" s="1"/>
  <c r="H488" i="28"/>
  <c r="J488" i="28" s="1"/>
  <c r="K488" i="28" s="1"/>
  <c r="H487" i="28"/>
  <c r="J487" i="28" s="1"/>
  <c r="K487" i="28" s="1"/>
  <c r="H486" i="28"/>
  <c r="J486" i="28" s="1"/>
  <c r="K486" i="28" s="1"/>
  <c r="H485" i="28"/>
  <c r="J485" i="28" s="1"/>
  <c r="K485" i="28" s="1"/>
  <c r="H484" i="28"/>
  <c r="J484" i="28" s="1"/>
  <c r="K484" i="28" s="1"/>
  <c r="H483" i="28"/>
  <c r="J483" i="28" s="1"/>
  <c r="H482" i="28"/>
  <c r="J482" i="28" s="1"/>
  <c r="K482" i="28" s="1"/>
  <c r="H481" i="28"/>
  <c r="J481" i="28" s="1"/>
  <c r="K481" i="28" s="1"/>
  <c r="H480" i="28"/>
  <c r="J480" i="28" s="1"/>
  <c r="K480" i="28" s="1"/>
  <c r="H479" i="28"/>
  <c r="J479" i="28" s="1"/>
  <c r="K479" i="28" s="1"/>
  <c r="H478" i="28"/>
  <c r="J478" i="28" s="1"/>
  <c r="K478" i="28" s="1"/>
  <c r="H477" i="28"/>
  <c r="J477" i="28" s="1"/>
  <c r="I158" i="29" s="1"/>
  <c r="J158" i="29" s="1"/>
  <c r="H476" i="28"/>
  <c r="J476" i="28" s="1"/>
  <c r="K476" i="28" s="1"/>
  <c r="H475" i="28"/>
  <c r="J475" i="28" s="1"/>
  <c r="K475" i="28" s="1"/>
  <c r="H474" i="28"/>
  <c r="J474" i="28" s="1"/>
  <c r="K474" i="28" s="1"/>
  <c r="H473" i="28"/>
  <c r="J473" i="28" s="1"/>
  <c r="K473" i="28" s="1"/>
  <c r="H472" i="28"/>
  <c r="J472" i="28" s="1"/>
  <c r="K472" i="28" s="1"/>
  <c r="H471" i="28"/>
  <c r="J471" i="28" s="1"/>
  <c r="K471" i="28" s="1"/>
  <c r="H470" i="28"/>
  <c r="J470" i="28" s="1"/>
  <c r="K470" i="28" s="1"/>
  <c r="H469" i="28"/>
  <c r="J469" i="28" s="1"/>
  <c r="K469" i="28" s="1"/>
  <c r="H468" i="28"/>
  <c r="J468" i="28" s="1"/>
  <c r="K468" i="28" s="1"/>
  <c r="H467" i="28"/>
  <c r="J467" i="28" s="1"/>
  <c r="K467" i="28" s="1"/>
  <c r="H466" i="28"/>
  <c r="J466" i="28" s="1"/>
  <c r="K466" i="28" s="1"/>
  <c r="H465" i="28"/>
  <c r="J465" i="28" s="1"/>
  <c r="H464" i="28"/>
  <c r="J464" i="28" s="1"/>
  <c r="K464" i="28" s="1"/>
  <c r="H463" i="28"/>
  <c r="J463" i="28" s="1"/>
  <c r="K463" i="28" s="1"/>
  <c r="H462" i="28"/>
  <c r="J462" i="28" s="1"/>
  <c r="K462" i="28" s="1"/>
  <c r="H461" i="28"/>
  <c r="J461" i="28" s="1"/>
  <c r="K461" i="28" s="1"/>
  <c r="H460" i="28"/>
  <c r="J460" i="28" s="1"/>
  <c r="K460" i="28" s="1"/>
  <c r="H459" i="28"/>
  <c r="J459" i="28" s="1"/>
  <c r="K459" i="28" s="1"/>
  <c r="H458" i="28"/>
  <c r="J458" i="28" s="1"/>
  <c r="K458" i="28" s="1"/>
  <c r="H457" i="28"/>
  <c r="J457" i="28" s="1"/>
  <c r="K457" i="28" s="1"/>
  <c r="H456" i="28"/>
  <c r="J456" i="28" s="1"/>
  <c r="K456" i="28" s="1"/>
  <c r="H455" i="28"/>
  <c r="J455" i="28" s="1"/>
  <c r="K455" i="28" s="1"/>
  <c r="H454" i="28"/>
  <c r="J454" i="28" s="1"/>
  <c r="K454" i="28" s="1"/>
  <c r="H453" i="28"/>
  <c r="J453" i="28" s="1"/>
  <c r="K453" i="28" s="1"/>
  <c r="H452" i="28"/>
  <c r="J452" i="28" s="1"/>
  <c r="K452" i="28" s="1"/>
  <c r="H451" i="28"/>
  <c r="J451" i="28" s="1"/>
  <c r="K451" i="28" s="1"/>
  <c r="H450" i="28"/>
  <c r="J450" i="28" s="1"/>
  <c r="K450" i="28" s="1"/>
  <c r="H449" i="28"/>
  <c r="J449" i="28" s="1"/>
  <c r="K449" i="28" s="1"/>
  <c r="H448" i="28"/>
  <c r="J448" i="28" s="1"/>
  <c r="K448" i="28" s="1"/>
  <c r="H447" i="28"/>
  <c r="J447" i="28" s="1"/>
  <c r="K447" i="28" s="1"/>
  <c r="H446" i="28"/>
  <c r="J446" i="28" s="1"/>
  <c r="K446" i="28" s="1"/>
  <c r="H445" i="28"/>
  <c r="J445" i="28" s="1"/>
  <c r="K445" i="28" s="1"/>
  <c r="H444" i="28"/>
  <c r="J444" i="28" s="1"/>
  <c r="K444" i="28" s="1"/>
  <c r="H443" i="28"/>
  <c r="J443" i="28" s="1"/>
  <c r="K443" i="28" s="1"/>
  <c r="H442" i="28"/>
  <c r="J442" i="28" s="1"/>
  <c r="K442" i="28" s="1"/>
  <c r="H441" i="28"/>
  <c r="J441" i="28" s="1"/>
  <c r="K441" i="28" s="1"/>
  <c r="H440" i="28"/>
  <c r="J440" i="28" s="1"/>
  <c r="K440" i="28" s="1"/>
  <c r="H439" i="28"/>
  <c r="J439" i="28" s="1"/>
  <c r="K439" i="28" s="1"/>
  <c r="H438" i="28"/>
  <c r="J438" i="28" s="1"/>
  <c r="K438" i="28" s="1"/>
  <c r="H437" i="28"/>
  <c r="J437" i="28" s="1"/>
  <c r="K437" i="28" s="1"/>
  <c r="H436" i="28"/>
  <c r="J436" i="28" s="1"/>
  <c r="K436" i="28" s="1"/>
  <c r="H435" i="28"/>
  <c r="J435" i="28" s="1"/>
  <c r="K435" i="28" s="1"/>
  <c r="H434" i="28"/>
  <c r="J434" i="28" s="1"/>
  <c r="K434" i="28" s="1"/>
  <c r="H433" i="28"/>
  <c r="J433" i="28" s="1"/>
  <c r="K433" i="28" s="1"/>
  <c r="H432" i="28"/>
  <c r="J432" i="28" s="1"/>
  <c r="K432" i="28" s="1"/>
  <c r="H431" i="28"/>
  <c r="J431" i="28" s="1"/>
  <c r="K431" i="28" s="1"/>
  <c r="H430" i="28"/>
  <c r="J430" i="28" s="1"/>
  <c r="K430" i="28" s="1"/>
  <c r="H429" i="28"/>
  <c r="J429" i="28" s="1"/>
  <c r="K429" i="28" s="1"/>
  <c r="H428" i="28"/>
  <c r="J428" i="28" s="1"/>
  <c r="K428" i="28" s="1"/>
  <c r="H427" i="28"/>
  <c r="J427" i="28" s="1"/>
  <c r="K427" i="28" s="1"/>
  <c r="H426" i="28"/>
  <c r="J426" i="28" s="1"/>
  <c r="K426" i="28" s="1"/>
  <c r="H425" i="28"/>
  <c r="J425" i="28" s="1"/>
  <c r="K425" i="28" s="1"/>
  <c r="H424" i="28"/>
  <c r="J424" i="28" s="1"/>
  <c r="K424" i="28" s="1"/>
  <c r="H423" i="28"/>
  <c r="J423" i="28" s="1"/>
  <c r="K423" i="28" s="1"/>
  <c r="H422" i="28"/>
  <c r="J422" i="28" s="1"/>
  <c r="K422" i="28" s="1"/>
  <c r="H421" i="28"/>
  <c r="J421" i="28" s="1"/>
  <c r="K421" i="28" s="1"/>
  <c r="H420" i="28"/>
  <c r="J420" i="28" s="1"/>
  <c r="K420" i="28" s="1"/>
  <c r="H419" i="28"/>
  <c r="J419" i="28" s="1"/>
  <c r="K419" i="28" s="1"/>
  <c r="H418" i="28"/>
  <c r="J418" i="28" s="1"/>
  <c r="K418" i="28" s="1"/>
  <c r="H417" i="28"/>
  <c r="J417" i="28" s="1"/>
  <c r="H416" i="28"/>
  <c r="J416" i="28" s="1"/>
  <c r="K416" i="28" s="1"/>
  <c r="H415" i="28"/>
  <c r="J415" i="28" s="1"/>
  <c r="K415" i="28" s="1"/>
  <c r="H414" i="28"/>
  <c r="J414" i="28" s="1"/>
  <c r="K414" i="28" s="1"/>
  <c r="H413" i="28"/>
  <c r="J413" i="28" s="1"/>
  <c r="K413" i="28" s="1"/>
  <c r="H412" i="28"/>
  <c r="J412" i="28" s="1"/>
  <c r="K412" i="28" s="1"/>
  <c r="H411" i="28"/>
  <c r="J411" i="28" s="1"/>
  <c r="K411" i="28" s="1"/>
  <c r="H410" i="28"/>
  <c r="J410" i="28" s="1"/>
  <c r="K410" i="28" s="1"/>
  <c r="H409" i="28"/>
  <c r="J409" i="28" s="1"/>
  <c r="K409" i="28" s="1"/>
  <c r="H408" i="28"/>
  <c r="J408" i="28" s="1"/>
  <c r="K408" i="28" s="1"/>
  <c r="H407" i="28"/>
  <c r="J407" i="28" s="1"/>
  <c r="I304" i="29" s="1"/>
  <c r="J304" i="29" s="1"/>
  <c r="K304" i="29" s="1"/>
  <c r="H406" i="28"/>
  <c r="J406" i="28" s="1"/>
  <c r="K406" i="28" s="1"/>
  <c r="H405" i="28"/>
  <c r="J405" i="28" s="1"/>
  <c r="H404" i="28"/>
  <c r="J404" i="28" s="1"/>
  <c r="K404" i="28" s="1"/>
  <c r="H403" i="28"/>
  <c r="J403" i="28" s="1"/>
  <c r="K403" i="28" s="1"/>
  <c r="H402" i="28"/>
  <c r="J402" i="28" s="1"/>
  <c r="K402" i="28" s="1"/>
  <c r="H401" i="28"/>
  <c r="J401" i="28" s="1"/>
  <c r="K401" i="28" s="1"/>
  <c r="H400" i="28"/>
  <c r="J400" i="28" s="1"/>
  <c r="K400" i="28" s="1"/>
  <c r="H399" i="28"/>
  <c r="J399" i="28" s="1"/>
  <c r="K399" i="28" s="1"/>
  <c r="H398" i="28"/>
  <c r="J398" i="28" s="1"/>
  <c r="K398" i="28" s="1"/>
  <c r="H397" i="28"/>
  <c r="J397" i="28" s="1"/>
  <c r="K397" i="28" s="1"/>
  <c r="H396" i="28"/>
  <c r="J396" i="28" s="1"/>
  <c r="K396" i="28" s="1"/>
  <c r="H395" i="28"/>
  <c r="J395" i="28" s="1"/>
  <c r="K395" i="28" s="1"/>
  <c r="H394" i="28"/>
  <c r="J394" i="28" s="1"/>
  <c r="K394" i="28" s="1"/>
  <c r="H393" i="28"/>
  <c r="J393" i="28" s="1"/>
  <c r="H392" i="28"/>
  <c r="J392" i="28" s="1"/>
  <c r="K392" i="28" s="1"/>
  <c r="H391" i="28"/>
  <c r="J391" i="28" s="1"/>
  <c r="K391" i="28" s="1"/>
  <c r="H390" i="28"/>
  <c r="J390" i="28" s="1"/>
  <c r="K390" i="28" s="1"/>
  <c r="H389" i="28"/>
  <c r="J389" i="28" s="1"/>
  <c r="I303" i="29" s="1"/>
  <c r="J303" i="29" s="1"/>
  <c r="K303" i="29" s="1"/>
  <c r="H388" i="28"/>
  <c r="J388" i="28" s="1"/>
  <c r="I91" i="29" s="1"/>
  <c r="J91" i="29" s="1"/>
  <c r="K91" i="29" s="1"/>
  <c r="H387" i="28"/>
  <c r="J387" i="28" s="1"/>
  <c r="H386" i="28"/>
  <c r="J386" i="28" s="1"/>
  <c r="K386" i="28" s="1"/>
  <c r="H385" i="28"/>
  <c r="J385" i="28" s="1"/>
  <c r="I279" i="29" s="1"/>
  <c r="J279" i="29" s="1"/>
  <c r="K279" i="29" s="1"/>
  <c r="H384" i="28"/>
  <c r="J384" i="28" s="1"/>
  <c r="K384" i="28" s="1"/>
  <c r="H383" i="28"/>
  <c r="J383" i="28" s="1"/>
  <c r="K383" i="28" s="1"/>
  <c r="H382" i="28"/>
  <c r="J382" i="28" s="1"/>
  <c r="K382" i="28" s="1"/>
  <c r="H381" i="28"/>
  <c r="J381" i="28" s="1"/>
  <c r="H380" i="28"/>
  <c r="J380" i="28" s="1"/>
  <c r="K380" i="28" s="1"/>
  <c r="H379" i="28"/>
  <c r="J379" i="28" s="1"/>
  <c r="K379" i="28" s="1"/>
  <c r="H378" i="28"/>
  <c r="J378" i="28" s="1"/>
  <c r="K378" i="28" s="1"/>
  <c r="H377" i="28"/>
  <c r="J377" i="28" s="1"/>
  <c r="K377" i="28" s="1"/>
  <c r="H376" i="28"/>
  <c r="J376" i="28" s="1"/>
  <c r="I284" i="29" s="1"/>
  <c r="J284" i="29" s="1"/>
  <c r="K284" i="29" s="1"/>
  <c r="H375" i="28"/>
  <c r="J375" i="28" s="1"/>
  <c r="H374" i="28"/>
  <c r="J374" i="28" s="1"/>
  <c r="K374" i="28" s="1"/>
  <c r="H373" i="28"/>
  <c r="J373" i="28" s="1"/>
  <c r="K373" i="28" s="1"/>
  <c r="H372" i="28"/>
  <c r="J372" i="28" s="1"/>
  <c r="K372" i="28" s="1"/>
  <c r="H371" i="28"/>
  <c r="J371" i="28" s="1"/>
  <c r="K371" i="28" s="1"/>
  <c r="H370" i="28"/>
  <c r="J370" i="28" s="1"/>
  <c r="K370" i="28" s="1"/>
  <c r="H369" i="28"/>
  <c r="J369" i="28" s="1"/>
  <c r="H368" i="28"/>
  <c r="J368" i="28" s="1"/>
  <c r="K368" i="28" s="1"/>
  <c r="H367" i="28"/>
  <c r="J367" i="28" s="1"/>
  <c r="K367" i="28" s="1"/>
  <c r="H366" i="28"/>
  <c r="J366" i="28" s="1"/>
  <c r="K366" i="28" s="1"/>
  <c r="H365" i="28"/>
  <c r="J365" i="28" s="1"/>
  <c r="K365" i="28" s="1"/>
  <c r="H364" i="28"/>
  <c r="J364" i="28" s="1"/>
  <c r="K364" i="28" s="1"/>
  <c r="H363" i="28"/>
  <c r="J363" i="28" s="1"/>
  <c r="K363" i="28" s="1"/>
  <c r="H362" i="28"/>
  <c r="J362" i="28" s="1"/>
  <c r="K362" i="28" s="1"/>
  <c r="H361" i="28"/>
  <c r="J361" i="28" s="1"/>
  <c r="K361" i="28" s="1"/>
  <c r="H360" i="28"/>
  <c r="J360" i="28" s="1"/>
  <c r="K360" i="28" s="1"/>
  <c r="H359" i="28"/>
  <c r="J359" i="28" s="1"/>
  <c r="I89" i="29" s="1"/>
  <c r="J89" i="29" s="1"/>
  <c r="K89" i="29" s="1"/>
  <c r="H358" i="28"/>
  <c r="J358" i="28" s="1"/>
  <c r="K358" i="28" s="1"/>
  <c r="H357" i="28"/>
  <c r="J357" i="28" s="1"/>
  <c r="H356" i="28"/>
  <c r="J356" i="28" s="1"/>
  <c r="I278" i="29" s="1"/>
  <c r="J278" i="29" s="1"/>
  <c r="K278" i="29" s="1"/>
  <c r="H355" i="28"/>
  <c r="J355" i="28" s="1"/>
  <c r="K355" i="28" s="1"/>
  <c r="H354" i="28"/>
  <c r="J354" i="28" s="1"/>
  <c r="K354" i="28" s="1"/>
  <c r="H353" i="28"/>
  <c r="J353" i="28" s="1"/>
  <c r="K353" i="28" s="1"/>
  <c r="H352" i="28"/>
  <c r="J352" i="28" s="1"/>
  <c r="K352" i="28" s="1"/>
  <c r="H351" i="28"/>
  <c r="J351" i="28" s="1"/>
  <c r="H350" i="28"/>
  <c r="J350" i="28" s="1"/>
  <c r="K350" i="28" s="1"/>
  <c r="H349" i="28"/>
  <c r="J349" i="28" s="1"/>
  <c r="K349" i="28" s="1"/>
  <c r="H348" i="28"/>
  <c r="J348" i="28" s="1"/>
  <c r="K348" i="28" s="1"/>
  <c r="H347" i="28"/>
  <c r="J347" i="28" s="1"/>
  <c r="K347" i="28" s="1"/>
  <c r="H346" i="28"/>
  <c r="J346" i="28" s="1"/>
  <c r="K346" i="28" s="1"/>
  <c r="H345" i="28"/>
  <c r="J345" i="28" s="1"/>
  <c r="K345" i="28" s="1"/>
  <c r="H344" i="28"/>
  <c r="J344" i="28" s="1"/>
  <c r="K344" i="28" s="1"/>
  <c r="H343" i="28"/>
  <c r="J343" i="28" s="1"/>
  <c r="K343" i="28" s="1"/>
  <c r="H342" i="28"/>
  <c r="J342" i="28" s="1"/>
  <c r="H341" i="28"/>
  <c r="J341" i="28" s="1"/>
  <c r="K341" i="28" s="1"/>
  <c r="H340" i="28"/>
  <c r="J340" i="28" s="1"/>
  <c r="K340" i="28" s="1"/>
  <c r="H339" i="28"/>
  <c r="J339" i="28" s="1"/>
  <c r="H338" i="28"/>
  <c r="J338" i="28" s="1"/>
  <c r="K338" i="28" s="1"/>
  <c r="H337" i="28"/>
  <c r="J337" i="28" s="1"/>
  <c r="K337" i="28" s="1"/>
  <c r="H336" i="28"/>
  <c r="J336" i="28" s="1"/>
  <c r="K336" i="28" s="1"/>
  <c r="H335" i="28"/>
  <c r="J335" i="28" s="1"/>
  <c r="K335" i="28" s="1"/>
  <c r="H334" i="28"/>
  <c r="J334" i="28" s="1"/>
  <c r="K334" i="28" s="1"/>
  <c r="H333" i="28"/>
  <c r="J333" i="28" s="1"/>
  <c r="K333" i="28" s="1"/>
  <c r="H332" i="28"/>
  <c r="J332" i="28" s="1"/>
  <c r="K332" i="28" s="1"/>
  <c r="H331" i="28"/>
  <c r="J331" i="28" s="1"/>
  <c r="K331" i="28" s="1"/>
  <c r="H330" i="28"/>
  <c r="J330" i="28" s="1"/>
  <c r="K330" i="28" s="1"/>
  <c r="H329" i="28"/>
  <c r="J329" i="28" s="1"/>
  <c r="K329" i="28" s="1"/>
  <c r="H328" i="28"/>
  <c r="J328" i="28" s="1"/>
  <c r="K328" i="28" s="1"/>
  <c r="H327" i="28"/>
  <c r="J327" i="28" s="1"/>
  <c r="K327" i="28" s="1"/>
  <c r="H326" i="28"/>
  <c r="J326" i="28" s="1"/>
  <c r="K326" i="28" s="1"/>
  <c r="H325" i="28"/>
  <c r="J325" i="28" s="1"/>
  <c r="K325" i="28" s="1"/>
  <c r="H324" i="28"/>
  <c r="J324" i="28" s="1"/>
  <c r="K324" i="28" s="1"/>
  <c r="H323" i="28"/>
  <c r="J323" i="28" s="1"/>
  <c r="K323" i="28" s="1"/>
  <c r="H322" i="28"/>
  <c r="J322" i="28" s="1"/>
  <c r="K322" i="28" s="1"/>
  <c r="H321" i="28"/>
  <c r="J321" i="28" s="1"/>
  <c r="K321" i="28" s="1"/>
  <c r="H320" i="28"/>
  <c r="J320" i="28" s="1"/>
  <c r="K320" i="28" s="1"/>
  <c r="H319" i="28"/>
  <c r="J319" i="28" s="1"/>
  <c r="K319" i="28" s="1"/>
  <c r="H318" i="28"/>
  <c r="J318" i="28" s="1"/>
  <c r="K318" i="28" s="1"/>
  <c r="H317" i="28"/>
  <c r="J317" i="28" s="1"/>
  <c r="K317" i="28" s="1"/>
  <c r="H316" i="28"/>
  <c r="J316" i="28" s="1"/>
  <c r="K316" i="28" s="1"/>
  <c r="H315" i="28"/>
  <c r="J315" i="28" s="1"/>
  <c r="K315" i="28" s="1"/>
  <c r="H314" i="28"/>
  <c r="J314" i="28" s="1"/>
  <c r="K314" i="28" s="1"/>
  <c r="H313" i="28"/>
  <c r="J313" i="28" s="1"/>
  <c r="K313" i="28" s="1"/>
  <c r="H312" i="28"/>
  <c r="J312" i="28" s="1"/>
  <c r="K312" i="28" s="1"/>
  <c r="H311" i="28"/>
  <c r="J311" i="28" s="1"/>
  <c r="K311" i="28" s="1"/>
  <c r="H310" i="28"/>
  <c r="J310" i="28" s="1"/>
  <c r="K310" i="28" s="1"/>
  <c r="H309" i="28"/>
  <c r="J309" i="28" s="1"/>
  <c r="K309" i="28" s="1"/>
  <c r="H308" i="28"/>
  <c r="J308" i="28" s="1"/>
  <c r="K308" i="28" s="1"/>
  <c r="H307" i="28"/>
  <c r="J307" i="28" s="1"/>
  <c r="K307" i="28" s="1"/>
  <c r="H306" i="28"/>
  <c r="J306" i="28" s="1"/>
  <c r="K306" i="28" s="1"/>
  <c r="H305" i="28"/>
  <c r="J305" i="28" s="1"/>
  <c r="K305" i="28" s="1"/>
  <c r="H304" i="28"/>
  <c r="J304" i="28" s="1"/>
  <c r="K304" i="28" s="1"/>
  <c r="H303" i="28"/>
  <c r="J303" i="28" s="1"/>
  <c r="K303" i="28" s="1"/>
  <c r="H302" i="28"/>
  <c r="J302" i="28" s="1"/>
  <c r="K302" i="28" s="1"/>
  <c r="H301" i="28"/>
  <c r="J301" i="28" s="1"/>
  <c r="K301" i="28" s="1"/>
  <c r="H300" i="28"/>
  <c r="J300" i="28" s="1"/>
  <c r="K300" i="28" s="1"/>
  <c r="H299" i="28"/>
  <c r="J299" i="28" s="1"/>
  <c r="K299" i="28" s="1"/>
  <c r="H298" i="28"/>
  <c r="J298" i="28" s="1"/>
  <c r="K298" i="28" s="1"/>
  <c r="H297" i="28"/>
  <c r="J297" i="28" s="1"/>
  <c r="K297" i="28" s="1"/>
  <c r="H296" i="28"/>
  <c r="J296" i="28" s="1"/>
  <c r="K296" i="28" s="1"/>
  <c r="H295" i="28"/>
  <c r="J295" i="28" s="1"/>
  <c r="K295" i="28" s="1"/>
  <c r="H294" i="28"/>
  <c r="J294" i="28" s="1"/>
  <c r="K294" i="28" s="1"/>
  <c r="H293" i="28"/>
  <c r="J293" i="28" s="1"/>
  <c r="I307" i="29" s="1"/>
  <c r="J307" i="29" s="1"/>
  <c r="K307" i="29" s="1"/>
  <c r="H292" i="28"/>
  <c r="J292" i="28" s="1"/>
  <c r="K292" i="28" s="1"/>
  <c r="H291" i="28"/>
  <c r="J291" i="28" s="1"/>
  <c r="K291" i="28" s="1"/>
  <c r="H290" i="28"/>
  <c r="J290" i="28" s="1"/>
  <c r="K290" i="28" s="1"/>
  <c r="H289" i="28"/>
  <c r="J289" i="28" s="1"/>
  <c r="K289" i="28" s="1"/>
  <c r="H288" i="28"/>
  <c r="J288" i="28" s="1"/>
  <c r="K288" i="28" s="1"/>
  <c r="H287" i="28"/>
  <c r="J287" i="28" s="1"/>
  <c r="K287" i="28" s="1"/>
  <c r="H286" i="28"/>
  <c r="J286" i="28" s="1"/>
  <c r="K286" i="28" s="1"/>
  <c r="H285" i="28"/>
  <c r="J285" i="28" s="1"/>
  <c r="K285" i="28" s="1"/>
  <c r="H284" i="28"/>
  <c r="J284" i="28" s="1"/>
  <c r="K284" i="28" s="1"/>
  <c r="H283" i="28"/>
  <c r="J283" i="28" s="1"/>
  <c r="K283" i="28" s="1"/>
  <c r="H282" i="28"/>
  <c r="J282" i="28" s="1"/>
  <c r="K282" i="28" s="1"/>
  <c r="H281" i="28"/>
  <c r="J281" i="28" s="1"/>
  <c r="K281" i="28" s="1"/>
  <c r="H280" i="28"/>
  <c r="J280" i="28" s="1"/>
  <c r="K280" i="28" s="1"/>
  <c r="H279" i="28"/>
  <c r="J279" i="28" s="1"/>
  <c r="K279" i="28" s="1"/>
  <c r="H278" i="28"/>
  <c r="J278" i="28" s="1"/>
  <c r="K278" i="28" s="1"/>
  <c r="H277" i="28"/>
  <c r="J277" i="28" s="1"/>
  <c r="K277" i="28" s="1"/>
  <c r="H276" i="28"/>
  <c r="J276" i="28" s="1"/>
  <c r="K276" i="28" s="1"/>
  <c r="H275" i="28"/>
  <c r="J275" i="28" s="1"/>
  <c r="K275" i="28" s="1"/>
  <c r="H274" i="28"/>
  <c r="J274" i="28" s="1"/>
  <c r="K274" i="28" s="1"/>
  <c r="H273" i="28"/>
  <c r="J273" i="28" s="1"/>
  <c r="K273" i="28" s="1"/>
  <c r="H272" i="28"/>
  <c r="J272" i="28" s="1"/>
  <c r="K272" i="28" s="1"/>
  <c r="H271" i="28"/>
  <c r="J271" i="28" s="1"/>
  <c r="K271" i="28" s="1"/>
  <c r="H270" i="28"/>
  <c r="J270" i="28" s="1"/>
  <c r="K270" i="28" s="1"/>
  <c r="H269" i="28"/>
  <c r="J269" i="28" s="1"/>
  <c r="K269" i="28" s="1"/>
  <c r="H268" i="28"/>
  <c r="J268" i="28" s="1"/>
  <c r="K268" i="28" s="1"/>
  <c r="H267" i="28"/>
  <c r="J267" i="28" s="1"/>
  <c r="K267" i="28" s="1"/>
  <c r="H266" i="28"/>
  <c r="J266" i="28" s="1"/>
  <c r="K266" i="28" s="1"/>
  <c r="H265" i="28"/>
  <c r="J265" i="28" s="1"/>
  <c r="K265" i="28" s="1"/>
  <c r="H264" i="28"/>
  <c r="J264" i="28" s="1"/>
  <c r="K264" i="28" s="1"/>
  <c r="H263" i="28"/>
  <c r="J263" i="28" s="1"/>
  <c r="K263" i="28" s="1"/>
  <c r="H262" i="28"/>
  <c r="J262" i="28" s="1"/>
  <c r="K262" i="28" s="1"/>
  <c r="H261" i="28"/>
  <c r="J261" i="28" s="1"/>
  <c r="H260" i="28"/>
  <c r="J260" i="28" s="1"/>
  <c r="K260" i="28" s="1"/>
  <c r="H259" i="28"/>
  <c r="J259" i="28" s="1"/>
  <c r="K259" i="28" s="1"/>
  <c r="H258" i="28"/>
  <c r="J258" i="28" s="1"/>
  <c r="K258" i="28" s="1"/>
  <c r="H257" i="28"/>
  <c r="J257" i="28" s="1"/>
  <c r="K257" i="28" s="1"/>
  <c r="H256" i="28"/>
  <c r="J256" i="28" s="1"/>
  <c r="I90" i="29" s="1"/>
  <c r="J90" i="29" s="1"/>
  <c r="K90" i="29" s="1"/>
  <c r="H255" i="28"/>
  <c r="J255" i="28" s="1"/>
  <c r="I53" i="29" s="1"/>
  <c r="J53" i="29" s="1"/>
  <c r="K53" i="29" s="1"/>
  <c r="H254" i="28"/>
  <c r="J254" i="28" s="1"/>
  <c r="K254" i="28" s="1"/>
  <c r="H253" i="28"/>
  <c r="J253" i="28" s="1"/>
  <c r="K253" i="28" s="1"/>
  <c r="H252" i="28"/>
  <c r="J252" i="28" s="1"/>
  <c r="K252" i="28" s="1"/>
  <c r="H251" i="28"/>
  <c r="J251" i="28" s="1"/>
  <c r="K251" i="28" s="1"/>
  <c r="H250" i="28"/>
  <c r="J250" i="28" s="1"/>
  <c r="K250" i="28" s="1"/>
  <c r="H249" i="28"/>
  <c r="J249" i="28" s="1"/>
  <c r="I152" i="29" s="1"/>
  <c r="J152" i="29" s="1"/>
  <c r="K152" i="29" s="1"/>
  <c r="H248" i="28"/>
  <c r="J248" i="28" s="1"/>
  <c r="K248" i="28" s="1"/>
  <c r="H247" i="28"/>
  <c r="J247" i="28" s="1"/>
  <c r="K247" i="28" s="1"/>
  <c r="H246" i="28"/>
  <c r="J246" i="28" s="1"/>
  <c r="K246" i="28" s="1"/>
  <c r="H245" i="28"/>
  <c r="J245" i="28" s="1"/>
  <c r="H244" i="28"/>
  <c r="J244" i="28" s="1"/>
  <c r="K244" i="28" s="1"/>
  <c r="H243" i="28"/>
  <c r="J243" i="28" s="1"/>
  <c r="K243" i="28" s="1"/>
  <c r="H242" i="28"/>
  <c r="J242" i="28" s="1"/>
  <c r="K242" i="28" s="1"/>
  <c r="H241" i="28"/>
  <c r="J241" i="28" s="1"/>
  <c r="K241" i="28" s="1"/>
  <c r="H240" i="28"/>
  <c r="J240" i="28" s="1"/>
  <c r="K240" i="28" s="1"/>
  <c r="H239" i="28"/>
  <c r="J239" i="28" s="1"/>
  <c r="K239" i="28" s="1"/>
  <c r="H238" i="28"/>
  <c r="J238" i="28" s="1"/>
  <c r="K238" i="28" s="1"/>
  <c r="H237" i="28"/>
  <c r="J237" i="28" s="1"/>
  <c r="K237" i="28" s="1"/>
  <c r="H236" i="28"/>
  <c r="J236" i="28" s="1"/>
  <c r="K236" i="28" s="1"/>
  <c r="H235" i="28"/>
  <c r="J235" i="28" s="1"/>
  <c r="K235" i="28" s="1"/>
  <c r="H234" i="28"/>
  <c r="J234" i="28" s="1"/>
  <c r="K234" i="28" s="1"/>
  <c r="H233" i="28"/>
  <c r="J233" i="28" s="1"/>
  <c r="K233" i="28" s="1"/>
  <c r="H232" i="28"/>
  <c r="J232" i="28" s="1"/>
  <c r="K232" i="28" s="1"/>
  <c r="H231" i="28"/>
  <c r="J231" i="28" s="1"/>
  <c r="K231" i="28" s="1"/>
  <c r="H230" i="28"/>
  <c r="J230" i="28" s="1"/>
  <c r="K230" i="28" s="1"/>
  <c r="H229" i="28"/>
  <c r="J229" i="28" s="1"/>
  <c r="K229" i="28" s="1"/>
  <c r="H228" i="28"/>
  <c r="J228" i="28" s="1"/>
  <c r="K228" i="28" s="1"/>
  <c r="H227" i="28"/>
  <c r="J227" i="28" s="1"/>
  <c r="K227" i="28" s="1"/>
  <c r="H226" i="28"/>
  <c r="J226" i="28" s="1"/>
  <c r="K226" i="28" s="1"/>
  <c r="H225" i="28"/>
  <c r="J225" i="28" s="1"/>
  <c r="K225" i="28" s="1"/>
  <c r="H224" i="28"/>
  <c r="J224" i="28" s="1"/>
  <c r="K224" i="28" s="1"/>
  <c r="H223" i="28"/>
  <c r="J223" i="28" s="1"/>
  <c r="K223" i="28" s="1"/>
  <c r="H222" i="28"/>
  <c r="J222" i="28" s="1"/>
  <c r="K222" i="28" s="1"/>
  <c r="H221" i="28"/>
  <c r="J221" i="28" s="1"/>
  <c r="K221" i="28" s="1"/>
  <c r="H220" i="28"/>
  <c r="J220" i="28" s="1"/>
  <c r="K220" i="28" s="1"/>
  <c r="H219" i="28"/>
  <c r="J219" i="28" s="1"/>
  <c r="K219" i="28" s="1"/>
  <c r="H218" i="28"/>
  <c r="J218" i="28" s="1"/>
  <c r="K218" i="28" s="1"/>
  <c r="H217" i="28"/>
  <c r="J217" i="28" s="1"/>
  <c r="K217" i="28" s="1"/>
  <c r="H216" i="28"/>
  <c r="J216" i="28" s="1"/>
  <c r="K216" i="28" s="1"/>
  <c r="H215" i="28"/>
  <c r="J215" i="28" s="1"/>
  <c r="K215" i="28" s="1"/>
  <c r="H214" i="28"/>
  <c r="J214" i="28" s="1"/>
  <c r="K214" i="28" s="1"/>
  <c r="H213" i="28"/>
  <c r="J213" i="28" s="1"/>
  <c r="K213" i="28" s="1"/>
  <c r="H212" i="28"/>
  <c r="J212" i="28" s="1"/>
  <c r="K212" i="28" s="1"/>
  <c r="H211" i="28"/>
  <c r="J211" i="28" s="1"/>
  <c r="K211" i="28" s="1"/>
  <c r="H210" i="28"/>
  <c r="J210" i="28" s="1"/>
  <c r="K210" i="28" s="1"/>
  <c r="H209" i="28"/>
  <c r="J209" i="28" s="1"/>
  <c r="K209" i="28" s="1"/>
  <c r="H208" i="28"/>
  <c r="J208" i="28" s="1"/>
  <c r="K208" i="28" s="1"/>
  <c r="H207" i="28"/>
  <c r="J207" i="28" s="1"/>
  <c r="K207" i="28" s="1"/>
  <c r="H206" i="28"/>
  <c r="J206" i="28" s="1"/>
  <c r="K206" i="28" s="1"/>
  <c r="H205" i="28"/>
  <c r="J205" i="28" s="1"/>
  <c r="K205" i="28" s="1"/>
  <c r="H204" i="28"/>
  <c r="J204" i="28" s="1"/>
  <c r="K204" i="28" s="1"/>
  <c r="H203" i="28"/>
  <c r="J203" i="28" s="1"/>
  <c r="K203" i="28" s="1"/>
  <c r="H202" i="28"/>
  <c r="J202" i="28" s="1"/>
  <c r="K202" i="28" s="1"/>
  <c r="H201" i="28"/>
  <c r="J201" i="28" s="1"/>
  <c r="K201" i="28" s="1"/>
  <c r="H200" i="28"/>
  <c r="J200" i="28" s="1"/>
  <c r="K200" i="28" s="1"/>
  <c r="H199" i="28"/>
  <c r="J199" i="28" s="1"/>
  <c r="K199" i="28" s="1"/>
  <c r="H198" i="28"/>
  <c r="J198" i="28" s="1"/>
  <c r="K198" i="28" s="1"/>
  <c r="H197" i="28"/>
  <c r="J197" i="28" s="1"/>
  <c r="K197" i="28" s="1"/>
  <c r="H196" i="28"/>
  <c r="J196" i="28" s="1"/>
  <c r="K196" i="28" s="1"/>
  <c r="H195" i="28"/>
  <c r="J195" i="28" s="1"/>
  <c r="H194" i="28"/>
  <c r="J194" i="28" s="1"/>
  <c r="K194" i="28" s="1"/>
  <c r="H193" i="28"/>
  <c r="J193" i="28" s="1"/>
  <c r="K193" i="28" s="1"/>
  <c r="H192" i="28"/>
  <c r="J192" i="28" s="1"/>
  <c r="K192" i="28" s="1"/>
  <c r="H191" i="28"/>
  <c r="J191" i="28" s="1"/>
  <c r="K191" i="28" s="1"/>
  <c r="H190" i="28"/>
  <c r="J190" i="28" s="1"/>
  <c r="K190" i="28" s="1"/>
  <c r="H189" i="28"/>
  <c r="J189" i="28" s="1"/>
  <c r="H188" i="28"/>
  <c r="J188" i="28" s="1"/>
  <c r="K188" i="28" s="1"/>
  <c r="H187" i="28"/>
  <c r="J187" i="28" s="1"/>
  <c r="K187" i="28" s="1"/>
  <c r="H186" i="28"/>
  <c r="J186" i="28" s="1"/>
  <c r="K186" i="28" s="1"/>
  <c r="H185" i="28"/>
  <c r="J185" i="28" s="1"/>
  <c r="K185" i="28" s="1"/>
  <c r="H184" i="28"/>
  <c r="J184" i="28" s="1"/>
  <c r="K184" i="28" s="1"/>
  <c r="H183" i="28"/>
  <c r="J183" i="28" s="1"/>
  <c r="H182" i="28"/>
  <c r="J182" i="28" s="1"/>
  <c r="K182" i="28" s="1"/>
  <c r="H181" i="28"/>
  <c r="J181" i="28" s="1"/>
  <c r="K181" i="28" s="1"/>
  <c r="H180" i="28"/>
  <c r="J180" i="28" s="1"/>
  <c r="K180" i="28" s="1"/>
  <c r="H179" i="28"/>
  <c r="J179" i="28" s="1"/>
  <c r="K179" i="28" s="1"/>
  <c r="H178" i="28"/>
  <c r="J178" i="28" s="1"/>
  <c r="K178" i="28" s="1"/>
  <c r="H177" i="28"/>
  <c r="J177" i="28" s="1"/>
  <c r="I137" i="29" s="1"/>
  <c r="J137" i="29" s="1"/>
  <c r="K137" i="29" s="1"/>
  <c r="H176" i="28"/>
  <c r="J176" i="28" s="1"/>
  <c r="K176" i="28" s="1"/>
  <c r="H175" i="28"/>
  <c r="J175" i="28" s="1"/>
  <c r="K175" i="28" s="1"/>
  <c r="H174" i="28"/>
  <c r="J174" i="28" s="1"/>
  <c r="K174" i="28" s="1"/>
  <c r="H173" i="28"/>
  <c r="J173" i="28" s="1"/>
  <c r="K173" i="28" s="1"/>
  <c r="H172" i="28"/>
  <c r="J172" i="28" s="1"/>
  <c r="K172" i="28" s="1"/>
  <c r="H171" i="28"/>
  <c r="J171" i="28" s="1"/>
  <c r="H170" i="28"/>
  <c r="J170" i="28" s="1"/>
  <c r="K170" i="28" s="1"/>
  <c r="H169" i="28"/>
  <c r="J169" i="28" s="1"/>
  <c r="K169" i="28" s="1"/>
  <c r="H168" i="28"/>
  <c r="J168" i="28" s="1"/>
  <c r="K168" i="28" s="1"/>
  <c r="H167" i="28"/>
  <c r="J167" i="28" s="1"/>
  <c r="K167" i="28" s="1"/>
  <c r="H166" i="28"/>
  <c r="J166" i="28" s="1"/>
  <c r="K166" i="28" s="1"/>
  <c r="H165" i="28"/>
  <c r="J165" i="28" s="1"/>
  <c r="H164" i="28"/>
  <c r="J164" i="28" s="1"/>
  <c r="K164" i="28" s="1"/>
  <c r="H163" i="28"/>
  <c r="J163" i="28" s="1"/>
  <c r="K163" i="28" s="1"/>
  <c r="H162" i="28"/>
  <c r="J162" i="28" s="1"/>
  <c r="K162" i="28" s="1"/>
  <c r="H161" i="28"/>
  <c r="J161" i="28" s="1"/>
  <c r="K161" i="28" s="1"/>
  <c r="H160" i="28"/>
  <c r="J160" i="28" s="1"/>
  <c r="K160" i="28" s="1"/>
  <c r="H159" i="28"/>
  <c r="J159" i="28" s="1"/>
  <c r="H158" i="28"/>
  <c r="J158" i="28" s="1"/>
  <c r="K158" i="28" s="1"/>
  <c r="H157" i="28"/>
  <c r="J157" i="28" s="1"/>
  <c r="K157" i="28" s="1"/>
  <c r="H156" i="28"/>
  <c r="J156" i="28" s="1"/>
  <c r="K156" i="28" s="1"/>
  <c r="H155" i="28"/>
  <c r="J155" i="28" s="1"/>
  <c r="K155" i="28" s="1"/>
  <c r="H154" i="28"/>
  <c r="J154" i="28" s="1"/>
  <c r="K154" i="28" s="1"/>
  <c r="H153" i="28"/>
  <c r="J153" i="28" s="1"/>
  <c r="H152" i="28"/>
  <c r="J152" i="28" s="1"/>
  <c r="K152" i="28" s="1"/>
  <c r="H151" i="28"/>
  <c r="J151" i="28" s="1"/>
  <c r="K151" i="28" s="1"/>
  <c r="H150" i="28"/>
  <c r="J150" i="28" s="1"/>
  <c r="K150" i="28" s="1"/>
  <c r="H149" i="28"/>
  <c r="J149" i="28" s="1"/>
  <c r="K149" i="28" s="1"/>
  <c r="H148" i="28"/>
  <c r="J148" i="28" s="1"/>
  <c r="K148" i="28" s="1"/>
  <c r="H147" i="28"/>
  <c r="J147" i="28" s="1"/>
  <c r="H146" i="28"/>
  <c r="J146" i="28" s="1"/>
  <c r="K146" i="28" s="1"/>
  <c r="H145" i="28"/>
  <c r="J145" i="28" s="1"/>
  <c r="K145" i="28" s="1"/>
  <c r="H144" i="28"/>
  <c r="J144" i="28" s="1"/>
  <c r="K144" i="28" s="1"/>
  <c r="H143" i="28"/>
  <c r="J143" i="28" s="1"/>
  <c r="K143" i="28" s="1"/>
  <c r="H142" i="28"/>
  <c r="J142" i="28" s="1"/>
  <c r="K142" i="28" s="1"/>
  <c r="H141" i="28"/>
  <c r="J141" i="28" s="1"/>
  <c r="H140" i="28"/>
  <c r="J140" i="28" s="1"/>
  <c r="K140" i="28" s="1"/>
  <c r="H139" i="28"/>
  <c r="J139" i="28" s="1"/>
  <c r="K139" i="28" s="1"/>
  <c r="H138" i="28"/>
  <c r="J138" i="28" s="1"/>
  <c r="H137" i="28"/>
  <c r="J137" i="28" s="1"/>
  <c r="K137" i="28" s="1"/>
  <c r="H136" i="28"/>
  <c r="J136" i="28" s="1"/>
  <c r="K136" i="28" s="1"/>
  <c r="H135" i="28"/>
  <c r="J135" i="28" s="1"/>
  <c r="H134" i="28"/>
  <c r="J134" i="28" s="1"/>
  <c r="K134" i="28" s="1"/>
  <c r="H133" i="28"/>
  <c r="J133" i="28" s="1"/>
  <c r="K133" i="28" s="1"/>
  <c r="H132" i="28"/>
  <c r="J132" i="28" s="1"/>
  <c r="K132" i="28" s="1"/>
  <c r="H131" i="28"/>
  <c r="J131" i="28" s="1"/>
  <c r="K131" i="28" s="1"/>
  <c r="H130" i="28"/>
  <c r="J130" i="28" s="1"/>
  <c r="K130" i="28" s="1"/>
  <c r="H129" i="28"/>
  <c r="J129" i="28" s="1"/>
  <c r="I156" i="29" s="1"/>
  <c r="J156" i="29" s="1"/>
  <c r="K156" i="29" s="1"/>
  <c r="H128" i="28"/>
  <c r="J128" i="28" s="1"/>
  <c r="H127" i="28"/>
  <c r="J127" i="28" s="1"/>
  <c r="K127" i="28" s="1"/>
  <c r="H126" i="28"/>
  <c r="J126" i="28" s="1"/>
  <c r="H125" i="28"/>
  <c r="J125" i="28" s="1"/>
  <c r="I184" i="29" s="1"/>
  <c r="J184" i="29" s="1"/>
  <c r="K184" i="29" s="1"/>
  <c r="H124" i="28"/>
  <c r="J124" i="28" s="1"/>
  <c r="I183" i="29" s="1"/>
  <c r="J183" i="29" s="1"/>
  <c r="K183" i="29" s="1"/>
  <c r="H123" i="28"/>
  <c r="J123" i="28" s="1"/>
  <c r="H122" i="28"/>
  <c r="J122" i="28" s="1"/>
  <c r="K122" i="28" s="1"/>
  <c r="H121" i="28"/>
  <c r="J121" i="28" s="1"/>
  <c r="K121" i="28" s="1"/>
  <c r="H120" i="28"/>
  <c r="J120" i="28" s="1"/>
  <c r="K120" i="28" s="1"/>
  <c r="H119" i="28"/>
  <c r="J119" i="28" s="1"/>
  <c r="K119" i="28" s="1"/>
  <c r="H118" i="28"/>
  <c r="J118" i="28" s="1"/>
  <c r="K118" i="28" s="1"/>
  <c r="H117" i="28"/>
  <c r="J117" i="28" s="1"/>
  <c r="K117" i="28" s="1"/>
  <c r="H116" i="28"/>
  <c r="J116" i="28" s="1"/>
  <c r="K116" i="28" s="1"/>
  <c r="H115" i="28"/>
  <c r="J115" i="28" s="1"/>
  <c r="K115" i="28" s="1"/>
  <c r="H114" i="28"/>
  <c r="J114" i="28" s="1"/>
  <c r="K114" i="28" s="1"/>
  <c r="H113" i="28"/>
  <c r="J113" i="28" s="1"/>
  <c r="K113" i="28" s="1"/>
  <c r="H112" i="28"/>
  <c r="J112" i="28" s="1"/>
  <c r="K112" i="28" s="1"/>
  <c r="H111" i="28"/>
  <c r="J111" i="28" s="1"/>
  <c r="K111" i="28" s="1"/>
  <c r="H110" i="28"/>
  <c r="J110" i="28" s="1"/>
  <c r="K110" i="28" s="1"/>
  <c r="H109" i="28"/>
  <c r="J109" i="28" s="1"/>
  <c r="K109" i="28" s="1"/>
  <c r="H108" i="28"/>
  <c r="J108" i="28" s="1"/>
  <c r="K108" i="28" s="1"/>
  <c r="H107" i="28"/>
  <c r="J107" i="28" s="1"/>
  <c r="K107" i="28" s="1"/>
  <c r="H106" i="28"/>
  <c r="J106" i="28" s="1"/>
  <c r="K106" i="28" s="1"/>
  <c r="H105" i="28"/>
  <c r="J105" i="28" s="1"/>
  <c r="K105" i="28" s="1"/>
  <c r="H104" i="28"/>
  <c r="J104" i="28" s="1"/>
  <c r="K104" i="28" s="1"/>
  <c r="H103" i="28"/>
  <c r="J103" i="28" s="1"/>
  <c r="K103" i="28" s="1"/>
  <c r="H102" i="28"/>
  <c r="J102" i="28" s="1"/>
  <c r="K102" i="28" s="1"/>
  <c r="H101" i="28"/>
  <c r="J101" i="28" s="1"/>
  <c r="K101" i="28" s="1"/>
  <c r="H100" i="28"/>
  <c r="J100" i="28" s="1"/>
  <c r="K100" i="28" s="1"/>
  <c r="H99" i="28"/>
  <c r="J99" i="28" s="1"/>
  <c r="K99" i="28" s="1"/>
  <c r="H98" i="28"/>
  <c r="J98" i="28" s="1"/>
  <c r="K98" i="28" s="1"/>
  <c r="H97" i="28"/>
  <c r="J97" i="28" s="1"/>
  <c r="K97" i="28" s="1"/>
  <c r="H96" i="28"/>
  <c r="J96" i="28" s="1"/>
  <c r="K96" i="28" s="1"/>
  <c r="H95" i="28"/>
  <c r="J95" i="28" s="1"/>
  <c r="K95" i="28" s="1"/>
  <c r="H94" i="28"/>
  <c r="J94" i="28" s="1"/>
  <c r="K94" i="28" s="1"/>
  <c r="H93" i="28"/>
  <c r="J93" i="28" s="1"/>
  <c r="I159" i="29" s="1"/>
  <c r="J159" i="29" s="1"/>
  <c r="H92" i="28"/>
  <c r="J92" i="28" s="1"/>
  <c r="K92" i="28" s="1"/>
  <c r="H91" i="28"/>
  <c r="J91" i="28" s="1"/>
  <c r="K91" i="28" s="1"/>
  <c r="H90" i="28"/>
  <c r="J90" i="28" s="1"/>
  <c r="K90" i="28" s="1"/>
  <c r="H89" i="28"/>
  <c r="J89" i="28" s="1"/>
  <c r="K89" i="28" s="1"/>
  <c r="H88" i="28"/>
  <c r="J88" i="28" s="1"/>
  <c r="K88" i="28" s="1"/>
  <c r="H87" i="28"/>
  <c r="J87" i="28" s="1"/>
  <c r="K87" i="28" s="1"/>
  <c r="H86" i="28"/>
  <c r="J86" i="28" s="1"/>
  <c r="K86" i="28" s="1"/>
  <c r="H85" i="28"/>
  <c r="J85" i="28" s="1"/>
  <c r="K85" i="28" s="1"/>
  <c r="H84" i="28"/>
  <c r="J84" i="28" s="1"/>
  <c r="K84" i="28" s="1"/>
  <c r="H83" i="28"/>
  <c r="J83" i="28" s="1"/>
  <c r="K83" i="28" s="1"/>
  <c r="H82" i="28"/>
  <c r="J82" i="28" s="1"/>
  <c r="K82" i="28" s="1"/>
  <c r="H81" i="28"/>
  <c r="J81" i="28" s="1"/>
  <c r="K81" i="28" s="1"/>
  <c r="H80" i="28"/>
  <c r="J80" i="28" s="1"/>
  <c r="K80" i="28" s="1"/>
  <c r="H79" i="28"/>
  <c r="J79" i="28" s="1"/>
  <c r="I191" i="29" s="1"/>
  <c r="J191" i="29" s="1"/>
  <c r="K191" i="29" s="1"/>
  <c r="H78" i="28"/>
  <c r="J78" i="28" s="1"/>
  <c r="K78" i="28" s="1"/>
  <c r="H77" i="28"/>
  <c r="J77" i="28" s="1"/>
  <c r="H76" i="28"/>
  <c r="J76" i="28" s="1"/>
  <c r="K76" i="28" s="1"/>
  <c r="H75" i="28"/>
  <c r="J75" i="28" s="1"/>
  <c r="H74" i="28"/>
  <c r="J74" i="28" s="1"/>
  <c r="K74" i="28" s="1"/>
  <c r="H73" i="28"/>
  <c r="J73" i="28" s="1"/>
  <c r="K73" i="28" s="1"/>
  <c r="H72" i="28"/>
  <c r="J72" i="28" s="1"/>
  <c r="K72" i="28" s="1"/>
  <c r="H71" i="28"/>
  <c r="J71" i="28" s="1"/>
  <c r="K71" i="28" s="1"/>
  <c r="H70" i="28"/>
  <c r="J70" i="28" s="1"/>
  <c r="K70" i="28" s="1"/>
  <c r="H69" i="28"/>
  <c r="J69" i="28" s="1"/>
  <c r="K69" i="28" s="1"/>
  <c r="H68" i="28"/>
  <c r="J68" i="28" s="1"/>
  <c r="K68" i="28" s="1"/>
  <c r="H67" i="28"/>
  <c r="J67" i="28" s="1"/>
  <c r="I190" i="29" s="1"/>
  <c r="J190" i="29" s="1"/>
  <c r="K190" i="29" s="1"/>
  <c r="H66" i="28"/>
  <c r="J66" i="28" s="1"/>
  <c r="K66" i="28" s="1"/>
  <c r="H65" i="28"/>
  <c r="J65" i="28" s="1"/>
  <c r="K65" i="28" s="1"/>
  <c r="H64" i="28"/>
  <c r="J64" i="28" s="1"/>
  <c r="I283" i="29" s="1"/>
  <c r="J283" i="29" s="1"/>
  <c r="K283" i="29" s="1"/>
  <c r="H63" i="28"/>
  <c r="J63" i="28" s="1"/>
  <c r="H62" i="28"/>
  <c r="J62" i="28" s="1"/>
  <c r="K62" i="28" s="1"/>
  <c r="H61" i="28"/>
  <c r="J61" i="28" s="1"/>
  <c r="K61" i="28" s="1"/>
  <c r="H60" i="28"/>
  <c r="J60" i="28" s="1"/>
  <c r="K60" i="28" s="1"/>
  <c r="H59" i="28"/>
  <c r="J59" i="28" s="1"/>
  <c r="K59" i="28" s="1"/>
  <c r="H58" i="28"/>
  <c r="J58" i="28" s="1"/>
  <c r="I73" i="29" s="1"/>
  <c r="J73" i="29" s="1"/>
  <c r="K73" i="29" s="1"/>
  <c r="H57" i="28"/>
  <c r="J57" i="28" s="1"/>
  <c r="H56" i="28"/>
  <c r="J56" i="28" s="1"/>
  <c r="K56" i="28" s="1"/>
  <c r="H55" i="28"/>
  <c r="J55" i="28" s="1"/>
  <c r="I189" i="29" s="1"/>
  <c r="J189" i="29" s="1"/>
  <c r="K189" i="29" s="1"/>
  <c r="H54" i="28"/>
  <c r="J54" i="28" s="1"/>
  <c r="K54" i="28" s="1"/>
  <c r="H53" i="28"/>
  <c r="J53" i="28" s="1"/>
  <c r="H52" i="28"/>
  <c r="J52" i="28" s="1"/>
  <c r="I194" i="29" s="1"/>
  <c r="J194" i="29" s="1"/>
  <c r="H51" i="28"/>
  <c r="J51" i="28" s="1"/>
  <c r="H50" i="28"/>
  <c r="J50" i="28" s="1"/>
  <c r="K50" i="28" s="1"/>
  <c r="H49" i="28"/>
  <c r="J49" i="28" s="1"/>
  <c r="K49" i="28" s="1"/>
  <c r="H48" i="28"/>
  <c r="J48" i="28" s="1"/>
  <c r="K48" i="28" s="1"/>
  <c r="H47" i="28"/>
  <c r="J47" i="28" s="1"/>
  <c r="I297" i="29" s="1"/>
  <c r="J297" i="29" s="1"/>
  <c r="K297" i="29" s="1"/>
  <c r="H46" i="28"/>
  <c r="J46" i="28" s="1"/>
  <c r="K46" i="28" s="1"/>
  <c r="H45" i="28"/>
  <c r="J45" i="28" s="1"/>
  <c r="H44" i="28"/>
  <c r="J44" i="28" s="1"/>
  <c r="H43" i="28"/>
  <c r="J43" i="28" s="1"/>
  <c r="H42" i="28"/>
  <c r="J42" i="28" s="1"/>
  <c r="K42" i="28" s="1"/>
  <c r="H41" i="28"/>
  <c r="J41" i="28" s="1"/>
  <c r="H40" i="28"/>
  <c r="J40" i="28" s="1"/>
  <c r="I72" i="29" s="1"/>
  <c r="J72" i="29" s="1"/>
  <c r="K72" i="29" s="1"/>
  <c r="H39" i="28"/>
  <c r="J39" i="28" s="1"/>
  <c r="H38" i="28"/>
  <c r="J38" i="28" s="1"/>
  <c r="K38" i="28" s="1"/>
  <c r="H37" i="28"/>
  <c r="J37" i="28" s="1"/>
  <c r="H36" i="28"/>
  <c r="J36" i="28" s="1"/>
  <c r="K36" i="28" s="1"/>
  <c r="H35" i="28"/>
  <c r="J35" i="28" s="1"/>
  <c r="H34" i="28"/>
  <c r="J34" i="28" s="1"/>
  <c r="I71" i="29" s="1"/>
  <c r="J71" i="29" s="1"/>
  <c r="K71" i="29" s="1"/>
  <c r="H33" i="28"/>
  <c r="J33" i="28" s="1"/>
  <c r="I45" i="29" s="1"/>
  <c r="J45" i="29" s="1"/>
  <c r="K45" i="29" s="1"/>
  <c r="H32" i="28"/>
  <c r="J32" i="28" s="1"/>
  <c r="K32" i="28" s="1"/>
  <c r="H31" i="28"/>
  <c r="J31" i="28" s="1"/>
  <c r="H30" i="28"/>
  <c r="J30" i="28" s="1"/>
  <c r="K30" i="28" s="1"/>
  <c r="H29" i="28"/>
  <c r="J29" i="28" s="1"/>
  <c r="H28" i="28"/>
  <c r="J28" i="28" s="1"/>
  <c r="H27" i="28"/>
  <c r="J27" i="28" s="1"/>
  <c r="H26" i="28"/>
  <c r="J26" i="28" s="1"/>
  <c r="K26" i="28" s="1"/>
  <c r="H25" i="28"/>
  <c r="J25" i="28" s="1"/>
  <c r="K25" i="28" s="1"/>
  <c r="H24" i="28"/>
  <c r="J24" i="28" s="1"/>
  <c r="H23" i="28"/>
  <c r="J23" i="28" s="1"/>
  <c r="K23" i="28" s="1"/>
  <c r="H22" i="28"/>
  <c r="J22" i="28" s="1"/>
  <c r="K22" i="28" s="1"/>
  <c r="H21" i="28"/>
  <c r="J21" i="28" s="1"/>
  <c r="I167" i="29" s="1"/>
  <c r="J167" i="29" s="1"/>
  <c r="K167" i="29" s="1"/>
  <c r="H8" i="28"/>
  <c r="J8" i="28" s="1"/>
  <c r="K8" i="28" s="1"/>
  <c r="H7" i="28"/>
  <c r="J7" i="28" s="1"/>
  <c r="K7" i="28" s="1"/>
  <c r="H6" i="28"/>
  <c r="J6" i="28" s="1"/>
  <c r="H5" i="28"/>
  <c r="J5" i="28" s="1"/>
  <c r="H4" i="28"/>
  <c r="J4" i="28" s="1"/>
  <c r="K4" i="28" s="1"/>
  <c r="H3" i="28"/>
  <c r="J3" i="28" s="1"/>
  <c r="K3" i="28" s="1"/>
  <c r="O56" i="27"/>
  <c r="O48" i="27"/>
  <c r="O30" i="27"/>
  <c r="O24" i="27"/>
  <c r="O20" i="27"/>
  <c r="O19" i="27"/>
  <c r="O18" i="27"/>
  <c r="O15" i="27"/>
  <c r="O14" i="27"/>
  <c r="L13" i="27"/>
  <c r="O12" i="27"/>
  <c r="O11" i="27"/>
  <c r="O10" i="27"/>
  <c r="O9" i="27"/>
  <c r="O8" i="27"/>
  <c r="O6" i="27"/>
  <c r="O5" i="27"/>
  <c r="O4" i="27"/>
  <c r="O3" i="27"/>
  <c r="O2" i="27"/>
  <c r="J57" i="27"/>
  <c r="K57" i="27" s="1"/>
  <c r="J56" i="27"/>
  <c r="K56" i="27" s="1"/>
  <c r="J55" i="27"/>
  <c r="J49" i="27"/>
  <c r="K49" i="27" s="1"/>
  <c r="J48" i="27"/>
  <c r="K48" i="27" s="1"/>
  <c r="J47" i="27"/>
  <c r="J30" i="27"/>
  <c r="J28" i="27"/>
  <c r="K28" i="27" s="1"/>
  <c r="J26" i="27"/>
  <c r="J25" i="27"/>
  <c r="K25" i="27" s="1"/>
  <c r="J24" i="27"/>
  <c r="K24" i="27" s="1"/>
  <c r="J22" i="27"/>
  <c r="J21" i="27"/>
  <c r="K21" i="27" s="1"/>
  <c r="J20" i="27"/>
  <c r="K20" i="27" s="1"/>
  <c r="J18" i="27"/>
  <c r="J17" i="27"/>
  <c r="K17" i="27" s="1"/>
  <c r="J16" i="27"/>
  <c r="K16" i="27" s="1"/>
  <c r="J4" i="27"/>
  <c r="A29" i="27"/>
  <c r="A30" i="27"/>
  <c r="A31" i="27"/>
  <c r="A32" i="27"/>
  <c r="A33" i="27"/>
  <c r="A34" i="27"/>
  <c r="A35" i="27"/>
  <c r="A36" i="27"/>
  <c r="A37" i="27"/>
  <c r="A38" i="27"/>
  <c r="A39" i="27"/>
  <c r="A40" i="27"/>
  <c r="A41" i="27"/>
  <c r="A42" i="27"/>
  <c r="A43" i="27"/>
  <c r="A44" i="27"/>
  <c r="A45" i="27"/>
  <c r="A46" i="27"/>
  <c r="A47" i="27"/>
  <c r="A48" i="27"/>
  <c r="A49" i="27"/>
  <c r="A50" i="27"/>
  <c r="A51" i="27"/>
  <c r="A52" i="27"/>
  <c r="A53" i="27"/>
  <c r="A54" i="27"/>
  <c r="A55" i="27"/>
  <c r="A56" i="27"/>
  <c r="A57" i="27"/>
  <c r="A58" i="27"/>
  <c r="A59" i="27"/>
  <c r="A60" i="27"/>
  <c r="A61" i="27"/>
  <c r="A62" i="27"/>
  <c r="A63" i="27"/>
  <c r="A64" i="27"/>
  <c r="A65" i="27"/>
  <c r="A66" i="27"/>
  <c r="A67" i="27"/>
  <c r="A68" i="27"/>
  <c r="A69" i="27"/>
  <c r="A70" i="27"/>
  <c r="A71" i="27"/>
  <c r="A72" i="27"/>
  <c r="A73" i="27"/>
  <c r="A74" i="27"/>
  <c r="A75" i="27"/>
  <c r="A76" i="27"/>
  <c r="A77" i="27"/>
  <c r="A78" i="27"/>
  <c r="A79" i="27"/>
  <c r="A80" i="27"/>
  <c r="A81" i="27"/>
  <c r="A82" i="27"/>
  <c r="A83" i="27"/>
  <c r="A84" i="27"/>
  <c r="A85" i="27"/>
  <c r="A86" i="27"/>
  <c r="A87" i="27"/>
  <c r="A88" i="27"/>
  <c r="A89" i="27"/>
  <c r="A90" i="27"/>
  <c r="A91" i="27"/>
  <c r="A92" i="27"/>
  <c r="A93" i="27"/>
  <c r="A94" i="27"/>
  <c r="A95" i="27"/>
  <c r="A96" i="27"/>
  <c r="A97" i="27"/>
  <c r="A98" i="27"/>
  <c r="A99" i="27"/>
  <c r="A100" i="27"/>
  <c r="A101" i="27"/>
  <c r="A102" i="27"/>
  <c r="A103" i="27"/>
  <c r="A104" i="27"/>
  <c r="A105" i="27"/>
  <c r="A106" i="27"/>
  <c r="A107" i="27"/>
  <c r="A108" i="27"/>
  <c r="A109" i="27"/>
  <c r="A110" i="27"/>
  <c r="A111" i="27"/>
  <c r="A112" i="27"/>
  <c r="A113" i="27"/>
  <c r="A114" i="27"/>
  <c r="A115" i="27"/>
  <c r="A116" i="27"/>
  <c r="A117" i="27"/>
  <c r="A118" i="27"/>
  <c r="A119" i="27"/>
  <c r="A120" i="27"/>
  <c r="A121" i="27"/>
  <c r="A122" i="27"/>
  <c r="A123" i="27"/>
  <c r="A124" i="27"/>
  <c r="A125" i="27"/>
  <c r="A126" i="27"/>
  <c r="A127" i="27"/>
  <c r="A128" i="27"/>
  <c r="A129" i="27"/>
  <c r="A130" i="27"/>
  <c r="A131" i="27"/>
  <c r="A132" i="27"/>
  <c r="A133" i="27"/>
  <c r="A134" i="27"/>
  <c r="A135" i="27"/>
  <c r="A136" i="27"/>
  <c r="A137" i="27"/>
  <c r="A138" i="27"/>
  <c r="A139" i="27"/>
  <c r="A140" i="27"/>
  <c r="A141" i="27"/>
  <c r="A142" i="27"/>
  <c r="A143" i="27"/>
  <c r="A144" i="27"/>
  <c r="A145" i="27"/>
  <c r="A146" i="27"/>
  <c r="A147" i="27"/>
  <c r="A148" i="27"/>
  <c r="A149" i="27"/>
  <c r="A150" i="27"/>
  <c r="A151" i="27"/>
  <c r="A152" i="27"/>
  <c r="A153" i="27"/>
  <c r="A154" i="27"/>
  <c r="A155" i="27"/>
  <c r="A156" i="27"/>
  <c r="A157" i="27"/>
  <c r="A158" i="27"/>
  <c r="A159" i="27"/>
  <c r="A160" i="27"/>
  <c r="A161" i="27"/>
  <c r="A162" i="27"/>
  <c r="A163" i="27"/>
  <c r="A164" i="27"/>
  <c r="A165" i="27"/>
  <c r="A166" i="27"/>
  <c r="A167" i="27"/>
  <c r="A168" i="27"/>
  <c r="A169" i="27"/>
  <c r="A170" i="27"/>
  <c r="A171" i="27"/>
  <c r="A172" i="27"/>
  <c r="A173" i="27"/>
  <c r="A174" i="27"/>
  <c r="A175" i="27"/>
  <c r="A176" i="27"/>
  <c r="A177" i="27"/>
  <c r="A178" i="27"/>
  <c r="A179" i="27"/>
  <c r="A180" i="27"/>
  <c r="A181" i="27"/>
  <c r="A182" i="27"/>
  <c r="A183" i="27"/>
  <c r="A184" i="27"/>
  <c r="A185" i="27"/>
  <c r="A186" i="27"/>
  <c r="A187" i="27"/>
  <c r="A188" i="27"/>
  <c r="A189" i="27"/>
  <c r="A190" i="27"/>
  <c r="A191" i="27"/>
  <c r="A192" i="27"/>
  <c r="A193" i="27"/>
  <c r="A194" i="27"/>
  <c r="A195" i="27"/>
  <c r="A196" i="27"/>
  <c r="A197" i="27"/>
  <c r="A198" i="27"/>
  <c r="A199" i="27"/>
  <c r="A200" i="27"/>
  <c r="A201" i="27"/>
  <c r="A202" i="27"/>
  <c r="A203" i="27"/>
  <c r="A204" i="27"/>
  <c r="A205" i="27"/>
  <c r="A206" i="27"/>
  <c r="A207" i="27"/>
  <c r="A208" i="27"/>
  <c r="A209" i="27"/>
  <c r="A210" i="27"/>
  <c r="A211" i="27"/>
  <c r="A212" i="27"/>
  <c r="A213" i="27"/>
  <c r="A214" i="27"/>
  <c r="A215" i="27"/>
  <c r="A216" i="27"/>
  <c r="A217" i="27"/>
  <c r="A218" i="27"/>
  <c r="A219" i="27"/>
  <c r="A220" i="27"/>
  <c r="A221" i="27"/>
  <c r="A222" i="27"/>
  <c r="A223" i="27"/>
  <c r="A224" i="27"/>
  <c r="A225" i="27"/>
  <c r="A226" i="27"/>
  <c r="A227" i="27"/>
  <c r="A228" i="27"/>
  <c r="A229" i="27"/>
  <c r="A230" i="27"/>
  <c r="A231" i="27"/>
  <c r="A232" i="27"/>
  <c r="A233" i="27"/>
  <c r="A234" i="27"/>
  <c r="A235" i="27"/>
  <c r="A236" i="27"/>
  <c r="A237" i="27"/>
  <c r="A238" i="27"/>
  <c r="A239" i="27"/>
  <c r="A240" i="27"/>
  <c r="A241" i="27"/>
  <c r="A242" i="27"/>
  <c r="A243" i="27"/>
  <c r="A244" i="27"/>
  <c r="A245" i="27"/>
  <c r="A246" i="27"/>
  <c r="A247" i="27"/>
  <c r="A248" i="27"/>
  <c r="A249" i="27"/>
  <c r="A250" i="27"/>
  <c r="A251" i="27"/>
  <c r="A252" i="27"/>
  <c r="A253" i="27"/>
  <c r="A254" i="27"/>
  <c r="A255" i="27"/>
  <c r="A256" i="27"/>
  <c r="A257" i="27"/>
  <c r="A258" i="27"/>
  <c r="A259" i="27"/>
  <c r="A260" i="27"/>
  <c r="A261" i="27"/>
  <c r="A262" i="27"/>
  <c r="A263" i="27"/>
  <c r="A264" i="27"/>
  <c r="A265" i="27"/>
  <c r="A266" i="27"/>
  <c r="A267" i="27"/>
  <c r="A268" i="27"/>
  <c r="A269" i="27"/>
  <c r="A270" i="27"/>
  <c r="A271" i="27"/>
  <c r="A272" i="27"/>
  <c r="A273" i="27"/>
  <c r="A274" i="27"/>
  <c r="A275" i="27"/>
  <c r="A276" i="27"/>
  <c r="A277" i="27"/>
  <c r="A278" i="27"/>
  <c r="A279" i="27"/>
  <c r="A280" i="27"/>
  <c r="A281" i="27"/>
  <c r="A282" i="27"/>
  <c r="A283" i="27"/>
  <c r="A284" i="27"/>
  <c r="A285" i="27"/>
  <c r="A286" i="27"/>
  <c r="A287" i="27"/>
  <c r="A288" i="27"/>
  <c r="A289" i="27"/>
  <c r="A290" i="27"/>
  <c r="A291" i="27"/>
  <c r="A292" i="27"/>
  <c r="A293" i="27"/>
  <c r="A294" i="27"/>
  <c r="A295" i="27"/>
  <c r="A17" i="27"/>
  <c r="A18" i="27"/>
  <c r="A19" i="27"/>
  <c r="A20" i="27"/>
  <c r="A21" i="27"/>
  <c r="A22" i="27"/>
  <c r="A23" i="27"/>
  <c r="A24" i="27"/>
  <c r="A25" i="27"/>
  <c r="A26" i="27"/>
  <c r="A27" i="27"/>
  <c r="A28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I173" i="29" l="1"/>
  <c r="J173" i="29" s="1"/>
  <c r="I292" i="29"/>
  <c r="J292" i="29" s="1"/>
  <c r="K292" i="29" s="1"/>
  <c r="I369" i="29"/>
  <c r="J369" i="29" s="1"/>
  <c r="K369" i="29" s="1"/>
  <c r="I142" i="29"/>
  <c r="J142" i="29" s="1"/>
  <c r="K142" i="29" s="1"/>
  <c r="I293" i="29"/>
  <c r="J293" i="29" s="1"/>
  <c r="K293" i="29" s="1"/>
  <c r="I97" i="29"/>
  <c r="J97" i="29" s="1"/>
  <c r="I102" i="29"/>
  <c r="J102" i="29" s="1"/>
  <c r="K102" i="29" s="1"/>
  <c r="I155" i="29"/>
  <c r="J155" i="29" s="1"/>
  <c r="K155" i="29" s="1"/>
  <c r="I308" i="29"/>
  <c r="J308" i="29" s="1"/>
  <c r="K308" i="29" s="1"/>
  <c r="I107" i="29"/>
  <c r="J107" i="29" s="1"/>
  <c r="K107" i="29" s="1"/>
  <c r="I139" i="29"/>
  <c r="J139" i="29" s="1"/>
  <c r="K139" i="29" s="1"/>
  <c r="I154" i="29"/>
  <c r="J154" i="29" s="1"/>
  <c r="K154" i="29" s="1"/>
  <c r="I51" i="29"/>
  <c r="J51" i="29" s="1"/>
  <c r="K51" i="29" s="1"/>
  <c r="I86" i="29"/>
  <c r="J86" i="29" s="1"/>
  <c r="K86" i="29" s="1"/>
  <c r="I116" i="29"/>
  <c r="J116" i="29" s="1"/>
  <c r="K116" i="29" s="1"/>
  <c r="I138" i="29"/>
  <c r="J138" i="29" s="1"/>
  <c r="K138" i="29" s="1"/>
  <c r="I305" i="29"/>
  <c r="J305" i="29" s="1"/>
  <c r="K305" i="29" s="1"/>
  <c r="I333" i="29"/>
  <c r="J333" i="29" s="1"/>
  <c r="K333" i="29" s="1"/>
  <c r="I157" i="29"/>
  <c r="J157" i="29" s="1"/>
  <c r="K157" i="29" s="1"/>
  <c r="I164" i="29"/>
  <c r="J164" i="29" s="1"/>
  <c r="K164" i="29" s="1"/>
  <c r="I328" i="29"/>
  <c r="J328" i="29" s="1"/>
  <c r="K328" i="29" s="1"/>
  <c r="I358" i="29"/>
  <c r="J358" i="29" s="1"/>
  <c r="I379" i="29"/>
  <c r="J379" i="29" s="1"/>
  <c r="K379" i="29" s="1"/>
  <c r="I316" i="29"/>
  <c r="J316" i="29" s="1"/>
  <c r="K316" i="29" s="1"/>
  <c r="I50" i="29"/>
  <c r="J50" i="29" s="1"/>
  <c r="K50" i="29" s="1"/>
  <c r="I162" i="29"/>
  <c r="J162" i="29" s="1"/>
  <c r="K162" i="29" s="1"/>
  <c r="I323" i="29"/>
  <c r="J323" i="29" s="1"/>
  <c r="K323" i="29" s="1"/>
  <c r="I96" i="29"/>
  <c r="J96" i="29" s="1"/>
  <c r="K96" i="29" s="1"/>
  <c r="I118" i="29"/>
  <c r="J118" i="29" s="1"/>
  <c r="K118" i="29" s="1"/>
  <c r="I317" i="29"/>
  <c r="J317" i="29" s="1"/>
  <c r="K317" i="29" s="1"/>
  <c r="I318" i="29"/>
  <c r="J318" i="29" s="1"/>
  <c r="K318" i="29" s="1"/>
  <c r="I149" i="29"/>
  <c r="J149" i="29" s="1"/>
  <c r="K149" i="29" s="1"/>
  <c r="I163" i="29"/>
  <c r="J163" i="29" s="1"/>
  <c r="K163" i="29" s="1"/>
  <c r="I377" i="29"/>
  <c r="J377" i="29" s="1"/>
  <c r="K377" i="29" s="1"/>
  <c r="I201" i="29"/>
  <c r="J201" i="29" s="1"/>
  <c r="K201" i="29" s="1"/>
  <c r="I356" i="29"/>
  <c r="J356" i="29" s="1"/>
  <c r="K356" i="29" s="1"/>
  <c r="I387" i="29"/>
  <c r="J387" i="29" s="1"/>
  <c r="K387" i="29" s="1"/>
  <c r="I88" i="29"/>
  <c r="J88" i="29" s="1"/>
  <c r="K88" i="29" s="1"/>
  <c r="I82" i="29"/>
  <c r="J82" i="29" s="1"/>
  <c r="K82" i="29" s="1"/>
  <c r="I375" i="29"/>
  <c r="J375" i="29" s="1"/>
  <c r="K375" i="29" s="1"/>
  <c r="I80" i="29"/>
  <c r="J80" i="29" s="1"/>
  <c r="K80" i="29" s="1"/>
  <c r="I83" i="29"/>
  <c r="J83" i="29" s="1"/>
  <c r="K83" i="29" s="1"/>
  <c r="I160" i="29"/>
  <c r="J160" i="29" s="1"/>
  <c r="I113" i="29"/>
  <c r="J113" i="29" s="1"/>
  <c r="K113" i="29" s="1"/>
  <c r="I122" i="29"/>
  <c r="J122" i="29" s="1"/>
  <c r="K122" i="29" s="1"/>
  <c r="I373" i="29"/>
  <c r="J373" i="29" s="1"/>
  <c r="K373" i="29" s="1"/>
  <c r="I326" i="29"/>
  <c r="J326" i="29" s="1"/>
  <c r="K326" i="29" s="1"/>
  <c r="I54" i="29"/>
  <c r="J54" i="29" s="1"/>
  <c r="I146" i="29"/>
  <c r="J146" i="29" s="1"/>
  <c r="K146" i="29" s="1"/>
  <c r="I124" i="29"/>
  <c r="J124" i="29" s="1"/>
  <c r="K124" i="29" s="1"/>
  <c r="I77" i="29"/>
  <c r="J77" i="29" s="1"/>
  <c r="I94" i="29"/>
  <c r="J94" i="29" s="1"/>
  <c r="K94" i="29" s="1"/>
  <c r="I125" i="29"/>
  <c r="J125" i="29" s="1"/>
  <c r="K125" i="29" s="1"/>
  <c r="I132" i="29"/>
  <c r="J132" i="29" s="1"/>
  <c r="K132" i="29" s="1"/>
  <c r="I147" i="29"/>
  <c r="J147" i="29" s="1"/>
  <c r="K147" i="29" s="1"/>
  <c r="K483" i="28"/>
  <c r="I334" i="29"/>
  <c r="J334" i="29" s="1"/>
  <c r="K531" i="28"/>
  <c r="I342" i="29"/>
  <c r="J342" i="29" s="1"/>
  <c r="K342" i="29" s="1"/>
  <c r="K695" i="28"/>
  <c r="I348" i="29"/>
  <c r="J348" i="29" s="1"/>
  <c r="K348" i="29" s="1"/>
  <c r="I246" i="29"/>
  <c r="J246" i="29" s="1"/>
  <c r="K246" i="29" s="1"/>
  <c r="I250" i="29"/>
  <c r="J250" i="29" s="1"/>
  <c r="K250" i="29" s="1"/>
  <c r="I56" i="29"/>
  <c r="J56" i="29" s="1"/>
  <c r="I172" i="29"/>
  <c r="J172" i="29" s="1"/>
  <c r="K172" i="29" s="1"/>
  <c r="K855" i="28"/>
  <c r="I223" i="29"/>
  <c r="J223" i="29" s="1"/>
  <c r="K223" i="29" s="1"/>
  <c r="I227" i="29"/>
  <c r="J227" i="29" s="1"/>
  <c r="K227" i="29" s="1"/>
  <c r="I237" i="29"/>
  <c r="J237" i="29" s="1"/>
  <c r="K237" i="29" s="1"/>
  <c r="I228" i="29"/>
  <c r="J228" i="29" s="1"/>
  <c r="K228" i="29" s="1"/>
  <c r="I239" i="29"/>
  <c r="J239" i="29" s="1"/>
  <c r="K239" i="29" s="1"/>
  <c r="I236" i="29"/>
  <c r="J236" i="29" s="1"/>
  <c r="K236" i="29" s="1"/>
  <c r="I224" i="29"/>
  <c r="J224" i="29" s="1"/>
  <c r="K224" i="29" s="1"/>
  <c r="I238" i="29"/>
  <c r="J238" i="29" s="1"/>
  <c r="K238" i="29" s="1"/>
  <c r="K338" i="29"/>
  <c r="E30" i="29"/>
  <c r="F30" i="29" s="1"/>
  <c r="I349" i="29"/>
  <c r="J349" i="29" s="1"/>
  <c r="I353" i="29"/>
  <c r="J353" i="29" s="1"/>
  <c r="K353" i="29" s="1"/>
  <c r="K28" i="28"/>
  <c r="I70" i="29"/>
  <c r="J70" i="29" s="1"/>
  <c r="K70" i="29" s="1"/>
  <c r="I199" i="29"/>
  <c r="J199" i="29" s="1"/>
  <c r="K199" i="29" s="1"/>
  <c r="I180" i="29"/>
  <c r="J180" i="29" s="1"/>
  <c r="K180" i="29" s="1"/>
  <c r="I178" i="29"/>
  <c r="J178" i="29" s="1"/>
  <c r="K178" i="29" s="1"/>
  <c r="K194" i="29"/>
  <c r="I276" i="29"/>
  <c r="J276" i="29" s="1"/>
  <c r="I182" i="29"/>
  <c r="J182" i="29" s="1"/>
  <c r="I277" i="29"/>
  <c r="J277" i="29" s="1"/>
  <c r="K277" i="29" s="1"/>
  <c r="K688" i="28"/>
  <c r="I214" i="29"/>
  <c r="J214" i="29" s="1"/>
  <c r="K214" i="29" s="1"/>
  <c r="I217" i="29"/>
  <c r="J217" i="29" s="1"/>
  <c r="K217" i="29" s="1"/>
  <c r="I106" i="29"/>
  <c r="J106" i="29" s="1"/>
  <c r="K106" i="29" s="1"/>
  <c r="I337" i="29"/>
  <c r="J337" i="29" s="1"/>
  <c r="K337" i="29" s="1"/>
  <c r="I111" i="29"/>
  <c r="J111" i="29" s="1"/>
  <c r="K111" i="29" s="1"/>
  <c r="I101" i="29"/>
  <c r="J101" i="29" s="1"/>
  <c r="K101" i="29" s="1"/>
  <c r="K820" i="28"/>
  <c r="I205" i="29"/>
  <c r="J205" i="29" s="1"/>
  <c r="K205" i="29" s="1"/>
  <c r="I204" i="29"/>
  <c r="J204" i="29" s="1"/>
  <c r="K204" i="29" s="1"/>
  <c r="I81" i="29"/>
  <c r="J81" i="29" s="1"/>
  <c r="K81" i="29" s="1"/>
  <c r="I368" i="29"/>
  <c r="J368" i="29" s="1"/>
  <c r="I359" i="29"/>
  <c r="J359" i="29" s="1"/>
  <c r="K359" i="29" s="1"/>
  <c r="I362" i="29"/>
  <c r="J362" i="29" s="1"/>
  <c r="K362" i="29" s="1"/>
  <c r="I309" i="29"/>
  <c r="J309" i="29" s="1"/>
  <c r="K309" i="29" s="1"/>
  <c r="I123" i="29"/>
  <c r="J123" i="29" s="1"/>
  <c r="K123" i="29" s="1"/>
  <c r="I321" i="29"/>
  <c r="J321" i="29" s="1"/>
  <c r="K321" i="29" s="1"/>
  <c r="I85" i="29"/>
  <c r="J85" i="29" s="1"/>
  <c r="K85" i="29" s="1"/>
  <c r="I332" i="29"/>
  <c r="J332" i="29" s="1"/>
  <c r="K332" i="29" s="1"/>
  <c r="I384" i="29"/>
  <c r="J384" i="29" s="1"/>
  <c r="K384" i="29" s="1"/>
  <c r="I128" i="29"/>
  <c r="J128" i="29" s="1"/>
  <c r="K128" i="29" s="1"/>
  <c r="I360" i="29"/>
  <c r="J360" i="29" s="1"/>
  <c r="K360" i="29" s="1"/>
  <c r="I363" i="29"/>
  <c r="J363" i="29" s="1"/>
  <c r="K363" i="29" s="1"/>
  <c r="I361" i="29"/>
  <c r="J361" i="29" s="1"/>
  <c r="K361" i="29" s="1"/>
  <c r="I266" i="29"/>
  <c r="J266" i="29" s="1"/>
  <c r="K266" i="29" s="1"/>
  <c r="I264" i="29"/>
  <c r="J264" i="29" s="1"/>
  <c r="K264" i="29" s="1"/>
  <c r="I263" i="29"/>
  <c r="J263" i="29" s="1"/>
  <c r="K263" i="29" s="1"/>
  <c r="I265" i="29"/>
  <c r="J265" i="29" s="1"/>
  <c r="K265" i="29" s="1"/>
  <c r="K37" i="28"/>
  <c r="I193" i="29"/>
  <c r="J193" i="29" s="1"/>
  <c r="K193" i="29" s="1"/>
  <c r="I179" i="29"/>
  <c r="J179" i="29" s="1"/>
  <c r="I296" i="29"/>
  <c r="J296" i="29" s="1"/>
  <c r="K296" i="29" s="1"/>
  <c r="I176" i="29"/>
  <c r="J176" i="29" s="1"/>
  <c r="I43" i="29"/>
  <c r="J43" i="29" s="1"/>
  <c r="K43" i="29" s="1"/>
  <c r="I141" i="29"/>
  <c r="J141" i="29" s="1"/>
  <c r="I174" i="29"/>
  <c r="J174" i="29" s="1"/>
  <c r="K174" i="29" s="1"/>
  <c r="K53" i="28"/>
  <c r="I181" i="29"/>
  <c r="J181" i="29" s="1"/>
  <c r="K181" i="29" s="1"/>
  <c r="I195" i="29"/>
  <c r="J195" i="29" s="1"/>
  <c r="K195" i="29" s="1"/>
  <c r="I42" i="29"/>
  <c r="J42" i="29" s="1"/>
  <c r="I126" i="29"/>
  <c r="J126" i="29" s="1"/>
  <c r="K126" i="29" s="1"/>
  <c r="I298" i="29"/>
  <c r="J298" i="29" s="1"/>
  <c r="K298" i="29" s="1"/>
  <c r="I285" i="29"/>
  <c r="J285" i="29" s="1"/>
  <c r="I339" i="29"/>
  <c r="J339" i="29" s="1"/>
  <c r="I87" i="29"/>
  <c r="J87" i="29" s="1"/>
  <c r="K87" i="29" s="1"/>
  <c r="I148" i="29"/>
  <c r="J148" i="29" s="1"/>
  <c r="K148" i="29" s="1"/>
  <c r="I378" i="29"/>
  <c r="J378" i="29" s="1"/>
  <c r="K378" i="29" s="1"/>
  <c r="I350" i="29"/>
  <c r="J350" i="29" s="1"/>
  <c r="K350" i="29" s="1"/>
  <c r="I355" i="29"/>
  <c r="J355" i="29" s="1"/>
  <c r="K355" i="29" s="1"/>
  <c r="I117" i="29"/>
  <c r="J117" i="29" s="1"/>
  <c r="K117" i="29" s="1"/>
  <c r="I319" i="29"/>
  <c r="J319" i="29" s="1"/>
  <c r="K319" i="29" s="1"/>
  <c r="I150" i="29"/>
  <c r="J150" i="29" s="1"/>
  <c r="K150" i="29" s="1"/>
  <c r="I119" i="29"/>
  <c r="J119" i="29" s="1"/>
  <c r="K119" i="29" s="1"/>
  <c r="I140" i="29"/>
  <c r="J140" i="29" s="1"/>
  <c r="K140" i="29" s="1"/>
  <c r="I325" i="29"/>
  <c r="J325" i="29" s="1"/>
  <c r="K325" i="29" s="1"/>
  <c r="I92" i="29"/>
  <c r="J92" i="29" s="1"/>
  <c r="K92" i="29" s="1"/>
  <c r="I165" i="29"/>
  <c r="J165" i="29" s="1"/>
  <c r="K165" i="29" s="1"/>
  <c r="I49" i="29"/>
  <c r="J49" i="29" s="1"/>
  <c r="I95" i="29"/>
  <c r="J95" i="29" s="1"/>
  <c r="K95" i="29" s="1"/>
  <c r="I136" i="29"/>
  <c r="J136" i="29" s="1"/>
  <c r="K136" i="29" s="1"/>
  <c r="I161" i="29"/>
  <c r="J161" i="29" s="1"/>
  <c r="K161" i="29" s="1"/>
  <c r="I112" i="29"/>
  <c r="J112" i="29" s="1"/>
  <c r="I121" i="29"/>
  <c r="J121" i="29" s="1"/>
  <c r="K121" i="29" s="1"/>
  <c r="I320" i="29"/>
  <c r="J320" i="29" s="1"/>
  <c r="K320" i="29" s="1"/>
  <c r="I151" i="29"/>
  <c r="J151" i="29" s="1"/>
  <c r="K151" i="29" s="1"/>
  <c r="I78" i="29"/>
  <c r="J78" i="29" s="1"/>
  <c r="K78" i="29" s="1"/>
  <c r="K189" i="28"/>
  <c r="I374" i="29"/>
  <c r="J374" i="29" s="1"/>
  <c r="K374" i="29" s="1"/>
  <c r="I280" i="29"/>
  <c r="J280" i="29" s="1"/>
  <c r="I289" i="29"/>
  <c r="J289" i="29" s="1"/>
  <c r="K289" i="29" s="1"/>
  <c r="I306" i="29"/>
  <c r="J306" i="29" s="1"/>
  <c r="K306" i="29" s="1"/>
  <c r="I52" i="29"/>
  <c r="J52" i="29" s="1"/>
  <c r="I153" i="29"/>
  <c r="J153" i="29" s="1"/>
  <c r="K153" i="29" s="1"/>
  <c r="I351" i="29"/>
  <c r="J351" i="29" s="1"/>
  <c r="K351" i="29" s="1"/>
  <c r="I354" i="29"/>
  <c r="J354" i="29" s="1"/>
  <c r="K354" i="29" s="1"/>
  <c r="I55" i="29"/>
  <c r="J55" i="29" s="1"/>
  <c r="K55" i="29" s="1"/>
  <c r="I145" i="29"/>
  <c r="J145" i="29" s="1"/>
  <c r="I388" i="29"/>
  <c r="J388" i="29" s="1"/>
  <c r="K388" i="29" s="1"/>
  <c r="I383" i="29"/>
  <c r="J383" i="29" s="1"/>
  <c r="K383" i="29" s="1"/>
  <c r="K381" i="28"/>
  <c r="I382" i="29"/>
  <c r="J382" i="29" s="1"/>
  <c r="K382" i="29" s="1"/>
  <c r="I66" i="29"/>
  <c r="J66" i="29" s="1"/>
  <c r="K66" i="29" s="1"/>
  <c r="I343" i="29"/>
  <c r="J343" i="29" s="1"/>
  <c r="K343" i="29" s="1"/>
  <c r="K405" i="28"/>
  <c r="I84" i="29"/>
  <c r="J84" i="29" s="1"/>
  <c r="K84" i="29" s="1"/>
  <c r="I79" i="29"/>
  <c r="J79" i="29" s="1"/>
  <c r="K79" i="29" s="1"/>
  <c r="I302" i="29"/>
  <c r="J302" i="29" s="1"/>
  <c r="K302" i="29" s="1"/>
  <c r="K417" i="28"/>
  <c r="I381" i="29"/>
  <c r="J381" i="29" s="1"/>
  <c r="K381" i="29" s="1"/>
  <c r="K465" i="28"/>
  <c r="I344" i="29"/>
  <c r="J344" i="29" s="1"/>
  <c r="K344" i="29" s="1"/>
  <c r="K158" i="29"/>
  <c r="K489" i="28"/>
  <c r="I340" i="29"/>
  <c r="J340" i="29" s="1"/>
  <c r="K501" i="28"/>
  <c r="I341" i="29"/>
  <c r="J341" i="29" s="1"/>
  <c r="K341" i="29" s="1"/>
  <c r="I273" i="29"/>
  <c r="J273" i="29" s="1"/>
  <c r="K273" i="29" s="1"/>
  <c r="I275" i="29"/>
  <c r="J275" i="29" s="1"/>
  <c r="K275" i="29" s="1"/>
  <c r="I310" i="29"/>
  <c r="J310" i="29" s="1"/>
  <c r="I272" i="29"/>
  <c r="J272" i="29" s="1"/>
  <c r="K272" i="29" s="1"/>
  <c r="I274" i="29"/>
  <c r="J274" i="29" s="1"/>
  <c r="K274" i="29" s="1"/>
  <c r="K701" i="28"/>
  <c r="I347" i="29"/>
  <c r="J347" i="29" s="1"/>
  <c r="K347" i="29" s="1"/>
  <c r="I216" i="29"/>
  <c r="J216" i="29" s="1"/>
  <c r="K216" i="29" s="1"/>
  <c r="I255" i="29"/>
  <c r="J255" i="29" s="1"/>
  <c r="K255" i="29" s="1"/>
  <c r="I259" i="29"/>
  <c r="J259" i="29" s="1"/>
  <c r="K259" i="29" s="1"/>
  <c r="I346" i="29"/>
  <c r="J346" i="29" s="1"/>
  <c r="I260" i="29"/>
  <c r="J260" i="29" s="1"/>
  <c r="K260" i="29" s="1"/>
  <c r="I256" i="29"/>
  <c r="J256" i="29" s="1"/>
  <c r="K256" i="29" s="1"/>
  <c r="I215" i="29"/>
  <c r="J215" i="29" s="1"/>
  <c r="K215" i="29" s="1"/>
  <c r="I57" i="29"/>
  <c r="J57" i="29" s="1"/>
  <c r="K57" i="29" s="1"/>
  <c r="I212" i="29"/>
  <c r="J212" i="29" s="1"/>
  <c r="K212" i="29" s="1"/>
  <c r="I171" i="29"/>
  <c r="J171" i="29" s="1"/>
  <c r="K171" i="29" s="1"/>
  <c r="I211" i="29"/>
  <c r="J211" i="29" s="1"/>
  <c r="K211" i="29" s="1"/>
  <c r="I247" i="29"/>
  <c r="J247" i="29" s="1"/>
  <c r="K247" i="29" s="1"/>
  <c r="I213" i="29"/>
  <c r="J213" i="29" s="1"/>
  <c r="K213" i="29" s="1"/>
  <c r="K837" i="28"/>
  <c r="I234" i="29"/>
  <c r="J234" i="29" s="1"/>
  <c r="K234" i="29" s="1"/>
  <c r="I225" i="29"/>
  <c r="J225" i="29" s="1"/>
  <c r="K225" i="29" s="1"/>
  <c r="I226" i="29"/>
  <c r="J226" i="29" s="1"/>
  <c r="K226" i="29" s="1"/>
  <c r="I235" i="29"/>
  <c r="J235" i="29" s="1"/>
  <c r="K235" i="29" s="1"/>
  <c r="K196" i="29"/>
  <c r="E21" i="29"/>
  <c r="F21" i="29" s="1"/>
  <c r="G21" i="29" s="1"/>
  <c r="K58" i="29"/>
  <c r="I46" i="29"/>
  <c r="J46" i="29" s="1"/>
  <c r="K46" i="29" s="1"/>
  <c r="I291" i="29"/>
  <c r="J291" i="29" s="1"/>
  <c r="K291" i="29" s="1"/>
  <c r="I168" i="29"/>
  <c r="J168" i="29" s="1"/>
  <c r="K168" i="29" s="1"/>
  <c r="I315" i="29"/>
  <c r="J315" i="29" s="1"/>
  <c r="K315" i="29" s="1"/>
  <c r="I331" i="29"/>
  <c r="J331" i="29" s="1"/>
  <c r="K331" i="29" s="1"/>
  <c r="K31" i="28"/>
  <c r="I187" i="29"/>
  <c r="J187" i="29" s="1"/>
  <c r="I186" i="29"/>
  <c r="J186" i="29" s="1"/>
  <c r="K186" i="29" s="1"/>
  <c r="I185" i="29"/>
  <c r="J185" i="29" s="1"/>
  <c r="I192" i="29"/>
  <c r="J192" i="29" s="1"/>
  <c r="K192" i="29" s="1"/>
  <c r="I44" i="29"/>
  <c r="J44" i="29" s="1"/>
  <c r="K44" i="29" s="1"/>
  <c r="I175" i="29"/>
  <c r="J175" i="29" s="1"/>
  <c r="K175" i="29" s="1"/>
  <c r="I370" i="29"/>
  <c r="J370" i="29" s="1"/>
  <c r="K370" i="29" s="1"/>
  <c r="I177" i="29"/>
  <c r="J177" i="29" s="1"/>
  <c r="K177" i="29" s="1"/>
  <c r="I188" i="29"/>
  <c r="J188" i="29" s="1"/>
  <c r="K188" i="29" s="1"/>
  <c r="I93" i="29"/>
  <c r="J93" i="29" s="1"/>
  <c r="K93" i="29" s="1"/>
  <c r="I120" i="29"/>
  <c r="J120" i="29" s="1"/>
  <c r="K120" i="29" s="1"/>
  <c r="I166" i="29"/>
  <c r="J166" i="29" s="1"/>
  <c r="K166" i="29" s="1"/>
  <c r="I143" i="29"/>
  <c r="J143" i="29" s="1"/>
  <c r="K143" i="29" s="1"/>
  <c r="I135" i="29"/>
  <c r="J135" i="29" s="1"/>
  <c r="K135" i="29" s="1"/>
  <c r="I144" i="29"/>
  <c r="J144" i="29" s="1"/>
  <c r="K144" i="29" s="1"/>
  <c r="I376" i="29"/>
  <c r="J376" i="29" s="1"/>
  <c r="K376" i="29" s="1"/>
  <c r="I248" i="29"/>
  <c r="J248" i="29" s="1"/>
  <c r="K248" i="29" s="1"/>
  <c r="I312" i="29"/>
  <c r="J312" i="29" s="1"/>
  <c r="K312" i="29" s="1"/>
  <c r="I253" i="29"/>
  <c r="J253" i="29" s="1"/>
  <c r="K253" i="29" s="1"/>
  <c r="I254" i="29"/>
  <c r="J254" i="29" s="1"/>
  <c r="K254" i="29" s="1"/>
  <c r="I249" i="29"/>
  <c r="J249" i="29" s="1"/>
  <c r="K249" i="29" s="1"/>
  <c r="I251" i="29"/>
  <c r="J251" i="29" s="1"/>
  <c r="K251" i="29" s="1"/>
  <c r="I252" i="29"/>
  <c r="J252" i="29" s="1"/>
  <c r="K252" i="29" s="1"/>
  <c r="I262" i="29"/>
  <c r="J262" i="29" s="1"/>
  <c r="K262" i="29" s="1"/>
  <c r="I269" i="29"/>
  <c r="J269" i="29" s="1"/>
  <c r="K269" i="29" s="1"/>
  <c r="I257" i="29"/>
  <c r="J257" i="29" s="1"/>
  <c r="K257" i="29" s="1"/>
  <c r="I261" i="29"/>
  <c r="J261" i="29" s="1"/>
  <c r="K261" i="29" s="1"/>
  <c r="I268" i="29"/>
  <c r="J268" i="29" s="1"/>
  <c r="K268" i="29" s="1"/>
  <c r="I258" i="29"/>
  <c r="J258" i="29" s="1"/>
  <c r="K258" i="29" s="1"/>
  <c r="I267" i="29"/>
  <c r="J267" i="29" s="1"/>
  <c r="K267" i="29" s="1"/>
  <c r="I202" i="29"/>
  <c r="J202" i="29" s="1"/>
  <c r="I203" i="29"/>
  <c r="J203" i="29" s="1"/>
  <c r="K203" i="29" s="1"/>
  <c r="I209" i="29"/>
  <c r="J209" i="29" s="1"/>
  <c r="K209" i="29" s="1"/>
  <c r="I389" i="29"/>
  <c r="J389" i="29" s="1"/>
  <c r="K389" i="29" s="1"/>
  <c r="I210" i="29"/>
  <c r="J210" i="29" s="1"/>
  <c r="K210" i="29" s="1"/>
  <c r="K819" i="28"/>
  <c r="I230" i="29"/>
  <c r="J230" i="29" s="1"/>
  <c r="K230" i="29" s="1"/>
  <c r="I218" i="29"/>
  <c r="J218" i="29" s="1"/>
  <c r="K218" i="29" s="1"/>
  <c r="I221" i="29"/>
  <c r="J221" i="29" s="1"/>
  <c r="K221" i="29" s="1"/>
  <c r="I232" i="29"/>
  <c r="J232" i="29" s="1"/>
  <c r="K232" i="29" s="1"/>
  <c r="I219" i="29"/>
  <c r="J219" i="29" s="1"/>
  <c r="K219" i="29" s="1"/>
  <c r="I233" i="29"/>
  <c r="J233" i="29" s="1"/>
  <c r="K233" i="29" s="1"/>
  <c r="I220" i="29"/>
  <c r="J220" i="29" s="1"/>
  <c r="K220" i="29" s="1"/>
  <c r="I222" i="29"/>
  <c r="J222" i="29" s="1"/>
  <c r="K222" i="29" s="1"/>
  <c r="I229" i="29"/>
  <c r="J229" i="29" s="1"/>
  <c r="K229" i="29" s="1"/>
  <c r="I231" i="29"/>
  <c r="J231" i="29" s="1"/>
  <c r="K231" i="29" s="1"/>
  <c r="K313" i="29"/>
  <c r="E27" i="29"/>
  <c r="F27" i="29" s="1"/>
  <c r="G27" i="29" s="1"/>
  <c r="K29" i="28"/>
  <c r="I282" i="29"/>
  <c r="J282" i="29" s="1"/>
  <c r="K282" i="29" s="1"/>
  <c r="I286" i="29"/>
  <c r="J286" i="29" s="1"/>
  <c r="K286" i="29" s="1"/>
  <c r="I295" i="29"/>
  <c r="J295" i="29" s="1"/>
  <c r="K295" i="29" s="1"/>
  <c r="K159" i="29"/>
  <c r="E12" i="29"/>
  <c r="F12" i="29" s="1"/>
  <c r="G12" i="29" s="1"/>
  <c r="I48" i="29"/>
  <c r="J48" i="29" s="1"/>
  <c r="K48" i="29" s="1"/>
  <c r="I170" i="29"/>
  <c r="J170" i="29" s="1"/>
  <c r="K170" i="29" s="1"/>
  <c r="I335" i="29"/>
  <c r="J335" i="29" s="1"/>
  <c r="I169" i="29"/>
  <c r="J169" i="29" s="1"/>
  <c r="K169" i="29" s="1"/>
  <c r="I65" i="29"/>
  <c r="J65" i="29" s="1"/>
  <c r="K65" i="29" s="1"/>
  <c r="I75" i="29"/>
  <c r="J75" i="29" s="1"/>
  <c r="K75" i="29" s="1"/>
  <c r="I98" i="29"/>
  <c r="J98" i="29" s="1"/>
  <c r="K98" i="29" s="1"/>
  <c r="I109" i="29"/>
  <c r="J109" i="29" s="1"/>
  <c r="K109" i="29" s="1"/>
  <c r="I134" i="29"/>
  <c r="J134" i="29" s="1"/>
  <c r="K134" i="29" s="1"/>
  <c r="I60" i="29"/>
  <c r="J60" i="29" s="1"/>
  <c r="K60" i="29" s="1"/>
  <c r="I99" i="29"/>
  <c r="J99" i="29" s="1"/>
  <c r="K99" i="29" s="1"/>
  <c r="I103" i="29"/>
  <c r="J103" i="29" s="1"/>
  <c r="K103" i="29" s="1"/>
  <c r="I104" i="29"/>
  <c r="J104" i="29" s="1"/>
  <c r="K104" i="29" s="1"/>
  <c r="I133" i="29"/>
  <c r="J133" i="29" s="1"/>
  <c r="K133" i="29" s="1"/>
  <c r="I365" i="29"/>
  <c r="J365" i="29" s="1"/>
  <c r="K365" i="29" s="1"/>
  <c r="I364" i="29"/>
  <c r="J364" i="29" s="1"/>
  <c r="K364" i="29" s="1"/>
  <c r="I380" i="29"/>
  <c r="J380" i="29" s="1"/>
  <c r="K380" i="29" s="1"/>
  <c r="I108" i="29"/>
  <c r="J108" i="29" s="1"/>
  <c r="K108" i="29" s="1"/>
  <c r="I115" i="29"/>
  <c r="J115" i="29" s="1"/>
  <c r="K115" i="29" s="1"/>
  <c r="I367" i="29"/>
  <c r="J367" i="29" s="1"/>
  <c r="K367" i="29" s="1"/>
  <c r="I76" i="29"/>
  <c r="J76" i="29" s="1"/>
  <c r="K76" i="29" s="1"/>
  <c r="I366" i="29"/>
  <c r="J366" i="29" s="1"/>
  <c r="K366" i="29" s="1"/>
  <c r="I100" i="29"/>
  <c r="J100" i="29" s="1"/>
  <c r="K100" i="29" s="1"/>
  <c r="I105" i="29"/>
  <c r="J105" i="29" s="1"/>
  <c r="K105" i="29" s="1"/>
  <c r="I336" i="29"/>
  <c r="J336" i="29" s="1"/>
  <c r="K336" i="29" s="1"/>
  <c r="I110" i="29"/>
  <c r="J110" i="29" s="1"/>
  <c r="K110" i="29" s="1"/>
  <c r="I271" i="29"/>
  <c r="J271" i="29" s="1"/>
  <c r="K271" i="29" s="1"/>
  <c r="I270" i="29"/>
  <c r="J270" i="29" s="1"/>
  <c r="K270" i="29" s="1"/>
  <c r="K802" i="28"/>
  <c r="I207" i="29"/>
  <c r="J207" i="29" s="1"/>
  <c r="K207" i="29" s="1"/>
  <c r="I206" i="29"/>
  <c r="J206" i="29" s="1"/>
  <c r="K206" i="29" s="1"/>
  <c r="I208" i="29"/>
  <c r="J208" i="29" s="1"/>
  <c r="K208" i="29" s="1"/>
  <c r="K826" i="28"/>
  <c r="I244" i="29"/>
  <c r="J244" i="29" s="1"/>
  <c r="K244" i="29" s="1"/>
  <c r="I243" i="29"/>
  <c r="J243" i="29" s="1"/>
  <c r="K243" i="29" s="1"/>
  <c r="I242" i="29"/>
  <c r="J242" i="29" s="1"/>
  <c r="K242" i="29" s="1"/>
  <c r="I245" i="29"/>
  <c r="J245" i="29" s="1"/>
  <c r="K245" i="29" s="1"/>
  <c r="K838" i="28"/>
  <c r="I241" i="29"/>
  <c r="J241" i="29" s="1"/>
  <c r="K241" i="29" s="1"/>
  <c r="I240" i="29"/>
  <c r="J240" i="29" s="1"/>
  <c r="K240" i="29" s="1"/>
  <c r="M5" i="27"/>
  <c r="M9" i="27"/>
  <c r="M13" i="27"/>
  <c r="I33" i="27"/>
  <c r="Q33" i="27" s="1"/>
  <c r="I37" i="27"/>
  <c r="Q37" i="27" s="1"/>
  <c r="I41" i="27"/>
  <c r="Q41" i="27" s="1"/>
  <c r="I51" i="27"/>
  <c r="Q51" i="27" s="1"/>
  <c r="I59" i="27"/>
  <c r="Q59" i="27" s="1"/>
  <c r="I63" i="27"/>
  <c r="Q63" i="27" s="1"/>
  <c r="I67" i="27"/>
  <c r="Q67" i="27" s="1"/>
  <c r="I71" i="27"/>
  <c r="Q71" i="27" s="1"/>
  <c r="I75" i="27"/>
  <c r="Q75" i="27" s="1"/>
  <c r="D36" i="32"/>
  <c r="I27" i="27"/>
  <c r="Q27" i="27" s="1"/>
  <c r="I31" i="27"/>
  <c r="Q31" i="27" s="1"/>
  <c r="I35" i="27"/>
  <c r="Q35" i="27" s="1"/>
  <c r="I39" i="27"/>
  <c r="Q39" i="27" s="1"/>
  <c r="I43" i="27"/>
  <c r="Q43" i="27" s="1"/>
  <c r="I45" i="27"/>
  <c r="Q45" i="27" s="1"/>
  <c r="I53" i="27"/>
  <c r="Q53" i="27" s="1"/>
  <c r="K24" i="28"/>
  <c r="M2" i="27"/>
  <c r="M10" i="27"/>
  <c r="M14" i="27"/>
  <c r="I34" i="27"/>
  <c r="Q34" i="27" s="1"/>
  <c r="I38" i="27"/>
  <c r="Q38" i="27" s="1"/>
  <c r="I42" i="27"/>
  <c r="Q42" i="27" s="1"/>
  <c r="I44" i="27"/>
  <c r="Q44" i="27" s="1"/>
  <c r="I52" i="27"/>
  <c r="Q52" i="27" s="1"/>
  <c r="I60" i="27"/>
  <c r="Q60" i="27" s="1"/>
  <c r="I64" i="27"/>
  <c r="Q64" i="27" s="1"/>
  <c r="I68" i="27"/>
  <c r="Q68" i="27" s="1"/>
  <c r="I72" i="27"/>
  <c r="Q72" i="27" s="1"/>
  <c r="K357" i="28"/>
  <c r="K375" i="28"/>
  <c r="K27" i="28"/>
  <c r="M8" i="27"/>
  <c r="M12" i="27"/>
  <c r="I61" i="27"/>
  <c r="Q61" i="27" s="1"/>
  <c r="I65" i="27"/>
  <c r="Q65" i="27" s="1"/>
  <c r="I69" i="27"/>
  <c r="Q69" i="27" s="1"/>
  <c r="I73" i="27"/>
  <c r="Q73" i="27" s="1"/>
  <c r="K129" i="28"/>
  <c r="K21" i="28"/>
  <c r="M32" i="27"/>
  <c r="M36" i="27"/>
  <c r="M40" i="27"/>
  <c r="N46" i="27"/>
  <c r="M50" i="27"/>
  <c r="N54" i="27"/>
  <c r="M58" i="27"/>
  <c r="M62" i="27"/>
  <c r="M66" i="27"/>
  <c r="M70" i="27"/>
  <c r="M74" i="27"/>
  <c r="P16" i="27"/>
  <c r="I32" i="27"/>
  <c r="Q32" i="27" s="1"/>
  <c r="I36" i="27"/>
  <c r="Q36" i="27" s="1"/>
  <c r="I40" i="27"/>
  <c r="Q40" i="27" s="1"/>
  <c r="I46" i="27"/>
  <c r="Q46" i="27" s="1"/>
  <c r="I54" i="27"/>
  <c r="Q54" i="27" s="1"/>
  <c r="I62" i="27"/>
  <c r="Q62" i="27" s="1"/>
  <c r="I66" i="27"/>
  <c r="Q66" i="27" s="1"/>
  <c r="I70" i="27"/>
  <c r="Q70" i="27" s="1"/>
  <c r="I74" i="27"/>
  <c r="Q74" i="27" s="1"/>
  <c r="P17" i="27"/>
  <c r="N21" i="27"/>
  <c r="P25" i="27"/>
  <c r="N29" i="27"/>
  <c r="M33" i="27"/>
  <c r="M37" i="27"/>
  <c r="M41" i="27"/>
  <c r="N47" i="27"/>
  <c r="M51" i="27"/>
  <c r="N55" i="27"/>
  <c r="M59" i="27"/>
  <c r="M63" i="27"/>
  <c r="M67" i="27"/>
  <c r="M71" i="27"/>
  <c r="M34" i="27"/>
  <c r="M38" i="27"/>
  <c r="M42" i="27"/>
  <c r="M44" i="27"/>
  <c r="M52" i="27"/>
  <c r="M60" i="27"/>
  <c r="M64" i="27"/>
  <c r="M68" i="27"/>
  <c r="M72" i="27"/>
  <c r="K339" i="28"/>
  <c r="N7" i="27"/>
  <c r="N23" i="27"/>
  <c r="P27" i="27"/>
  <c r="M31" i="27"/>
  <c r="M35" i="27"/>
  <c r="M39" i="27"/>
  <c r="M43" i="27"/>
  <c r="M45" i="27"/>
  <c r="P49" i="27"/>
  <c r="M53" i="27"/>
  <c r="P57" i="27"/>
  <c r="M61" i="27"/>
  <c r="M65" i="27"/>
  <c r="M69" i="27"/>
  <c r="M73" i="27"/>
  <c r="K359" i="28"/>
  <c r="K78" i="27"/>
  <c r="J78" i="27"/>
  <c r="I78" i="27"/>
  <c r="Q78" i="27" s="1"/>
  <c r="K82" i="27"/>
  <c r="J82" i="27"/>
  <c r="I82" i="27"/>
  <c r="Q82" i="27" s="1"/>
  <c r="J86" i="27"/>
  <c r="K86" i="27" s="1"/>
  <c r="I86" i="27"/>
  <c r="Q86" i="27" s="1"/>
  <c r="I90" i="27"/>
  <c r="Q90" i="27" s="1"/>
  <c r="J90" i="27"/>
  <c r="K90" i="27" s="1"/>
  <c r="J94" i="27"/>
  <c r="K94" i="27" s="1"/>
  <c r="I94" i="27"/>
  <c r="Q94" i="27" s="1"/>
  <c r="I98" i="27"/>
  <c r="Q98" i="27" s="1"/>
  <c r="J98" i="27"/>
  <c r="K98" i="27" s="1"/>
  <c r="J102" i="27"/>
  <c r="K102" i="27" s="1"/>
  <c r="I102" i="27"/>
  <c r="Q102" i="27" s="1"/>
  <c r="J106" i="27"/>
  <c r="K106" i="27" s="1"/>
  <c r="I106" i="27"/>
  <c r="Q106" i="27" s="1"/>
  <c r="J110" i="27"/>
  <c r="K110" i="27" s="1"/>
  <c r="I110" i="27"/>
  <c r="Q110" i="27" s="1"/>
  <c r="J114" i="27"/>
  <c r="K114" i="27" s="1"/>
  <c r="I114" i="27"/>
  <c r="Q114" i="27" s="1"/>
  <c r="K118" i="27"/>
  <c r="J118" i="27"/>
  <c r="I118" i="27"/>
  <c r="Q118" i="27" s="1"/>
  <c r="K122" i="27"/>
  <c r="J122" i="27"/>
  <c r="I122" i="27"/>
  <c r="Q122" i="27" s="1"/>
  <c r="K126" i="27"/>
  <c r="J126" i="27"/>
  <c r="I126" i="27"/>
  <c r="Q126" i="27" s="1"/>
  <c r="P75" i="27"/>
  <c r="O75" i="27"/>
  <c r="N75" i="27"/>
  <c r="M75" i="27"/>
  <c r="P79" i="27"/>
  <c r="L79" i="27"/>
  <c r="O79" i="27"/>
  <c r="N79" i="27"/>
  <c r="M79" i="27"/>
  <c r="P83" i="27"/>
  <c r="L83" i="27"/>
  <c r="O83" i="27"/>
  <c r="N83" i="27"/>
  <c r="M83" i="27"/>
  <c r="M87" i="27"/>
  <c r="P87" i="27"/>
  <c r="L87" i="27"/>
  <c r="O87" i="27"/>
  <c r="N87" i="27"/>
  <c r="N91" i="27"/>
  <c r="M91" i="27"/>
  <c r="P91" i="27"/>
  <c r="L91" i="27"/>
  <c r="O91" i="27"/>
  <c r="M95" i="27"/>
  <c r="P95" i="27"/>
  <c r="L95" i="27"/>
  <c r="O95" i="27"/>
  <c r="N95" i="27"/>
  <c r="N99" i="27"/>
  <c r="M99" i="27"/>
  <c r="P99" i="27"/>
  <c r="L99" i="27"/>
  <c r="O99" i="27"/>
  <c r="O103" i="27"/>
  <c r="N103" i="27"/>
  <c r="M103" i="27"/>
  <c r="P103" i="27"/>
  <c r="L103" i="27"/>
  <c r="O107" i="27"/>
  <c r="N107" i="27"/>
  <c r="M107" i="27"/>
  <c r="P107" i="27"/>
  <c r="L107" i="27"/>
  <c r="O111" i="27"/>
  <c r="N111" i="27"/>
  <c r="M111" i="27"/>
  <c r="P111" i="27"/>
  <c r="L111" i="27"/>
  <c r="P115" i="27"/>
  <c r="L115" i="27"/>
  <c r="O115" i="27"/>
  <c r="N115" i="27"/>
  <c r="M115" i="27"/>
  <c r="P119" i="27"/>
  <c r="L119" i="27"/>
  <c r="O119" i="27"/>
  <c r="N119" i="27"/>
  <c r="M119" i="27"/>
  <c r="P123" i="27"/>
  <c r="L123" i="27"/>
  <c r="O123" i="27"/>
  <c r="N123" i="27"/>
  <c r="M123" i="27"/>
  <c r="P127" i="27"/>
  <c r="L127" i="27"/>
  <c r="O127" i="27"/>
  <c r="N127" i="27"/>
  <c r="M127" i="27"/>
  <c r="L8" i="27"/>
  <c r="L12" i="27"/>
  <c r="O13" i="27"/>
  <c r="L15" i="27"/>
  <c r="L16" i="27"/>
  <c r="I18" i="27"/>
  <c r="Q18" i="27" s="1"/>
  <c r="N18" i="27"/>
  <c r="L19" i="27"/>
  <c r="L20" i="27"/>
  <c r="K22" i="27"/>
  <c r="J23" i="27"/>
  <c r="K23" i="27" s="1"/>
  <c r="P24" i="27"/>
  <c r="K26" i="27"/>
  <c r="J27" i="27"/>
  <c r="K27" i="27" s="1"/>
  <c r="J29" i="27"/>
  <c r="K29" i="27" s="1"/>
  <c r="J31" i="27"/>
  <c r="K31" i="27" s="1"/>
  <c r="N31" i="27"/>
  <c r="J32" i="27"/>
  <c r="K32" i="27" s="1"/>
  <c r="N32" i="27"/>
  <c r="J33" i="27"/>
  <c r="K33" i="27" s="1"/>
  <c r="N33" i="27"/>
  <c r="J34" i="27"/>
  <c r="K34" i="27" s="1"/>
  <c r="N34" i="27"/>
  <c r="J35" i="27"/>
  <c r="K35" i="27" s="1"/>
  <c r="N35" i="27"/>
  <c r="J36" i="27"/>
  <c r="K36" i="27" s="1"/>
  <c r="N36" i="27"/>
  <c r="J37" i="27"/>
  <c r="K37" i="27" s="1"/>
  <c r="N37" i="27"/>
  <c r="J38" i="27"/>
  <c r="K38" i="27" s="1"/>
  <c r="N38" i="27"/>
  <c r="J39" i="27"/>
  <c r="K39" i="27" s="1"/>
  <c r="N39" i="27"/>
  <c r="J40" i="27"/>
  <c r="K40" i="27" s="1"/>
  <c r="N40" i="27"/>
  <c r="J41" i="27"/>
  <c r="K41" i="27" s="1"/>
  <c r="N41" i="27"/>
  <c r="J42" i="27"/>
  <c r="K42" i="27" s="1"/>
  <c r="N42" i="27"/>
  <c r="J43" i="27"/>
  <c r="K43" i="27" s="1"/>
  <c r="N43" i="27"/>
  <c r="J44" i="27"/>
  <c r="K44" i="27" s="1"/>
  <c r="N44" i="27"/>
  <c r="J45" i="27"/>
  <c r="K45" i="27" s="1"/>
  <c r="N45" i="27"/>
  <c r="J46" i="27"/>
  <c r="K46" i="27" s="1"/>
  <c r="O46" i="27"/>
  <c r="K47" i="27"/>
  <c r="O47" i="27"/>
  <c r="L48" i="27"/>
  <c r="P48" i="27"/>
  <c r="M49" i="27"/>
  <c r="I50" i="27"/>
  <c r="Q50" i="27" s="1"/>
  <c r="N50" i="27"/>
  <c r="J51" i="27"/>
  <c r="K51" i="27" s="1"/>
  <c r="N51" i="27"/>
  <c r="J52" i="27"/>
  <c r="K52" i="27" s="1"/>
  <c r="N52" i="27"/>
  <c r="J53" i="27"/>
  <c r="K53" i="27" s="1"/>
  <c r="N53" i="27"/>
  <c r="J54" i="27"/>
  <c r="K54" i="27" s="1"/>
  <c r="O54" i="27"/>
  <c r="K55" i="27"/>
  <c r="O55" i="27"/>
  <c r="L56" i="27"/>
  <c r="P56" i="27"/>
  <c r="M57" i="27"/>
  <c r="I58" i="27"/>
  <c r="Q58" i="27" s="1"/>
  <c r="N58" i="27"/>
  <c r="J59" i="27"/>
  <c r="N59" i="27"/>
  <c r="J60" i="27"/>
  <c r="N60" i="27"/>
  <c r="J61" i="27"/>
  <c r="N61" i="27"/>
  <c r="J62" i="27"/>
  <c r="N62" i="27"/>
  <c r="J63" i="27"/>
  <c r="N63" i="27"/>
  <c r="J64" i="27"/>
  <c r="N64" i="27"/>
  <c r="J65" i="27"/>
  <c r="N65" i="27"/>
  <c r="J66" i="27"/>
  <c r="N66" i="27"/>
  <c r="J67" i="27"/>
  <c r="N67" i="27"/>
  <c r="J68" i="27"/>
  <c r="N68" i="27"/>
  <c r="J69" i="27"/>
  <c r="N69" i="27"/>
  <c r="J70" i="27"/>
  <c r="N70" i="27"/>
  <c r="J71" i="27"/>
  <c r="N71" i="27"/>
  <c r="J72" i="27"/>
  <c r="N72" i="27"/>
  <c r="J73" i="27"/>
  <c r="N73" i="27"/>
  <c r="J74" i="27"/>
  <c r="N74" i="27"/>
  <c r="J75" i="27"/>
  <c r="K79" i="27"/>
  <c r="J79" i="27"/>
  <c r="I79" i="27"/>
  <c r="Q79" i="27" s="1"/>
  <c r="K83" i="27"/>
  <c r="J83" i="27"/>
  <c r="I83" i="27"/>
  <c r="Q83" i="27" s="1"/>
  <c r="I87" i="27"/>
  <c r="Q87" i="27" s="1"/>
  <c r="J87" i="27"/>
  <c r="K87" i="27" s="1"/>
  <c r="J91" i="27"/>
  <c r="K91" i="27" s="1"/>
  <c r="I91" i="27"/>
  <c r="Q91" i="27" s="1"/>
  <c r="I95" i="27"/>
  <c r="Q95" i="27" s="1"/>
  <c r="J95" i="27"/>
  <c r="K95" i="27" s="1"/>
  <c r="J99" i="27"/>
  <c r="K99" i="27" s="1"/>
  <c r="I99" i="27"/>
  <c r="Q99" i="27" s="1"/>
  <c r="J103" i="27"/>
  <c r="K103" i="27" s="1"/>
  <c r="I103" i="27"/>
  <c r="Q103" i="27" s="1"/>
  <c r="J107" i="27"/>
  <c r="K107" i="27" s="1"/>
  <c r="I107" i="27"/>
  <c r="Q107" i="27" s="1"/>
  <c r="K111" i="27"/>
  <c r="J111" i="27"/>
  <c r="I111" i="27"/>
  <c r="Q111" i="27" s="1"/>
  <c r="K115" i="27"/>
  <c r="J115" i="27"/>
  <c r="I115" i="27"/>
  <c r="Q115" i="27" s="1"/>
  <c r="K119" i="27"/>
  <c r="J119" i="27"/>
  <c r="I119" i="27"/>
  <c r="Q119" i="27" s="1"/>
  <c r="K123" i="27"/>
  <c r="J123" i="27"/>
  <c r="I123" i="27"/>
  <c r="Q123" i="27" s="1"/>
  <c r="K127" i="27"/>
  <c r="J127" i="27"/>
  <c r="I127" i="27"/>
  <c r="Q127" i="27" s="1"/>
  <c r="P22" i="27"/>
  <c r="P26" i="27"/>
  <c r="P76" i="27"/>
  <c r="L76" i="27"/>
  <c r="O76" i="27"/>
  <c r="N76" i="27"/>
  <c r="M76" i="27"/>
  <c r="P80" i="27"/>
  <c r="L80" i="27"/>
  <c r="O80" i="27"/>
  <c r="N80" i="27"/>
  <c r="M80" i="27"/>
  <c r="P84" i="27"/>
  <c r="L84" i="27"/>
  <c r="O84" i="27"/>
  <c r="N84" i="27"/>
  <c r="M84" i="27"/>
  <c r="M88" i="27"/>
  <c r="P88" i="27"/>
  <c r="L88" i="27"/>
  <c r="O88" i="27"/>
  <c r="N88" i="27"/>
  <c r="O92" i="27"/>
  <c r="N92" i="27"/>
  <c r="M92" i="27"/>
  <c r="P92" i="27"/>
  <c r="L92" i="27"/>
  <c r="M96" i="27"/>
  <c r="P96" i="27"/>
  <c r="L96" i="27"/>
  <c r="O96" i="27"/>
  <c r="N96" i="27"/>
  <c r="O100" i="27"/>
  <c r="N100" i="27"/>
  <c r="M100" i="27"/>
  <c r="P100" i="27"/>
  <c r="L100" i="27"/>
  <c r="O104" i="27"/>
  <c r="N104" i="27"/>
  <c r="M104" i="27"/>
  <c r="P104" i="27"/>
  <c r="L104" i="27"/>
  <c r="O108" i="27"/>
  <c r="N108" i="27"/>
  <c r="M108" i="27"/>
  <c r="P108" i="27"/>
  <c r="L108" i="27"/>
  <c r="O112" i="27"/>
  <c r="N112" i="27"/>
  <c r="M112" i="27"/>
  <c r="P112" i="27"/>
  <c r="L112" i="27"/>
  <c r="P116" i="27"/>
  <c r="L116" i="27"/>
  <c r="O116" i="27"/>
  <c r="N116" i="27"/>
  <c r="M116" i="27"/>
  <c r="P120" i="27"/>
  <c r="L120" i="27"/>
  <c r="O120" i="27"/>
  <c r="N120" i="27"/>
  <c r="M120" i="27"/>
  <c r="P124" i="27"/>
  <c r="L124" i="27"/>
  <c r="O124" i="27"/>
  <c r="N124" i="27"/>
  <c r="M124" i="27"/>
  <c r="L5" i="27"/>
  <c r="L11" i="27"/>
  <c r="N12" i="27"/>
  <c r="L14" i="27"/>
  <c r="N15" i="27"/>
  <c r="O16" i="27"/>
  <c r="P18" i="27"/>
  <c r="P19" i="27"/>
  <c r="M20" i="27"/>
  <c r="O21" i="27"/>
  <c r="M22" i="27"/>
  <c r="M26" i="27"/>
  <c r="O29" i="27"/>
  <c r="O31" i="27"/>
  <c r="O32" i="27"/>
  <c r="O33" i="27"/>
  <c r="O34" i="27"/>
  <c r="O35" i="27"/>
  <c r="O36" i="27"/>
  <c r="O37" i="27"/>
  <c r="O38" i="27"/>
  <c r="O39" i="27"/>
  <c r="O40" i="27"/>
  <c r="O41" i="27"/>
  <c r="O42" i="27"/>
  <c r="O43" i="27"/>
  <c r="O44" i="27"/>
  <c r="O45" i="27"/>
  <c r="L46" i="27"/>
  <c r="P46" i="27"/>
  <c r="L47" i="27"/>
  <c r="P47" i="27"/>
  <c r="M48" i="27"/>
  <c r="I49" i="27"/>
  <c r="Q49" i="27" s="1"/>
  <c r="N49" i="27"/>
  <c r="J50" i="27"/>
  <c r="K50" i="27" s="1"/>
  <c r="O50" i="27"/>
  <c r="O51" i="27"/>
  <c r="O52" i="27"/>
  <c r="O53" i="27"/>
  <c r="L54" i="27"/>
  <c r="P54" i="27"/>
  <c r="L55" i="27"/>
  <c r="P55" i="27"/>
  <c r="M56" i="27"/>
  <c r="I57" i="27"/>
  <c r="Q57" i="27" s="1"/>
  <c r="N57" i="27"/>
  <c r="J58" i="27"/>
  <c r="K58" i="27" s="1"/>
  <c r="O58" i="27"/>
  <c r="K59" i="27"/>
  <c r="O59" i="27"/>
  <c r="K60" i="27"/>
  <c r="O60" i="27"/>
  <c r="K61" i="27"/>
  <c r="O61" i="27"/>
  <c r="K62" i="27"/>
  <c r="O62" i="27"/>
  <c r="K63" i="27"/>
  <c r="O63" i="27"/>
  <c r="K64" i="27"/>
  <c r="O64" i="27"/>
  <c r="K65" i="27"/>
  <c r="O65" i="27"/>
  <c r="K66" i="27"/>
  <c r="O66" i="27"/>
  <c r="K67" i="27"/>
  <c r="O67" i="27"/>
  <c r="K68" i="27"/>
  <c r="O68" i="27"/>
  <c r="K69" i="27"/>
  <c r="O69" i="27"/>
  <c r="K70" i="27"/>
  <c r="O70" i="27"/>
  <c r="K71" i="27"/>
  <c r="O71" i="27"/>
  <c r="K72" i="27"/>
  <c r="O72" i="27"/>
  <c r="K73" i="27"/>
  <c r="O73" i="27"/>
  <c r="K74" i="27"/>
  <c r="O74" i="27"/>
  <c r="K75" i="27"/>
  <c r="K18" i="27"/>
  <c r="K76" i="27"/>
  <c r="J76" i="27"/>
  <c r="I76" i="27"/>
  <c r="Q76" i="27" s="1"/>
  <c r="K80" i="27"/>
  <c r="J80" i="27"/>
  <c r="I80" i="27"/>
  <c r="Q80" i="27" s="1"/>
  <c r="K84" i="27"/>
  <c r="J84" i="27"/>
  <c r="I84" i="27"/>
  <c r="Q84" i="27" s="1"/>
  <c r="I88" i="27"/>
  <c r="Q88" i="27" s="1"/>
  <c r="J88" i="27"/>
  <c r="K88" i="27" s="1"/>
  <c r="J92" i="27"/>
  <c r="K92" i="27" s="1"/>
  <c r="I92" i="27"/>
  <c r="Q92" i="27" s="1"/>
  <c r="I96" i="27"/>
  <c r="Q96" i="27" s="1"/>
  <c r="J96" i="27"/>
  <c r="K96" i="27" s="1"/>
  <c r="J100" i="27"/>
  <c r="K100" i="27" s="1"/>
  <c r="I100" i="27"/>
  <c r="Q100" i="27" s="1"/>
  <c r="J104" i="27"/>
  <c r="K104" i="27" s="1"/>
  <c r="I104" i="27"/>
  <c r="Q104" i="27" s="1"/>
  <c r="K108" i="27"/>
  <c r="J108" i="27"/>
  <c r="I108" i="27"/>
  <c r="Q108" i="27" s="1"/>
  <c r="J112" i="27"/>
  <c r="K112" i="27" s="1"/>
  <c r="I112" i="27"/>
  <c r="Q112" i="27" s="1"/>
  <c r="K116" i="27"/>
  <c r="J116" i="27"/>
  <c r="I116" i="27"/>
  <c r="Q116" i="27" s="1"/>
  <c r="K120" i="27"/>
  <c r="J120" i="27"/>
  <c r="I120" i="27"/>
  <c r="Q120" i="27" s="1"/>
  <c r="K124" i="27"/>
  <c r="J124" i="27"/>
  <c r="I124" i="27"/>
  <c r="Q124" i="27" s="1"/>
  <c r="P77" i="27"/>
  <c r="L77" i="27"/>
  <c r="O77" i="27"/>
  <c r="N77" i="27"/>
  <c r="M77" i="27"/>
  <c r="P81" i="27"/>
  <c r="L81" i="27"/>
  <c r="O81" i="27"/>
  <c r="N81" i="27"/>
  <c r="M81" i="27"/>
  <c r="P85" i="27"/>
  <c r="L85" i="27"/>
  <c r="O85" i="27"/>
  <c r="N85" i="27"/>
  <c r="M85" i="27"/>
  <c r="M89" i="27"/>
  <c r="P89" i="27"/>
  <c r="L89" i="27"/>
  <c r="O89" i="27"/>
  <c r="N89" i="27"/>
  <c r="P93" i="27"/>
  <c r="L93" i="27"/>
  <c r="O93" i="27"/>
  <c r="N93" i="27"/>
  <c r="M93" i="27"/>
  <c r="M97" i="27"/>
  <c r="P97" i="27"/>
  <c r="L97" i="27"/>
  <c r="O97" i="27"/>
  <c r="N97" i="27"/>
  <c r="O101" i="27"/>
  <c r="N101" i="27"/>
  <c r="M101" i="27"/>
  <c r="P101" i="27"/>
  <c r="L101" i="27"/>
  <c r="O105" i="27"/>
  <c r="N105" i="27"/>
  <c r="M105" i="27"/>
  <c r="P105" i="27"/>
  <c r="L105" i="27"/>
  <c r="O109" i="27"/>
  <c r="N109" i="27"/>
  <c r="M109" i="27"/>
  <c r="P109" i="27"/>
  <c r="L109" i="27"/>
  <c r="O113" i="27"/>
  <c r="N113" i="27"/>
  <c r="M113" i="27"/>
  <c r="P113" i="27"/>
  <c r="L113" i="27"/>
  <c r="P117" i="27"/>
  <c r="L117" i="27"/>
  <c r="O117" i="27"/>
  <c r="N117" i="27"/>
  <c r="M117" i="27"/>
  <c r="P121" i="27"/>
  <c r="L121" i="27"/>
  <c r="O121" i="27"/>
  <c r="N121" i="27"/>
  <c r="M121" i="27"/>
  <c r="P125" i="27"/>
  <c r="L125" i="27"/>
  <c r="O125" i="27"/>
  <c r="N125" i="27"/>
  <c r="M125" i="27"/>
  <c r="L7" i="27"/>
  <c r="L18" i="27"/>
  <c r="J19" i="27"/>
  <c r="K19" i="27" s="1"/>
  <c r="I20" i="27"/>
  <c r="Q20" i="27" s="1"/>
  <c r="N20" i="27"/>
  <c r="I22" i="27"/>
  <c r="Q22" i="27" s="1"/>
  <c r="N22" i="27"/>
  <c r="I26" i="27"/>
  <c r="Q26" i="27" s="1"/>
  <c r="N26" i="27"/>
  <c r="M27" i="27"/>
  <c r="L31" i="27"/>
  <c r="P31" i="27"/>
  <c r="L32" i="27"/>
  <c r="P32" i="27"/>
  <c r="L33" i="27"/>
  <c r="P33" i="27"/>
  <c r="L34" i="27"/>
  <c r="P34" i="27"/>
  <c r="L35" i="27"/>
  <c r="P35" i="27"/>
  <c r="L36" i="27"/>
  <c r="P36" i="27"/>
  <c r="L37" i="27"/>
  <c r="P37" i="27"/>
  <c r="L38" i="27"/>
  <c r="P38" i="27"/>
  <c r="L39" i="27"/>
  <c r="P39" i="27"/>
  <c r="L40" i="27"/>
  <c r="P40" i="27"/>
  <c r="L41" i="27"/>
  <c r="P41" i="27"/>
  <c r="L42" i="27"/>
  <c r="P42" i="27"/>
  <c r="L43" i="27"/>
  <c r="P43" i="27"/>
  <c r="L44" i="27"/>
  <c r="P44" i="27"/>
  <c r="L45" i="27"/>
  <c r="P45" i="27"/>
  <c r="M46" i="27"/>
  <c r="I47" i="27"/>
  <c r="Q47" i="27" s="1"/>
  <c r="M47" i="27"/>
  <c r="I48" i="27"/>
  <c r="Q48" i="27" s="1"/>
  <c r="N48" i="27"/>
  <c r="O49" i="27"/>
  <c r="L50" i="27"/>
  <c r="P50" i="27"/>
  <c r="L51" i="27"/>
  <c r="P51" i="27"/>
  <c r="L52" i="27"/>
  <c r="P52" i="27"/>
  <c r="L53" i="27"/>
  <c r="P53" i="27"/>
  <c r="M54" i="27"/>
  <c r="I55" i="27"/>
  <c r="Q55" i="27" s="1"/>
  <c r="M55" i="27"/>
  <c r="I56" i="27"/>
  <c r="Q56" i="27" s="1"/>
  <c r="N56" i="27"/>
  <c r="O57" i="27"/>
  <c r="L58" i="27"/>
  <c r="P58" i="27"/>
  <c r="L59" i="27"/>
  <c r="P59" i="27"/>
  <c r="L60" i="27"/>
  <c r="P60" i="27"/>
  <c r="L61" i="27"/>
  <c r="P61" i="27"/>
  <c r="L62" i="27"/>
  <c r="P62" i="27"/>
  <c r="L63" i="27"/>
  <c r="P63" i="27"/>
  <c r="L64" i="27"/>
  <c r="P64" i="27"/>
  <c r="L65" i="27"/>
  <c r="P65" i="27"/>
  <c r="L66" i="27"/>
  <c r="P66" i="27"/>
  <c r="L67" i="27"/>
  <c r="P67" i="27"/>
  <c r="L68" i="27"/>
  <c r="P68" i="27"/>
  <c r="L69" i="27"/>
  <c r="P69" i="27"/>
  <c r="L70" i="27"/>
  <c r="P70" i="27"/>
  <c r="L71" i="27"/>
  <c r="P71" i="27"/>
  <c r="L72" i="27"/>
  <c r="P72" i="27"/>
  <c r="L73" i="27"/>
  <c r="P73" i="27"/>
  <c r="L74" i="27"/>
  <c r="P74" i="27"/>
  <c r="L75" i="27"/>
  <c r="P3" i="27"/>
  <c r="M11" i="27"/>
  <c r="M15" i="27"/>
  <c r="K77" i="27"/>
  <c r="J77" i="27"/>
  <c r="I77" i="27"/>
  <c r="Q77" i="27" s="1"/>
  <c r="K81" i="27"/>
  <c r="J81" i="27"/>
  <c r="I81" i="27"/>
  <c r="Q81" i="27" s="1"/>
  <c r="K85" i="27"/>
  <c r="J85" i="27"/>
  <c r="I85" i="27"/>
  <c r="Q85" i="27" s="1"/>
  <c r="I89" i="27"/>
  <c r="Q89" i="27" s="1"/>
  <c r="J89" i="27"/>
  <c r="K89" i="27" s="1"/>
  <c r="J93" i="27"/>
  <c r="K93" i="27" s="1"/>
  <c r="I93" i="27"/>
  <c r="Q93" i="27" s="1"/>
  <c r="I97" i="27"/>
  <c r="Q97" i="27" s="1"/>
  <c r="J97" i="27"/>
  <c r="K97" i="27" s="1"/>
  <c r="J101" i="27"/>
  <c r="K101" i="27" s="1"/>
  <c r="I101" i="27"/>
  <c r="Q101" i="27" s="1"/>
  <c r="J105" i="27"/>
  <c r="K105" i="27" s="1"/>
  <c r="I105" i="27"/>
  <c r="Q105" i="27" s="1"/>
  <c r="J109" i="27"/>
  <c r="K109" i="27" s="1"/>
  <c r="I109" i="27"/>
  <c r="Q109" i="27" s="1"/>
  <c r="J113" i="27"/>
  <c r="K113" i="27" s="1"/>
  <c r="I113" i="27"/>
  <c r="Q113" i="27" s="1"/>
  <c r="K117" i="27"/>
  <c r="J117" i="27"/>
  <c r="I117" i="27"/>
  <c r="Q117" i="27" s="1"/>
  <c r="K121" i="27"/>
  <c r="J121" i="27"/>
  <c r="I121" i="27"/>
  <c r="Q121" i="27" s="1"/>
  <c r="K125" i="27"/>
  <c r="J125" i="27"/>
  <c r="I125" i="27"/>
  <c r="Q125" i="27" s="1"/>
  <c r="N16" i="27"/>
  <c r="M28" i="27"/>
  <c r="P78" i="27"/>
  <c r="L78" i="27"/>
  <c r="O78" i="27"/>
  <c r="N78" i="27"/>
  <c r="M78" i="27"/>
  <c r="P82" i="27"/>
  <c r="L82" i="27"/>
  <c r="O82" i="27"/>
  <c r="N82" i="27"/>
  <c r="M82" i="27"/>
  <c r="M86" i="27"/>
  <c r="P86" i="27"/>
  <c r="L86" i="27"/>
  <c r="O86" i="27"/>
  <c r="N86" i="27"/>
  <c r="N90" i="27"/>
  <c r="M90" i="27"/>
  <c r="P90" i="27"/>
  <c r="L90" i="27"/>
  <c r="O90" i="27"/>
  <c r="M94" i="27"/>
  <c r="P94" i="27"/>
  <c r="L94" i="27"/>
  <c r="O94" i="27"/>
  <c r="N94" i="27"/>
  <c r="N98" i="27"/>
  <c r="M98" i="27"/>
  <c r="P98" i="27"/>
  <c r="L98" i="27"/>
  <c r="O98" i="27"/>
  <c r="O102" i="27"/>
  <c r="N102" i="27"/>
  <c r="M102" i="27"/>
  <c r="P102" i="27"/>
  <c r="L102" i="27"/>
  <c r="O106" i="27"/>
  <c r="N106" i="27"/>
  <c r="M106" i="27"/>
  <c r="P106" i="27"/>
  <c r="L106" i="27"/>
  <c r="O110" i="27"/>
  <c r="N110" i="27"/>
  <c r="M110" i="27"/>
  <c r="P110" i="27"/>
  <c r="L110" i="27"/>
  <c r="P114" i="27"/>
  <c r="L114" i="27"/>
  <c r="O114" i="27"/>
  <c r="N114" i="27"/>
  <c r="M114" i="27"/>
  <c r="P118" i="27"/>
  <c r="L118" i="27"/>
  <c r="O118" i="27"/>
  <c r="N118" i="27"/>
  <c r="M118" i="27"/>
  <c r="P122" i="27"/>
  <c r="L122" i="27"/>
  <c r="O122" i="27"/>
  <c r="N122" i="27"/>
  <c r="M122" i="27"/>
  <c r="P126" i="27"/>
  <c r="L126" i="27"/>
  <c r="O126" i="27"/>
  <c r="N126" i="27"/>
  <c r="M126" i="27"/>
  <c r="O7" i="27"/>
  <c r="J12" i="27"/>
  <c r="K12" i="27" s="1"/>
  <c r="J15" i="27"/>
  <c r="K15" i="27" s="1"/>
  <c r="L17" i="27"/>
  <c r="M18" i="27"/>
  <c r="P20" i="27"/>
  <c r="O22" i="27"/>
  <c r="L24" i="27"/>
  <c r="L49" i="27"/>
  <c r="L57" i="27"/>
  <c r="K44" i="28"/>
  <c r="K256" i="28"/>
  <c r="K356" i="28"/>
  <c r="K124" i="28"/>
  <c r="K687" i="28"/>
  <c r="K34" i="28"/>
  <c r="K64" i="28"/>
  <c r="K128" i="28"/>
  <c r="K40" i="28"/>
  <c r="K342" i="28"/>
  <c r="K369" i="28"/>
  <c r="K388" i="28"/>
  <c r="K41" i="28"/>
  <c r="K51" i="28"/>
  <c r="K58" i="28"/>
  <c r="K93" i="28"/>
  <c r="K125" i="28"/>
  <c r="K147" i="28"/>
  <c r="K165" i="28"/>
  <c r="K245" i="28"/>
  <c r="K261" i="28"/>
  <c r="K376" i="28"/>
  <c r="K393" i="28"/>
  <c r="K729" i="28"/>
  <c r="K735" i="28"/>
  <c r="K5" i="28"/>
  <c r="K39" i="28"/>
  <c r="K47" i="28"/>
  <c r="K79" i="28"/>
  <c r="K123" i="28"/>
  <c r="K135" i="28"/>
  <c r="K171" i="28"/>
  <c r="K195" i="28"/>
  <c r="K293" i="28"/>
  <c r="K385" i="28"/>
  <c r="K387" i="28"/>
  <c r="K712" i="28"/>
  <c r="K718" i="28"/>
  <c r="K35" i="28"/>
  <c r="K45" i="28"/>
  <c r="K52" i="28"/>
  <c r="K57" i="28"/>
  <c r="K67" i="28"/>
  <c r="K77" i="28"/>
  <c r="K126" i="28"/>
  <c r="K138" i="28"/>
  <c r="K141" i="28"/>
  <c r="K153" i="28"/>
  <c r="K177" i="28"/>
  <c r="K249" i="28"/>
  <c r="K730" i="28"/>
  <c r="K6" i="28"/>
  <c r="K33" i="28"/>
  <c r="K43" i="28"/>
  <c r="K55" i="28"/>
  <c r="K63" i="28"/>
  <c r="K75" i="28"/>
  <c r="K159" i="28"/>
  <c r="K183" i="28"/>
  <c r="K255" i="28"/>
  <c r="K351" i="28"/>
  <c r="K699" i="28"/>
  <c r="K717" i="28"/>
  <c r="K747" i="28"/>
  <c r="K780" i="28"/>
  <c r="K783" i="28"/>
  <c r="K795" i="28"/>
  <c r="K807" i="28"/>
  <c r="K693" i="28"/>
  <c r="K389" i="28"/>
  <c r="K407" i="28"/>
  <c r="K477" i="28"/>
  <c r="K681" i="28"/>
  <c r="K711" i="28"/>
  <c r="K801" i="28"/>
  <c r="L29" i="27"/>
  <c r="P29" i="27"/>
  <c r="M29" i="27"/>
  <c r="I29" i="27"/>
  <c r="Q29" i="27" s="1"/>
  <c r="N28" i="27"/>
  <c r="O28" i="27"/>
  <c r="L28" i="27"/>
  <c r="P28" i="27"/>
  <c r="I28" i="27"/>
  <c r="Q28" i="27" s="1"/>
  <c r="N27" i="27"/>
  <c r="O27" i="27"/>
  <c r="L27" i="27"/>
  <c r="O26" i="27"/>
  <c r="L26" i="27"/>
  <c r="I25" i="27"/>
  <c r="Q25" i="27" s="1"/>
  <c r="N25" i="27"/>
  <c r="O25" i="27"/>
  <c r="M25" i="27"/>
  <c r="L25" i="27"/>
  <c r="M24" i="27"/>
  <c r="I24" i="27"/>
  <c r="Q24" i="27" s="1"/>
  <c r="N24" i="27"/>
  <c r="L23" i="27"/>
  <c r="P23" i="27"/>
  <c r="O23" i="27"/>
  <c r="I23" i="27"/>
  <c r="Q23" i="27" s="1"/>
  <c r="M23" i="27"/>
  <c r="L22" i="27"/>
  <c r="L21" i="27"/>
  <c r="P21" i="27"/>
  <c r="M21" i="27"/>
  <c r="I21" i="27"/>
  <c r="Q21" i="27" s="1"/>
  <c r="I19" i="27"/>
  <c r="Q19" i="27" s="1"/>
  <c r="M19" i="27"/>
  <c r="N19" i="27"/>
  <c r="M17" i="27"/>
  <c r="O17" i="27"/>
  <c r="I17" i="27"/>
  <c r="Q17" i="27" s="1"/>
  <c r="N17" i="27"/>
  <c r="M16" i="27"/>
  <c r="I16" i="27"/>
  <c r="Q16" i="27" s="1"/>
  <c r="P15" i="27"/>
  <c r="I15" i="27"/>
  <c r="Q15" i="27" s="1"/>
  <c r="J14" i="27"/>
  <c r="K14" i="27" s="1"/>
  <c r="N14" i="27"/>
  <c r="P14" i="27"/>
  <c r="I14" i="27"/>
  <c r="Q14" i="27" s="1"/>
  <c r="J13" i="27"/>
  <c r="K13" i="27" s="1"/>
  <c r="N13" i="27"/>
  <c r="P13" i="27"/>
  <c r="I13" i="27"/>
  <c r="Q13" i="27" s="1"/>
  <c r="P12" i="27"/>
  <c r="I12" i="27"/>
  <c r="Q12" i="27" s="1"/>
  <c r="L10" i="27"/>
  <c r="J10" i="27"/>
  <c r="K10" i="27" s="1"/>
  <c r="L9" i="27"/>
  <c r="J9" i="27"/>
  <c r="K9" i="27" s="1"/>
  <c r="J8" i="27"/>
  <c r="K8" i="27" s="1"/>
  <c r="L3" i="27"/>
  <c r="I3" i="27"/>
  <c r="Q3" i="27" s="1"/>
  <c r="M3" i="27"/>
  <c r="J3" i="27"/>
  <c r="K3" i="27" s="1"/>
  <c r="J11" i="27"/>
  <c r="K11" i="27" s="1"/>
  <c r="N11" i="27"/>
  <c r="P11" i="27"/>
  <c r="I11" i="27"/>
  <c r="Q11" i="27" s="1"/>
  <c r="M6" i="27"/>
  <c r="L6" i="27"/>
  <c r="I7" i="27"/>
  <c r="Q7" i="27" s="1"/>
  <c r="M7" i="27"/>
  <c r="P7" i="27"/>
  <c r="J7" i="27"/>
  <c r="K7" i="27" s="1"/>
  <c r="N10" i="27"/>
  <c r="P10" i="27"/>
  <c r="I10" i="27"/>
  <c r="Q10" i="27" s="1"/>
  <c r="N9" i="27"/>
  <c r="I9" i="27"/>
  <c r="Q9" i="27" s="1"/>
  <c r="P9" i="27"/>
  <c r="N8" i="27"/>
  <c r="P8" i="27"/>
  <c r="I8" i="27"/>
  <c r="Q8" i="27" s="1"/>
  <c r="J6" i="27"/>
  <c r="K6" i="27" s="1"/>
  <c r="N6" i="27"/>
  <c r="P6" i="27"/>
  <c r="I6" i="27"/>
  <c r="Q6" i="27" s="1"/>
  <c r="J5" i="27"/>
  <c r="K5" i="27" s="1"/>
  <c r="N5" i="27"/>
  <c r="P5" i="27"/>
  <c r="I5" i="27"/>
  <c r="Q5" i="27" s="1"/>
  <c r="L4" i="27"/>
  <c r="N4" i="27"/>
  <c r="M4" i="27"/>
  <c r="K4" i="27"/>
  <c r="P4" i="27"/>
  <c r="I4" i="27"/>
  <c r="Q4" i="27" s="1"/>
  <c r="N3" i="27"/>
  <c r="L2" i="27"/>
  <c r="J2" i="27"/>
  <c r="K2" i="27" s="1"/>
  <c r="N2" i="27"/>
  <c r="P2" i="27"/>
  <c r="I2" i="27"/>
  <c r="Q2" i="27" s="1"/>
  <c r="P30" i="27"/>
  <c r="L30" i="27"/>
  <c r="N30" i="27"/>
  <c r="I30" i="27"/>
  <c r="Q30" i="27" s="1"/>
  <c r="M30" i="27"/>
  <c r="K30" i="27"/>
  <c r="K52" i="29" l="1"/>
  <c r="D18" i="32"/>
  <c r="H59" i="25" a="1"/>
  <c r="H59" i="25" s="1"/>
  <c r="K202" i="29"/>
  <c r="E22" i="29"/>
  <c r="F22" i="29" s="1"/>
  <c r="G22" i="29" s="1"/>
  <c r="K185" i="29"/>
  <c r="E18" i="29"/>
  <c r="F18" i="29" s="1"/>
  <c r="G18" i="29" s="1"/>
  <c r="K340" i="29"/>
  <c r="E32" i="29"/>
  <c r="F32" i="29" s="1"/>
  <c r="K285" i="29"/>
  <c r="E25" i="29"/>
  <c r="F25" i="29" s="1"/>
  <c r="G25" i="29" s="1"/>
  <c r="K141" i="29"/>
  <c r="E10" i="29"/>
  <c r="F10" i="29" s="1"/>
  <c r="G10" i="29" s="1"/>
  <c r="K179" i="29"/>
  <c r="E16" i="29"/>
  <c r="F16" i="29" s="1"/>
  <c r="G16" i="29" s="1"/>
  <c r="E17" i="29"/>
  <c r="F17" i="29" s="1"/>
  <c r="G17" i="29" s="1"/>
  <c r="K182" i="29"/>
  <c r="E7" i="29"/>
  <c r="F7" i="29" s="1"/>
  <c r="G7" i="29" s="1"/>
  <c r="K77" i="29"/>
  <c r="K160" i="29"/>
  <c r="E13" i="29"/>
  <c r="F13" i="29" s="1"/>
  <c r="G13" i="29" s="1"/>
  <c r="K310" i="29"/>
  <c r="E26" i="29"/>
  <c r="F26" i="29" s="1"/>
  <c r="G26" i="29" s="1"/>
  <c r="K42" i="29"/>
  <c r="D16" i="32"/>
  <c r="E5" i="29"/>
  <c r="K368" i="29"/>
  <c r="E36" i="29"/>
  <c r="F36" i="29" s="1"/>
  <c r="G30" i="29"/>
  <c r="E61" i="32"/>
  <c r="E6" i="29"/>
  <c r="F6" i="29" s="1"/>
  <c r="G6" i="29" s="1"/>
  <c r="K112" i="29"/>
  <c r="E9" i="29"/>
  <c r="F9" i="29" s="1"/>
  <c r="G9" i="29" s="1"/>
  <c r="K49" i="29"/>
  <c r="D17" i="32"/>
  <c r="K276" i="29"/>
  <c r="E23" i="29"/>
  <c r="F23" i="29" s="1"/>
  <c r="G23" i="29" s="1"/>
  <c r="K358" i="29"/>
  <c r="E35" i="29"/>
  <c r="F35" i="29" s="1"/>
  <c r="K97" i="29"/>
  <c r="E8" i="29"/>
  <c r="F8" i="29" s="1"/>
  <c r="G8" i="29" s="1"/>
  <c r="K346" i="29"/>
  <c r="E33" i="29"/>
  <c r="F33" i="29" s="1"/>
  <c r="K339" i="29"/>
  <c r="E31" i="29"/>
  <c r="F31" i="29" s="1"/>
  <c r="K56" i="29"/>
  <c r="D22" i="32"/>
  <c r="K54" i="29"/>
  <c r="D19" i="32"/>
  <c r="K335" i="29"/>
  <c r="E29" i="29"/>
  <c r="F29" i="29" s="1"/>
  <c r="K187" i="29"/>
  <c r="E19" i="29"/>
  <c r="F19" i="29" s="1"/>
  <c r="G19" i="29" s="1"/>
  <c r="D20" i="32"/>
  <c r="K145" i="29"/>
  <c r="E11" i="29"/>
  <c r="F11" i="29" s="1"/>
  <c r="G11" i="29" s="1"/>
  <c r="K280" i="29"/>
  <c r="E24" i="29"/>
  <c r="F24" i="29" s="1"/>
  <c r="G24" i="29" s="1"/>
  <c r="K176" i="29"/>
  <c r="E15" i="29"/>
  <c r="F15" i="29" s="1"/>
  <c r="G15" i="29" s="1"/>
  <c r="E20" i="29"/>
  <c r="F20" i="29" s="1"/>
  <c r="G20" i="29" s="1"/>
  <c r="K349" i="29"/>
  <c r="E34" i="29"/>
  <c r="F34" i="29" s="1"/>
  <c r="K334" i="29"/>
  <c r="E28" i="29"/>
  <c r="F28" i="29" s="1"/>
  <c r="K173" i="29"/>
  <c r="E14" i="29"/>
  <c r="F14" i="29" s="1"/>
  <c r="G14" i="29" s="1"/>
  <c r="F59" i="25" a="1"/>
  <c r="F59" i="25" s="1"/>
  <c r="F55" i="25" a="1"/>
  <c r="F55" i="25" s="1"/>
  <c r="F51" i="25" a="1"/>
  <c r="F51" i="25" s="1"/>
  <c r="F58" i="25" a="1"/>
  <c r="F58" i="25" s="1"/>
  <c r="F54" i="25" a="1"/>
  <c r="F54" i="25" s="1"/>
  <c r="F50" i="25" a="1"/>
  <c r="F50" i="25" s="1"/>
  <c r="F57" i="25" a="1"/>
  <c r="F57" i="25" s="1"/>
  <c r="F53" i="25" a="1"/>
  <c r="F53" i="25" s="1"/>
  <c r="F52" i="25" a="1"/>
  <c r="F52" i="25" s="1"/>
  <c r="F56" i="25" a="1"/>
  <c r="F56" i="25" s="1"/>
  <c r="G58" i="25" a="1"/>
  <c r="G58" i="25" s="1"/>
  <c r="G59" i="25" a="1"/>
  <c r="G59" i="25" s="1"/>
  <c r="H57" i="25" a="1"/>
  <c r="H57" i="25" s="1"/>
  <c r="H58" i="25" a="1"/>
  <c r="H58" i="25" s="1"/>
  <c r="G56" i="25" a="1"/>
  <c r="G56" i="25" s="1"/>
  <c r="G57" i="25" a="1"/>
  <c r="G57" i="25" s="1"/>
  <c r="H55" i="25" a="1"/>
  <c r="H55" i="25" s="1"/>
  <c r="H56" i="25" a="1"/>
  <c r="H56" i="25" s="1"/>
  <c r="G54" i="25" a="1"/>
  <c r="G54" i="25" s="1"/>
  <c r="G55" i="25" a="1"/>
  <c r="G55" i="25" s="1"/>
  <c r="H53" i="25" a="1"/>
  <c r="H53" i="25" s="1"/>
  <c r="H54" i="25" a="1"/>
  <c r="H54" i="25" s="1"/>
  <c r="G52" i="25" a="1"/>
  <c r="G52" i="25" s="1"/>
  <c r="G53" i="25" a="1"/>
  <c r="G53" i="25" s="1"/>
  <c r="H51" i="25" a="1"/>
  <c r="H51" i="25" s="1"/>
  <c r="H52" i="25" a="1"/>
  <c r="H52" i="25" s="1"/>
  <c r="G50" i="25" a="1"/>
  <c r="G50" i="25" s="1"/>
  <c r="G51" i="25" a="1"/>
  <c r="G51" i="25" s="1"/>
  <c r="H29" i="25" a="1"/>
  <c r="H29" i="25" s="1"/>
  <c r="H50" i="25" a="1"/>
  <c r="H50" i="25" s="1"/>
  <c r="C59" i="25" a="1"/>
  <c r="C59" i="25" s="1"/>
  <c r="D57" i="25" a="1"/>
  <c r="D57" i="25" s="1"/>
  <c r="D53" i="25" a="1"/>
  <c r="D53" i="25" s="1"/>
  <c r="C46" i="25" a="1"/>
  <c r="C46" i="25" s="1"/>
  <c r="D51" i="25" a="1"/>
  <c r="D51" i="25" s="1"/>
  <c r="D58" i="25" a="1"/>
  <c r="D58" i="25" s="1"/>
  <c r="D50" i="25" a="1"/>
  <c r="D50" i="25" s="1"/>
  <c r="D56" i="25" a="1"/>
  <c r="D56" i="25" s="1"/>
  <c r="D52" i="25" a="1"/>
  <c r="D52" i="25" s="1"/>
  <c r="D46" i="25" a="1"/>
  <c r="D46" i="25" s="1"/>
  <c r="D55" i="25" a="1"/>
  <c r="D55" i="25" s="1"/>
  <c r="F46" i="25" a="1"/>
  <c r="F46" i="25" s="1"/>
  <c r="D54" i="25" a="1"/>
  <c r="D54" i="25" s="1"/>
  <c r="D59" i="25" a="1"/>
  <c r="D59" i="25" s="1"/>
  <c r="H46" i="25" a="1"/>
  <c r="H46" i="25" s="1"/>
  <c r="G46" i="25" a="1"/>
  <c r="G46" i="25" s="1"/>
  <c r="C54" i="25" a="1"/>
  <c r="C54" i="25" s="1"/>
  <c r="C51" i="25" a="1"/>
  <c r="C51" i="25" s="1"/>
  <c r="C53" i="25" a="1"/>
  <c r="C53" i="25" s="1"/>
  <c r="C58" i="25" a="1"/>
  <c r="C58" i="25" s="1"/>
  <c r="C57" i="25" a="1"/>
  <c r="C57" i="25" s="1"/>
  <c r="C52" i="25" a="1"/>
  <c r="C52" i="25" s="1"/>
  <c r="C55" i="25" a="1"/>
  <c r="C55" i="25" s="1"/>
  <c r="C56" i="25" a="1"/>
  <c r="C56" i="25" s="1"/>
  <c r="C11" i="25" a="1"/>
  <c r="C11" i="25" s="1"/>
  <c r="E22" i="25" a="1"/>
  <c r="E22" i="25" s="1"/>
  <c r="C23" i="25" a="1"/>
  <c r="C23" i="25" s="1"/>
  <c r="D21" i="25" a="1"/>
  <c r="D21" i="25" s="1"/>
  <c r="C12" i="25" a="1"/>
  <c r="C12" i="25" s="1"/>
  <c r="C66" i="25" a="1"/>
  <c r="C66" i="25" s="1"/>
  <c r="D22" i="25" a="1"/>
  <c r="D22" i="25" s="1"/>
  <c r="D24" i="25" a="1"/>
  <c r="D24" i="25" s="1"/>
  <c r="C21" i="25" a="1"/>
  <c r="C21" i="25" s="1"/>
  <c r="E23" i="25" a="1"/>
  <c r="E23" i="25" s="1"/>
  <c r="E25" i="25" a="1"/>
  <c r="E25" i="25" s="1"/>
  <c r="E24" i="25" a="1"/>
  <c r="E24" i="25" s="1"/>
  <c r="E21" i="25" a="1"/>
  <c r="E21" i="25" s="1"/>
  <c r="C25" i="25" a="1"/>
  <c r="C25" i="25" s="1"/>
  <c r="C17" i="25" a="1"/>
  <c r="C17" i="25" s="1"/>
  <c r="C22" i="25" a="1"/>
  <c r="C22" i="25" s="1"/>
  <c r="C24" i="25" a="1"/>
  <c r="C24" i="25" s="1"/>
  <c r="D23" i="25" a="1"/>
  <c r="D23" i="25" s="1"/>
  <c r="D25" i="25" a="1"/>
  <c r="D25" i="25" s="1"/>
  <c r="C13" i="25" a="1"/>
  <c r="C13" i="25" s="1"/>
  <c r="C16" i="25" a="1"/>
  <c r="C16" i="25" s="1"/>
  <c r="H24" i="25" a="1"/>
  <c r="H24" i="25" s="1"/>
  <c r="H22" i="25" a="1"/>
  <c r="H22" i="25" s="1"/>
  <c r="H21" i="25" a="1"/>
  <c r="H21" i="25" s="1"/>
  <c r="H25" i="25" a="1"/>
  <c r="H25" i="25" s="1"/>
  <c r="H23" i="25" a="1"/>
  <c r="H23" i="25" s="1"/>
  <c r="F25" i="25" a="1"/>
  <c r="F25" i="25" s="1"/>
  <c r="F23" i="25" a="1"/>
  <c r="F23" i="25" s="1"/>
  <c r="G24" i="25" a="1"/>
  <c r="G24" i="25" s="1"/>
  <c r="G21" i="25" a="1"/>
  <c r="G21" i="25" s="1"/>
  <c r="F24" i="25" a="1"/>
  <c r="F24" i="25" s="1"/>
  <c r="F22" i="25" a="1"/>
  <c r="F22" i="25" s="1"/>
  <c r="F21" i="25" a="1"/>
  <c r="F21" i="25" s="1"/>
  <c r="G25" i="25" a="1"/>
  <c r="G25" i="25" s="1"/>
  <c r="G23" i="25" a="1"/>
  <c r="G23" i="25" s="1"/>
  <c r="G22" i="25" a="1"/>
  <c r="G22" i="25" s="1"/>
  <c r="C15" i="25" a="1"/>
  <c r="C15" i="25" s="1"/>
  <c r="C14" i="25" a="1"/>
  <c r="C14" i="25" s="1"/>
  <c r="C80" i="25" a="1"/>
  <c r="C80" i="25" s="1"/>
  <c r="E84" i="25" a="1"/>
  <c r="E84" i="25" s="1"/>
  <c r="D71" i="25" a="1"/>
  <c r="D71" i="25" s="1"/>
  <c r="D75" i="25" a="1"/>
  <c r="D75" i="25" s="1"/>
  <c r="C79" i="25" a="1"/>
  <c r="C79" i="25" s="1"/>
  <c r="C81" i="25" a="1"/>
  <c r="C81" i="25" s="1"/>
  <c r="C83" i="25" a="1"/>
  <c r="C83" i="25" s="1"/>
  <c r="E68" i="25" a="1"/>
  <c r="E68" i="25" s="1"/>
  <c r="C72" i="25" a="1"/>
  <c r="C72" i="25" s="1"/>
  <c r="E74" i="25" a="1"/>
  <c r="E74" i="25" s="1"/>
  <c r="D76" i="25" a="1"/>
  <c r="D76" i="25" s="1"/>
  <c r="C65" i="25" a="1"/>
  <c r="C65" i="25" s="1"/>
  <c r="C69" i="25" a="1"/>
  <c r="C69" i="25" s="1"/>
  <c r="D73" i="25" a="1"/>
  <c r="D73" i="25" s="1"/>
  <c r="E77" i="25" a="1"/>
  <c r="E77" i="25" s="1"/>
  <c r="C45" i="25" a="1"/>
  <c r="C45" i="25" s="1"/>
  <c r="D80" i="25" a="1"/>
  <c r="D80" i="25" s="1"/>
  <c r="E67" i="25" a="1"/>
  <c r="E67" i="25" s="1"/>
  <c r="E71" i="25" a="1"/>
  <c r="E71" i="25" s="1"/>
  <c r="C75" i="25" a="1"/>
  <c r="C75" i="25" s="1"/>
  <c r="E64" i="25" a="1"/>
  <c r="E64" i="25" s="1"/>
  <c r="D81" i="25" a="1"/>
  <c r="D81" i="25" s="1"/>
  <c r="D83" i="25" a="1"/>
  <c r="D83" i="25" s="1"/>
  <c r="D70" i="25" a="1"/>
  <c r="D70" i="25" s="1"/>
  <c r="E72" i="25" a="1"/>
  <c r="E72" i="25" s="1"/>
  <c r="C74" i="25" a="1"/>
  <c r="C74" i="25" s="1"/>
  <c r="D78" i="25" a="1"/>
  <c r="D78" i="25" s="1"/>
  <c r="D65" i="25" a="1"/>
  <c r="D65" i="25" s="1"/>
  <c r="D82" i="25" a="1"/>
  <c r="D82" i="25" s="1"/>
  <c r="D69" i="25" a="1"/>
  <c r="D69" i="25" s="1"/>
  <c r="E73" i="25" a="1"/>
  <c r="E73" i="25" s="1"/>
  <c r="F39" i="25" a="1"/>
  <c r="F39" i="25" s="1"/>
  <c r="F47" i="25" a="1"/>
  <c r="F47" i="25" s="1"/>
  <c r="C84" i="25" a="1"/>
  <c r="C84" i="25" s="1"/>
  <c r="D67" i="25" a="1"/>
  <c r="D67" i="25" s="1"/>
  <c r="C71" i="25" a="1"/>
  <c r="C71" i="25" s="1"/>
  <c r="E79" i="25" a="1"/>
  <c r="E79" i="25" s="1"/>
  <c r="C64" i="25" a="1"/>
  <c r="C64" i="25" s="1"/>
  <c r="E81" i="25" a="1"/>
  <c r="E81" i="25" s="1"/>
  <c r="C68" i="25" a="1"/>
  <c r="C68" i="25" s="1"/>
  <c r="C70" i="25" a="1"/>
  <c r="C70" i="25" s="1"/>
  <c r="D72" i="25" a="1"/>
  <c r="D72" i="25" s="1"/>
  <c r="E76" i="25" a="1"/>
  <c r="E76" i="25" s="1"/>
  <c r="E78" i="25" a="1"/>
  <c r="E78" i="25" s="1"/>
  <c r="E65" i="25" a="1"/>
  <c r="E65" i="25" s="1"/>
  <c r="E82" i="25" a="1"/>
  <c r="E82" i="25" s="1"/>
  <c r="E69" i="25" a="1"/>
  <c r="E69" i="25" s="1"/>
  <c r="C77" i="25" a="1"/>
  <c r="C77" i="25" s="1"/>
  <c r="D66" i="25" a="1"/>
  <c r="D66" i="25" s="1"/>
  <c r="E80" i="25" a="1"/>
  <c r="E80" i="25" s="1"/>
  <c r="D84" i="25" a="1"/>
  <c r="D84" i="25" s="1"/>
  <c r="C67" i="25" a="1"/>
  <c r="C67" i="25" s="1"/>
  <c r="E75" i="25" a="1"/>
  <c r="E75" i="25" s="1"/>
  <c r="D79" i="25" a="1"/>
  <c r="D79" i="25" s="1"/>
  <c r="D64" i="25" a="1"/>
  <c r="D64" i="25" s="1"/>
  <c r="E83" i="25" a="1"/>
  <c r="E83" i="25" s="1"/>
  <c r="D68" i="25" a="1"/>
  <c r="D68" i="25" s="1"/>
  <c r="E70" i="25" a="1"/>
  <c r="E70" i="25" s="1"/>
  <c r="D74" i="25" a="1"/>
  <c r="D74" i="25" s="1"/>
  <c r="C76" i="25" a="1"/>
  <c r="C76" i="25" s="1"/>
  <c r="C78" i="25" a="1"/>
  <c r="C78" i="25" s="1"/>
  <c r="C82" i="25" a="1"/>
  <c r="C82" i="25" s="1"/>
  <c r="C73" i="25" a="1"/>
  <c r="C73" i="25" s="1"/>
  <c r="D77" i="25" a="1"/>
  <c r="D77" i="25" s="1"/>
  <c r="E66" i="25" a="1"/>
  <c r="E66" i="25" s="1"/>
  <c r="H83" i="25" a="1"/>
  <c r="H83" i="25" s="1"/>
  <c r="H81" i="25" a="1"/>
  <c r="H81" i="25" s="1"/>
  <c r="H79" i="25" a="1"/>
  <c r="H79" i="25" s="1"/>
  <c r="H77" i="25" a="1"/>
  <c r="H77" i="25" s="1"/>
  <c r="H76" i="25" a="1"/>
  <c r="H76" i="25" s="1"/>
  <c r="H75" i="25" a="1"/>
  <c r="H75" i="25" s="1"/>
  <c r="H73" i="25" a="1"/>
  <c r="H73" i="25" s="1"/>
  <c r="H70" i="25" a="1"/>
  <c r="H70" i="25" s="1"/>
  <c r="H68" i="25" a="1"/>
  <c r="H68" i="25" s="1"/>
  <c r="H66" i="25" a="1"/>
  <c r="H66" i="25" s="1"/>
  <c r="H84" i="25" a="1"/>
  <c r="H84" i="25" s="1"/>
  <c r="H82" i="25" a="1"/>
  <c r="H82" i="25" s="1"/>
  <c r="H80" i="25" a="1"/>
  <c r="H80" i="25" s="1"/>
  <c r="H78" i="25" a="1"/>
  <c r="H78" i="25" s="1"/>
  <c r="H74" i="25" a="1"/>
  <c r="H74" i="25" s="1"/>
  <c r="H72" i="25" a="1"/>
  <c r="H72" i="25" s="1"/>
  <c r="H71" i="25" a="1"/>
  <c r="H71" i="25" s="1"/>
  <c r="H69" i="25" a="1"/>
  <c r="H69" i="25" s="1"/>
  <c r="H67" i="25" a="1"/>
  <c r="H67" i="25" s="1"/>
  <c r="H65" i="25" a="1"/>
  <c r="H65" i="25" s="1"/>
  <c r="H64" i="25" a="1"/>
  <c r="H64" i="25" s="1"/>
  <c r="F84" i="25" a="1"/>
  <c r="F84" i="25" s="1"/>
  <c r="F82" i="25" a="1"/>
  <c r="F82" i="25" s="1"/>
  <c r="F80" i="25" a="1"/>
  <c r="F80" i="25" s="1"/>
  <c r="F78" i="25" a="1"/>
  <c r="F78" i="25" s="1"/>
  <c r="F74" i="25" a="1"/>
  <c r="F74" i="25" s="1"/>
  <c r="F72" i="25" a="1"/>
  <c r="F72" i="25" s="1"/>
  <c r="F71" i="25" a="1"/>
  <c r="F71" i="25" s="1"/>
  <c r="F69" i="25" a="1"/>
  <c r="F69" i="25" s="1"/>
  <c r="F67" i="25" a="1"/>
  <c r="F67" i="25" s="1"/>
  <c r="F65" i="25" a="1"/>
  <c r="F65" i="25" s="1"/>
  <c r="F64" i="25" a="1"/>
  <c r="F64" i="25" s="1"/>
  <c r="G70" i="25" a="1"/>
  <c r="G70" i="25" s="1"/>
  <c r="F83" i="25" a="1"/>
  <c r="F83" i="25" s="1"/>
  <c r="F81" i="25" a="1"/>
  <c r="F81" i="25" s="1"/>
  <c r="F79" i="25" a="1"/>
  <c r="F79" i="25" s="1"/>
  <c r="F77" i="25" a="1"/>
  <c r="F77" i="25" s="1"/>
  <c r="F76" i="25" a="1"/>
  <c r="F76" i="25" s="1"/>
  <c r="F75" i="25" a="1"/>
  <c r="F75" i="25" s="1"/>
  <c r="F73" i="25" a="1"/>
  <c r="F73" i="25" s="1"/>
  <c r="F70" i="25" a="1"/>
  <c r="F70" i="25" s="1"/>
  <c r="F68" i="25" a="1"/>
  <c r="F68" i="25" s="1"/>
  <c r="F66" i="25" a="1"/>
  <c r="F66" i="25" s="1"/>
  <c r="G84" i="25" a="1"/>
  <c r="G84" i="25" s="1"/>
  <c r="G83" i="25" a="1"/>
  <c r="G83" i="25" s="1"/>
  <c r="G81" i="25" a="1"/>
  <c r="G81" i="25" s="1"/>
  <c r="G79" i="25" a="1"/>
  <c r="G79" i="25" s="1"/>
  <c r="G82" i="25" a="1"/>
  <c r="G82" i="25" s="1"/>
  <c r="G80" i="25" a="1"/>
  <c r="G80" i="25" s="1"/>
  <c r="G78" i="25" a="1"/>
  <c r="G78" i="25" s="1"/>
  <c r="G77" i="25" a="1"/>
  <c r="G77" i="25" s="1"/>
  <c r="G76" i="25" a="1"/>
  <c r="G76" i="25" s="1"/>
  <c r="G75" i="25" a="1"/>
  <c r="G75" i="25" s="1"/>
  <c r="G74" i="25" a="1"/>
  <c r="G74" i="25" s="1"/>
  <c r="G73" i="25" a="1"/>
  <c r="G73" i="25" s="1"/>
  <c r="G72" i="25" a="1"/>
  <c r="G72" i="25" s="1"/>
  <c r="G71" i="25" a="1"/>
  <c r="G71" i="25" s="1"/>
  <c r="G65" i="25" a="1"/>
  <c r="G65" i="25" s="1"/>
  <c r="G69" i="25" a="1"/>
  <c r="G69" i="25" s="1"/>
  <c r="G68" i="25" a="1"/>
  <c r="G68" i="25" s="1"/>
  <c r="G67" i="25" a="1"/>
  <c r="G67" i="25" s="1"/>
  <c r="G66" i="25" a="1"/>
  <c r="G66" i="25" s="1"/>
  <c r="G64" i="25" a="1"/>
  <c r="G64" i="25" s="1"/>
  <c r="D34" i="25" a="1"/>
  <c r="D34" i="25" s="1"/>
  <c r="D33" i="25" a="1"/>
  <c r="D33" i="25" s="1"/>
  <c r="F38" i="25" a="1"/>
  <c r="F38" i="25" s="1"/>
  <c r="C44" i="25" a="1"/>
  <c r="C44" i="25" s="1"/>
  <c r="D49" i="25" a="1"/>
  <c r="D49" i="25" s="1"/>
  <c r="C31" i="25" a="1"/>
  <c r="C31" i="25" s="1"/>
  <c r="D36" i="25" a="1"/>
  <c r="D36" i="25" s="1"/>
  <c r="F41" i="25" a="1"/>
  <c r="F41" i="25" s="1"/>
  <c r="C47" i="25" a="1"/>
  <c r="C47" i="25" s="1"/>
  <c r="D30" i="25" a="1"/>
  <c r="D30" i="25" s="1"/>
  <c r="C34" i="25" a="1"/>
  <c r="C34" i="25" s="1"/>
  <c r="D39" i="25" a="1"/>
  <c r="D39" i="25" s="1"/>
  <c r="F44" i="25" a="1"/>
  <c r="F44" i="25" s="1"/>
  <c r="C50" i="25" a="1"/>
  <c r="C50" i="25" s="1"/>
  <c r="D38" i="25" a="1"/>
  <c r="D38" i="25" s="1"/>
  <c r="F43" i="25" a="1"/>
  <c r="F43" i="25" s="1"/>
  <c r="C49" i="25" a="1"/>
  <c r="C49" i="25" s="1"/>
  <c r="C43" i="25" a="1"/>
  <c r="C43" i="25" s="1"/>
  <c r="D29" i="25" a="1"/>
  <c r="D29" i="25" s="1"/>
  <c r="F34" i="25" a="1"/>
  <c r="F34" i="25" s="1"/>
  <c r="C40" i="25" a="1"/>
  <c r="C40" i="25" s="1"/>
  <c r="D45" i="25" a="1"/>
  <c r="D45" i="25" s="1"/>
  <c r="D32" i="25" a="1"/>
  <c r="D32" i="25" s="1"/>
  <c r="F37" i="25" a="1"/>
  <c r="F37" i="25" s="1"/>
  <c r="D48" i="25" a="1"/>
  <c r="D48" i="25" s="1"/>
  <c r="C30" i="25" a="1"/>
  <c r="C30" i="25" s="1"/>
  <c r="D35" i="25" a="1"/>
  <c r="D35" i="25" s="1"/>
  <c r="F40" i="25" a="1"/>
  <c r="F40" i="25" s="1"/>
  <c r="E48" i="32"/>
  <c r="F31" i="25" a="1"/>
  <c r="F31" i="25" s="1"/>
  <c r="F30" i="25" a="1"/>
  <c r="F30" i="25" s="1"/>
  <c r="C36" i="25" a="1"/>
  <c r="C36" i="25" s="1"/>
  <c r="D41" i="25" a="1"/>
  <c r="D41" i="25" s="1"/>
  <c r="C29" i="25" a="1"/>
  <c r="C29" i="25" s="1"/>
  <c r="F33" i="25" a="1"/>
  <c r="F33" i="25" s="1"/>
  <c r="C39" i="25" a="1"/>
  <c r="C39" i="25" s="1"/>
  <c r="D44" i="25" a="1"/>
  <c r="D44" i="25" s="1"/>
  <c r="F49" i="25" a="1"/>
  <c r="F49" i="25" s="1"/>
  <c r="D31" i="25" a="1"/>
  <c r="D31" i="25" s="1"/>
  <c r="F36" i="25" a="1"/>
  <c r="F36" i="25" s="1"/>
  <c r="C42" i="25" a="1"/>
  <c r="C42" i="25" s="1"/>
  <c r="D47" i="25" a="1"/>
  <c r="D47" i="25" s="1"/>
  <c r="F35" i="25" a="1"/>
  <c r="F35" i="25" s="1"/>
  <c r="C41" i="25" a="1"/>
  <c r="C41" i="25" s="1"/>
  <c r="C33" i="25" a="1"/>
  <c r="C33" i="25" s="1"/>
  <c r="C32" i="25" a="1"/>
  <c r="C32" i="25" s="1"/>
  <c r="D37" i="25" a="1"/>
  <c r="D37" i="25" s="1"/>
  <c r="F42" i="25" a="1"/>
  <c r="F42" i="25" s="1"/>
  <c r="C48" i="25" a="1"/>
  <c r="C48" i="25" s="1"/>
  <c r="F29" i="25" a="1"/>
  <c r="F29" i="25" s="1"/>
  <c r="C35" i="25" a="1"/>
  <c r="C35" i="25" s="1"/>
  <c r="D40" i="25" a="1"/>
  <c r="D40" i="25" s="1"/>
  <c r="F45" i="25" a="1"/>
  <c r="F45" i="25" s="1"/>
  <c r="F32" i="25" a="1"/>
  <c r="F32" i="25" s="1"/>
  <c r="C38" i="25" a="1"/>
  <c r="C38" i="25" s="1"/>
  <c r="D43" i="25" a="1"/>
  <c r="D43" i="25" s="1"/>
  <c r="F48" i="25" a="1"/>
  <c r="F48" i="25" s="1"/>
  <c r="C37" i="25" a="1"/>
  <c r="C37" i="25" s="1"/>
  <c r="D42" i="25" a="1"/>
  <c r="D42" i="25" s="1"/>
  <c r="H47" i="25" a="1"/>
  <c r="H47" i="25" s="1"/>
  <c r="H43" i="25" a="1"/>
  <c r="H43" i="25" s="1"/>
  <c r="H39" i="25" a="1"/>
  <c r="H39" i="25" s="1"/>
  <c r="H35" i="25" a="1"/>
  <c r="H35" i="25" s="1"/>
  <c r="H31" i="25" a="1"/>
  <c r="H31" i="25" s="1"/>
  <c r="H49" i="25" a="1"/>
  <c r="H49" i="25" s="1"/>
  <c r="H45" i="25" a="1"/>
  <c r="H45" i="25" s="1"/>
  <c r="H41" i="25" a="1"/>
  <c r="H41" i="25" s="1"/>
  <c r="H37" i="25" a="1"/>
  <c r="H37" i="25" s="1"/>
  <c r="H33" i="25" a="1"/>
  <c r="H33" i="25" s="1"/>
  <c r="H30" i="25" a="1"/>
  <c r="H30" i="25" s="1"/>
  <c r="H48" i="25" a="1"/>
  <c r="H48" i="25" s="1"/>
  <c r="H44" i="25" a="1"/>
  <c r="H44" i="25" s="1"/>
  <c r="H40" i="25" a="1"/>
  <c r="H40" i="25" s="1"/>
  <c r="H38" i="25" a="1"/>
  <c r="H38" i="25" s="1"/>
  <c r="H36" i="25" a="1"/>
  <c r="H36" i="25" s="1"/>
  <c r="H34" i="25" a="1"/>
  <c r="H34" i="25" s="1"/>
  <c r="H32" i="25" a="1"/>
  <c r="H32" i="25" s="1"/>
  <c r="H42" i="25" a="1"/>
  <c r="H42" i="25" s="1"/>
  <c r="G48" i="25" a="1"/>
  <c r="G48" i="25" s="1"/>
  <c r="G44" i="25" a="1"/>
  <c r="G44" i="25" s="1"/>
  <c r="G40" i="25" a="1"/>
  <c r="G40" i="25" s="1"/>
  <c r="G36" i="25" a="1"/>
  <c r="G36" i="25" s="1"/>
  <c r="G32" i="25" a="1"/>
  <c r="G32" i="25" s="1"/>
  <c r="G30" i="25" a="1"/>
  <c r="G30" i="25" s="1"/>
  <c r="G42" i="25" a="1"/>
  <c r="G42" i="25" s="1"/>
  <c r="G38" i="25" a="1"/>
  <c r="G38" i="25" s="1"/>
  <c r="G34" i="25" a="1"/>
  <c r="G34" i="25" s="1"/>
  <c r="G29" i="25" a="1"/>
  <c r="G29" i="25" s="1"/>
  <c r="G49" i="25" a="1"/>
  <c r="G49" i="25" s="1"/>
  <c r="G45" i="25" a="1"/>
  <c r="G45" i="25" s="1"/>
  <c r="G41" i="25" a="1"/>
  <c r="G41" i="25" s="1"/>
  <c r="G39" i="25" a="1"/>
  <c r="G39" i="25" s="1"/>
  <c r="G37" i="25" a="1"/>
  <c r="G37" i="25" s="1"/>
  <c r="G35" i="25" a="1"/>
  <c r="G35" i="25" s="1"/>
  <c r="G33" i="25" a="1"/>
  <c r="G33" i="25" s="1"/>
  <c r="G31" i="25" a="1"/>
  <c r="G31" i="25" s="1"/>
  <c r="G47" i="25" a="1"/>
  <c r="G47" i="25" s="1"/>
  <c r="G43" i="25" a="1"/>
  <c r="G43" i="25" s="1"/>
  <c r="E43" i="32"/>
  <c r="G36" i="29" l="1"/>
  <c r="E67" i="32"/>
  <c r="G34" i="29"/>
  <c r="E65" i="32"/>
  <c r="G29" i="29"/>
  <c r="E60" i="32"/>
  <c r="G33" i="29"/>
  <c r="E64" i="32"/>
  <c r="G35" i="29"/>
  <c r="E66" i="32"/>
  <c r="F5" i="29"/>
  <c r="E38" i="29"/>
  <c r="G28" i="29"/>
  <c r="E59" i="32"/>
  <c r="G31" i="29"/>
  <c r="E62" i="32"/>
  <c r="G32" i="29"/>
  <c r="E63" i="32"/>
  <c r="E55" i="25"/>
  <c r="E59" i="25"/>
  <c r="E46" i="25"/>
  <c r="E58" i="25"/>
  <c r="E54" i="25"/>
  <c r="E52" i="25"/>
  <c r="E57" i="25"/>
  <c r="E53" i="25"/>
  <c r="E56" i="25"/>
  <c r="E51" i="25"/>
  <c r="E49" i="32"/>
  <c r="E54" i="32"/>
  <c r="E46" i="32"/>
  <c r="E58" i="32"/>
  <c r="E55" i="32"/>
  <c r="E47" i="32"/>
  <c r="E42" i="32"/>
  <c r="E44" i="32"/>
  <c r="E39" i="32"/>
  <c r="E50" i="32"/>
  <c r="E40" i="32"/>
  <c r="E56" i="32"/>
  <c r="E57" i="32"/>
  <c r="E45" i="32"/>
  <c r="E53" i="32"/>
  <c r="E38" i="32"/>
  <c r="E41" i="32"/>
  <c r="E52" i="32"/>
  <c r="E51" i="32"/>
  <c r="E37" i="32"/>
  <c r="D15" i="25"/>
  <c r="E33" i="25"/>
  <c r="E49" i="25"/>
  <c r="E29" i="25"/>
  <c r="E45" i="25"/>
  <c r="E37" i="25"/>
  <c r="E41" i="25"/>
  <c r="D14" i="25"/>
  <c r="E36" i="25"/>
  <c r="E43" i="25"/>
  <c r="E30" i="25"/>
  <c r="E32" i="25"/>
  <c r="E48" i="25"/>
  <c r="D13" i="25"/>
  <c r="E39" i="25"/>
  <c r="E42" i="25"/>
  <c r="E44" i="25"/>
  <c r="E35" i="25"/>
  <c r="E38" i="25"/>
  <c r="E40" i="25"/>
  <c r="D12" i="25"/>
  <c r="E31" i="25"/>
  <c r="E47" i="25"/>
  <c r="E34" i="25"/>
  <c r="E50" i="25"/>
  <c r="G5" i="29" l="1"/>
  <c r="G38" i="29" s="1"/>
  <c r="F38" i="29"/>
  <c r="F6" i="32" s="1"/>
  <c r="H6" i="32"/>
  <c r="E36" i="32"/>
  <c r="J290" i="24"/>
  <c r="D290" i="24"/>
  <c r="J289" i="24"/>
  <c r="D289" i="24"/>
  <c r="J288" i="24"/>
  <c r="D288" i="24"/>
  <c r="J287" i="24"/>
  <c r="D287" i="24"/>
  <c r="J286" i="24"/>
  <c r="D286" i="24"/>
  <c r="J285" i="24"/>
  <c r="D285" i="24"/>
  <c r="J284" i="24"/>
  <c r="D284" i="24"/>
  <c r="J283" i="24"/>
  <c r="D283" i="24"/>
  <c r="J282" i="24"/>
  <c r="D282" i="24"/>
  <c r="J281" i="24"/>
  <c r="M281" i="24" s="1"/>
  <c r="L281" i="24" s="1"/>
  <c r="O281" i="24" s="1"/>
  <c r="P281" i="24" s="1"/>
  <c r="J280" i="24"/>
  <c r="M280" i="24" s="1"/>
  <c r="L280" i="24" s="1"/>
  <c r="O280" i="24" s="1"/>
  <c r="P280" i="24" s="1"/>
  <c r="M274" i="24"/>
  <c r="L274" i="24" s="1"/>
  <c r="O274" i="24" s="1"/>
  <c r="P274" i="24" s="1"/>
  <c r="M273" i="24"/>
  <c r="L273" i="24" s="1"/>
  <c r="O273" i="24" s="1"/>
  <c r="P273" i="24" s="1"/>
  <c r="M272" i="24"/>
  <c r="L272" i="24" s="1"/>
  <c r="O272" i="24" s="1"/>
  <c r="P272" i="24" s="1"/>
  <c r="M271" i="24"/>
  <c r="L271" i="24" s="1"/>
  <c r="O271" i="24" s="1"/>
  <c r="P271" i="24" s="1"/>
  <c r="J271" i="24"/>
  <c r="M270" i="24"/>
  <c r="L270" i="24" s="1"/>
  <c r="O270" i="24" s="1"/>
  <c r="P270" i="24" s="1"/>
  <c r="J270" i="24"/>
  <c r="M269" i="24"/>
  <c r="L269" i="24" s="1"/>
  <c r="O269" i="24" s="1"/>
  <c r="P269" i="24" s="1"/>
  <c r="J269" i="24"/>
  <c r="M268" i="24"/>
  <c r="L268" i="24" s="1"/>
  <c r="O268" i="24" s="1"/>
  <c r="P268" i="24" s="1"/>
  <c r="J268" i="24"/>
  <c r="M267" i="24"/>
  <c r="L267" i="24" s="1"/>
  <c r="O267" i="24" s="1"/>
  <c r="P267" i="24" s="1"/>
  <c r="J267" i="24"/>
  <c r="M266" i="24"/>
  <c r="L266" i="24" s="1"/>
  <c r="O266" i="24" s="1"/>
  <c r="P266" i="24" s="1"/>
  <c r="J266" i="24"/>
  <c r="M265" i="24"/>
  <c r="L265" i="24" s="1"/>
  <c r="O265" i="24" s="1"/>
  <c r="P265" i="24" s="1"/>
  <c r="J265" i="24"/>
  <c r="M264" i="24"/>
  <c r="L264" i="24" s="1"/>
  <c r="O264" i="24" s="1"/>
  <c r="P264" i="24" s="1"/>
  <c r="J264" i="24"/>
  <c r="M263" i="24"/>
  <c r="L263" i="24" s="1"/>
  <c r="O263" i="24" s="1"/>
  <c r="P263" i="24" s="1"/>
  <c r="J263" i="24"/>
  <c r="M262" i="24"/>
  <c r="L262" i="24" s="1"/>
  <c r="O262" i="24" s="1"/>
  <c r="P262" i="24" s="1"/>
  <c r="J262" i="24"/>
  <c r="M261" i="24"/>
  <c r="L261" i="24" s="1"/>
  <c r="O261" i="24" s="1"/>
  <c r="P261" i="24" s="1"/>
  <c r="J261" i="24"/>
  <c r="J255" i="24"/>
  <c r="M255" i="24" s="1"/>
  <c r="L255" i="24" s="1"/>
  <c r="O255" i="24" s="1"/>
  <c r="P255" i="24" s="1"/>
  <c r="J254" i="24"/>
  <c r="M254" i="24" s="1"/>
  <c r="L254" i="24" s="1"/>
  <c r="O254" i="24" s="1"/>
  <c r="P254" i="24" s="1"/>
  <c r="J253" i="24"/>
  <c r="M253" i="24" s="1"/>
  <c r="L253" i="24" s="1"/>
  <c r="O253" i="24" s="1"/>
  <c r="P253" i="24" s="1"/>
  <c r="J252" i="24"/>
  <c r="M252" i="24" s="1"/>
  <c r="L252" i="24" s="1"/>
  <c r="O252" i="24" s="1"/>
  <c r="P252" i="24" s="1"/>
  <c r="J251" i="24"/>
  <c r="M251" i="24" s="1"/>
  <c r="L251" i="24" s="1"/>
  <c r="O251" i="24" s="1"/>
  <c r="P251" i="24" s="1"/>
  <c r="J250" i="24"/>
  <c r="M250" i="24" s="1"/>
  <c r="L250" i="24" s="1"/>
  <c r="O250" i="24" s="1"/>
  <c r="P250" i="24" s="1"/>
  <c r="J249" i="24"/>
  <c r="M249" i="24" s="1"/>
  <c r="L249" i="24" s="1"/>
  <c r="O249" i="24" s="1"/>
  <c r="P249" i="24" s="1"/>
  <c r="J248" i="24"/>
  <c r="M248" i="24" s="1"/>
  <c r="L248" i="24" s="1"/>
  <c r="O248" i="24" s="1"/>
  <c r="P248" i="24" s="1"/>
  <c r="J247" i="24"/>
  <c r="M247" i="24" s="1"/>
  <c r="L247" i="24" s="1"/>
  <c r="O247" i="24" s="1"/>
  <c r="P247" i="24" s="1"/>
  <c r="J246" i="24"/>
  <c r="M246" i="24" s="1"/>
  <c r="L246" i="24" s="1"/>
  <c r="O246" i="24" s="1"/>
  <c r="P246" i="24" s="1"/>
  <c r="J245" i="24"/>
  <c r="M245" i="24" s="1"/>
  <c r="L245" i="24" s="1"/>
  <c r="O245" i="24" s="1"/>
  <c r="P245" i="24" s="1"/>
  <c r="J244" i="24"/>
  <c r="M244" i="24" s="1"/>
  <c r="L244" i="24" s="1"/>
  <c r="O244" i="24" s="1"/>
  <c r="P244" i="24" s="1"/>
  <c r="J243" i="24"/>
  <c r="M243" i="24" s="1"/>
  <c r="L243" i="24" s="1"/>
  <c r="O243" i="24" s="1"/>
  <c r="P243" i="24" s="1"/>
  <c r="J242" i="24"/>
  <c r="M242" i="24" s="1"/>
  <c r="L242" i="24" s="1"/>
  <c r="O242" i="24" s="1"/>
  <c r="P242" i="24" s="1"/>
  <c r="J241" i="24"/>
  <c r="M241" i="24" s="1"/>
  <c r="L241" i="24" s="1"/>
  <c r="O241" i="24" s="1"/>
  <c r="P241" i="24" s="1"/>
  <c r="J240" i="24"/>
  <c r="M240" i="24" s="1"/>
  <c r="L240" i="24" s="1"/>
  <c r="O240" i="24" s="1"/>
  <c r="P240" i="24" s="1"/>
  <c r="J239" i="24"/>
  <c r="M239" i="24" s="1"/>
  <c r="L239" i="24" s="1"/>
  <c r="O239" i="24" s="1"/>
  <c r="P239" i="24" s="1"/>
  <c r="J238" i="24"/>
  <c r="M238" i="24" s="1"/>
  <c r="L238" i="24" s="1"/>
  <c r="O238" i="24" s="1"/>
  <c r="P238" i="24" s="1"/>
  <c r="M232" i="24"/>
  <c r="L232" i="24" s="1"/>
  <c r="O232" i="24" s="1"/>
  <c r="P232" i="24" s="1"/>
  <c r="J232" i="24"/>
  <c r="M231" i="24"/>
  <c r="L231" i="24" s="1"/>
  <c r="O231" i="24" s="1"/>
  <c r="P231" i="24" s="1"/>
  <c r="J231" i="24"/>
  <c r="M230" i="24"/>
  <c r="L230" i="24" s="1"/>
  <c r="O230" i="24" s="1"/>
  <c r="P230" i="24" s="1"/>
  <c r="J230" i="24"/>
  <c r="M229" i="24"/>
  <c r="L229" i="24" s="1"/>
  <c r="O229" i="24" s="1"/>
  <c r="P229" i="24" s="1"/>
  <c r="J229" i="24"/>
  <c r="M228" i="24"/>
  <c r="L228" i="24" s="1"/>
  <c r="O228" i="24" s="1"/>
  <c r="P228" i="24" s="1"/>
  <c r="J228" i="24"/>
  <c r="M227" i="24"/>
  <c r="L227" i="24" s="1"/>
  <c r="O227" i="24" s="1"/>
  <c r="P227" i="24" s="1"/>
  <c r="J227" i="24"/>
  <c r="M226" i="24"/>
  <c r="L226" i="24" s="1"/>
  <c r="O226" i="24" s="1"/>
  <c r="P226" i="24" s="1"/>
  <c r="J226" i="24"/>
  <c r="M225" i="24"/>
  <c r="L225" i="24" s="1"/>
  <c r="O225" i="24" s="1"/>
  <c r="P225" i="24" s="1"/>
  <c r="J225" i="24"/>
  <c r="M224" i="24"/>
  <c r="L224" i="24" s="1"/>
  <c r="O224" i="24" s="1"/>
  <c r="P224" i="24" s="1"/>
  <c r="J224" i="24"/>
  <c r="M223" i="24"/>
  <c r="L223" i="24" s="1"/>
  <c r="O223" i="24" s="1"/>
  <c r="P223" i="24" s="1"/>
  <c r="J223" i="24"/>
  <c r="M222" i="24"/>
  <c r="L222" i="24" s="1"/>
  <c r="O222" i="24" s="1"/>
  <c r="P222" i="24" s="1"/>
  <c r="J222" i="24"/>
  <c r="M221" i="24"/>
  <c r="L221" i="24" s="1"/>
  <c r="O221" i="24" s="1"/>
  <c r="P221" i="24" s="1"/>
  <c r="J221" i="24"/>
  <c r="M220" i="24"/>
  <c r="L220" i="24" s="1"/>
  <c r="O220" i="24" s="1"/>
  <c r="P220" i="24" s="1"/>
  <c r="J220" i="24"/>
  <c r="M219" i="24"/>
  <c r="L219" i="24" s="1"/>
  <c r="O219" i="24" s="1"/>
  <c r="P219" i="24" s="1"/>
  <c r="J219" i="24"/>
  <c r="M218" i="24"/>
  <c r="L218" i="24" s="1"/>
  <c r="O218" i="24" s="1"/>
  <c r="P218" i="24" s="1"/>
  <c r="J218" i="24"/>
  <c r="M217" i="24"/>
  <c r="L217" i="24" s="1"/>
  <c r="O217" i="24" s="1"/>
  <c r="P217" i="24" s="1"/>
  <c r="J217" i="24"/>
  <c r="M216" i="24"/>
  <c r="L216" i="24" s="1"/>
  <c r="O216" i="24" s="1"/>
  <c r="P216" i="24" s="1"/>
  <c r="J216" i="24"/>
  <c r="M215" i="24"/>
  <c r="L215" i="24" s="1"/>
  <c r="O215" i="24" s="1"/>
  <c r="P215" i="24" s="1"/>
  <c r="J215" i="24"/>
  <c r="J209" i="24"/>
  <c r="M209" i="24" s="1"/>
  <c r="L209" i="24" s="1"/>
  <c r="O209" i="24" s="1"/>
  <c r="P209" i="24" s="1"/>
  <c r="J208" i="24"/>
  <c r="M208" i="24" s="1"/>
  <c r="L208" i="24" s="1"/>
  <c r="O208" i="24" s="1"/>
  <c r="P208" i="24" s="1"/>
  <c r="J207" i="24"/>
  <c r="M207" i="24" s="1"/>
  <c r="L207" i="24" s="1"/>
  <c r="O207" i="24" s="1"/>
  <c r="P207" i="24" s="1"/>
  <c r="J206" i="24"/>
  <c r="M206" i="24" s="1"/>
  <c r="L206" i="24" s="1"/>
  <c r="O206" i="24" s="1"/>
  <c r="P206" i="24" s="1"/>
  <c r="J205" i="24"/>
  <c r="M205" i="24" s="1"/>
  <c r="L205" i="24" s="1"/>
  <c r="O205" i="24" s="1"/>
  <c r="P205" i="24" s="1"/>
  <c r="J204" i="24"/>
  <c r="M204" i="24" s="1"/>
  <c r="L204" i="24" s="1"/>
  <c r="O204" i="24" s="1"/>
  <c r="P204" i="24" s="1"/>
  <c r="J203" i="24"/>
  <c r="M203" i="24" s="1"/>
  <c r="L203" i="24" s="1"/>
  <c r="O203" i="24" s="1"/>
  <c r="P203" i="24" s="1"/>
  <c r="J202" i="24"/>
  <c r="M202" i="24" s="1"/>
  <c r="L202" i="24" s="1"/>
  <c r="O202" i="24" s="1"/>
  <c r="P202" i="24" s="1"/>
  <c r="J201" i="24"/>
  <c r="M201" i="24" s="1"/>
  <c r="L201" i="24" s="1"/>
  <c r="O201" i="24" s="1"/>
  <c r="P201" i="24" s="1"/>
  <c r="J200" i="24"/>
  <c r="M200" i="24" s="1"/>
  <c r="L200" i="24" s="1"/>
  <c r="O200" i="24" s="1"/>
  <c r="P200" i="24" s="1"/>
  <c r="J199" i="24"/>
  <c r="M199" i="24" s="1"/>
  <c r="L199" i="24" s="1"/>
  <c r="O199" i="24" s="1"/>
  <c r="P199" i="24" s="1"/>
  <c r="J198" i="24"/>
  <c r="M198" i="24" s="1"/>
  <c r="L198" i="24" s="1"/>
  <c r="O198" i="24" s="1"/>
  <c r="P198" i="24" s="1"/>
  <c r="J197" i="24"/>
  <c r="M197" i="24" s="1"/>
  <c r="L197" i="24" s="1"/>
  <c r="O197" i="24" s="1"/>
  <c r="P197" i="24" s="1"/>
  <c r="J196" i="24"/>
  <c r="M196" i="24" s="1"/>
  <c r="L196" i="24" s="1"/>
  <c r="O196" i="24" s="1"/>
  <c r="P196" i="24" s="1"/>
  <c r="J195" i="24"/>
  <c r="M195" i="24" s="1"/>
  <c r="L195" i="24" s="1"/>
  <c r="O195" i="24" s="1"/>
  <c r="P195" i="24" s="1"/>
  <c r="J194" i="24"/>
  <c r="M194" i="24" s="1"/>
  <c r="L194" i="24" s="1"/>
  <c r="O194" i="24" s="1"/>
  <c r="P194" i="24" s="1"/>
  <c r="J193" i="24"/>
  <c r="M193" i="24" s="1"/>
  <c r="L193" i="24" s="1"/>
  <c r="O193" i="24" s="1"/>
  <c r="P193" i="24" s="1"/>
  <c r="M187" i="24"/>
  <c r="L187" i="24" s="1"/>
  <c r="O187" i="24" s="1"/>
  <c r="P187" i="24" s="1"/>
  <c r="M186" i="24"/>
  <c r="L186" i="24" s="1"/>
  <c r="O186" i="24" s="1"/>
  <c r="P186" i="24" s="1"/>
  <c r="M185" i="24"/>
  <c r="L185" i="24" s="1"/>
  <c r="O185" i="24" s="1"/>
  <c r="P185" i="24" s="1"/>
  <c r="M184" i="24"/>
  <c r="L184" i="24" s="1"/>
  <c r="O184" i="24" s="1"/>
  <c r="P184" i="24" s="1"/>
  <c r="M183" i="24"/>
  <c r="L183" i="24" s="1"/>
  <c r="O183" i="24" s="1"/>
  <c r="P183" i="24" s="1"/>
  <c r="M182" i="24"/>
  <c r="L182" i="24" s="1"/>
  <c r="O182" i="24" s="1"/>
  <c r="P182" i="24" s="1"/>
  <c r="M181" i="24"/>
  <c r="L181" i="24" s="1"/>
  <c r="O181" i="24" s="1"/>
  <c r="P181" i="24" s="1"/>
  <c r="M180" i="24"/>
  <c r="L180" i="24" s="1"/>
  <c r="O180" i="24" s="1"/>
  <c r="P180" i="24" s="1"/>
  <c r="M179" i="24"/>
  <c r="L179" i="24" s="1"/>
  <c r="O179" i="24" s="1"/>
  <c r="P179" i="24" s="1"/>
  <c r="M178" i="24"/>
  <c r="L178" i="24" s="1"/>
  <c r="O178" i="24" s="1"/>
  <c r="P178" i="24" s="1"/>
  <c r="M177" i="24"/>
  <c r="L177" i="24" s="1"/>
  <c r="O177" i="24" s="1"/>
  <c r="P177" i="24" s="1"/>
  <c r="M176" i="24"/>
  <c r="L176" i="24" s="1"/>
  <c r="O176" i="24" s="1"/>
  <c r="P176" i="24" s="1"/>
  <c r="M175" i="24"/>
  <c r="L175" i="24" s="1"/>
  <c r="O175" i="24" s="1"/>
  <c r="P175" i="24" s="1"/>
  <c r="M174" i="24"/>
  <c r="L174" i="24" s="1"/>
  <c r="O174" i="24" s="1"/>
  <c r="P174" i="24" s="1"/>
  <c r="M173" i="24"/>
  <c r="L173" i="24" s="1"/>
  <c r="O173" i="24" s="1"/>
  <c r="P173" i="24" s="1"/>
  <c r="M172" i="24"/>
  <c r="L172" i="24" s="1"/>
  <c r="O172" i="24" s="1"/>
  <c r="P172" i="24" s="1"/>
  <c r="M171" i="24"/>
  <c r="L171" i="24" s="1"/>
  <c r="O171" i="24" s="1"/>
  <c r="P171" i="24" s="1"/>
  <c r="M170" i="24"/>
  <c r="L170" i="24" s="1"/>
  <c r="O170" i="24" s="1"/>
  <c r="P170" i="24" s="1"/>
  <c r="H164" i="24"/>
  <c r="F164" i="24"/>
  <c r="J164" i="24" s="1"/>
  <c r="E164" i="24"/>
  <c r="H163" i="24"/>
  <c r="F163" i="24"/>
  <c r="J163" i="24" s="1"/>
  <c r="E163" i="24"/>
  <c r="H162" i="24"/>
  <c r="F162" i="24"/>
  <c r="J162" i="24" s="1"/>
  <c r="E162" i="24"/>
  <c r="H161" i="24"/>
  <c r="F161" i="24"/>
  <c r="J161" i="24" s="1"/>
  <c r="E161" i="24"/>
  <c r="H160" i="24"/>
  <c r="F160" i="24"/>
  <c r="J160" i="24" s="1"/>
  <c r="E160" i="24"/>
  <c r="H159" i="24"/>
  <c r="F159" i="24"/>
  <c r="J159" i="24" s="1"/>
  <c r="E159" i="24"/>
  <c r="H158" i="24"/>
  <c r="F158" i="24"/>
  <c r="J158" i="24" s="1"/>
  <c r="E158" i="24"/>
  <c r="H157" i="24"/>
  <c r="F157" i="24"/>
  <c r="J157" i="24" s="1"/>
  <c r="E157" i="24"/>
  <c r="H156" i="24"/>
  <c r="F156" i="24"/>
  <c r="J156" i="24" s="1"/>
  <c r="E156" i="24"/>
  <c r="H155" i="24"/>
  <c r="F155" i="24"/>
  <c r="J155" i="24" s="1"/>
  <c r="E155" i="24"/>
  <c r="H154" i="24"/>
  <c r="F154" i="24"/>
  <c r="J154" i="24" s="1"/>
  <c r="E154" i="24"/>
  <c r="H153" i="24"/>
  <c r="F153" i="24"/>
  <c r="J153" i="24" s="1"/>
  <c r="E153" i="24"/>
  <c r="H152" i="24"/>
  <c r="F152" i="24"/>
  <c r="J152" i="24" s="1"/>
  <c r="E152" i="24"/>
  <c r="H151" i="24"/>
  <c r="F151" i="24"/>
  <c r="J151" i="24" s="1"/>
  <c r="E151" i="24"/>
  <c r="H150" i="24"/>
  <c r="F150" i="24"/>
  <c r="E150" i="24"/>
  <c r="H149" i="24"/>
  <c r="F149" i="24"/>
  <c r="J149" i="24" s="1"/>
  <c r="E149" i="24"/>
  <c r="H148" i="24"/>
  <c r="F148" i="24"/>
  <c r="J148" i="24" s="1"/>
  <c r="E148" i="24"/>
  <c r="H147" i="24"/>
  <c r="F147" i="24"/>
  <c r="J147" i="24" s="1"/>
  <c r="E147" i="24"/>
  <c r="J141" i="24"/>
  <c r="M141" i="24" s="1"/>
  <c r="L141" i="24" s="1"/>
  <c r="O141" i="24" s="1"/>
  <c r="P141" i="24" s="1"/>
  <c r="J140" i="24"/>
  <c r="M140" i="24" s="1"/>
  <c r="L140" i="24" s="1"/>
  <c r="O140" i="24" s="1"/>
  <c r="P140" i="24" s="1"/>
  <c r="J139" i="24"/>
  <c r="M139" i="24" s="1"/>
  <c r="L139" i="24" s="1"/>
  <c r="O139" i="24" s="1"/>
  <c r="P139" i="24" s="1"/>
  <c r="J138" i="24"/>
  <c r="M138" i="24" s="1"/>
  <c r="L138" i="24" s="1"/>
  <c r="O138" i="24" s="1"/>
  <c r="P138" i="24" s="1"/>
  <c r="J137" i="24"/>
  <c r="M137" i="24" s="1"/>
  <c r="L137" i="24" s="1"/>
  <c r="O137" i="24" s="1"/>
  <c r="P137" i="24" s="1"/>
  <c r="J136" i="24"/>
  <c r="M136" i="24" s="1"/>
  <c r="L136" i="24" s="1"/>
  <c r="O136" i="24" s="1"/>
  <c r="P136" i="24" s="1"/>
  <c r="J135" i="24"/>
  <c r="M135" i="24" s="1"/>
  <c r="L135" i="24" s="1"/>
  <c r="O135" i="24" s="1"/>
  <c r="P135" i="24" s="1"/>
  <c r="J134" i="24"/>
  <c r="M134" i="24" s="1"/>
  <c r="L134" i="24" s="1"/>
  <c r="O134" i="24" s="1"/>
  <c r="P134" i="24" s="1"/>
  <c r="J133" i="24"/>
  <c r="M133" i="24" s="1"/>
  <c r="L133" i="24" s="1"/>
  <c r="O133" i="24" s="1"/>
  <c r="P133" i="24" s="1"/>
  <c r="J132" i="24"/>
  <c r="M132" i="24" s="1"/>
  <c r="L132" i="24" s="1"/>
  <c r="O132" i="24" s="1"/>
  <c r="P132" i="24" s="1"/>
  <c r="J131" i="24"/>
  <c r="M131" i="24" s="1"/>
  <c r="L131" i="24" s="1"/>
  <c r="O131" i="24" s="1"/>
  <c r="P131" i="24" s="1"/>
  <c r="J130" i="24"/>
  <c r="M130" i="24" s="1"/>
  <c r="L130" i="24" s="1"/>
  <c r="O130" i="24" s="1"/>
  <c r="P130" i="24" s="1"/>
  <c r="J129" i="24"/>
  <c r="M129" i="24" s="1"/>
  <c r="L129" i="24" s="1"/>
  <c r="O129" i="24" s="1"/>
  <c r="P129" i="24" s="1"/>
  <c r="J128" i="24"/>
  <c r="M128" i="24" s="1"/>
  <c r="L128" i="24" s="1"/>
  <c r="O128" i="24" s="1"/>
  <c r="P128" i="24" s="1"/>
  <c r="M127" i="24"/>
  <c r="L127" i="24" s="1"/>
  <c r="O127" i="24" s="1"/>
  <c r="P127" i="24" s="1"/>
  <c r="J126" i="24"/>
  <c r="M126" i="24" s="1"/>
  <c r="L126" i="24" s="1"/>
  <c r="O126" i="24" s="1"/>
  <c r="P126" i="24" s="1"/>
  <c r="J125" i="24"/>
  <c r="M125" i="24" s="1"/>
  <c r="L125" i="24" s="1"/>
  <c r="O125" i="24" s="1"/>
  <c r="P125" i="24" s="1"/>
  <c r="J124" i="24"/>
  <c r="M124" i="24" s="1"/>
  <c r="L124" i="24" s="1"/>
  <c r="O124" i="24" s="1"/>
  <c r="P124" i="24" s="1"/>
  <c r="M118" i="24"/>
  <c r="L118" i="24" s="1"/>
  <c r="O118" i="24" s="1"/>
  <c r="P118" i="24" s="1"/>
  <c r="M117" i="24"/>
  <c r="L117" i="24" s="1"/>
  <c r="O117" i="24" s="1"/>
  <c r="P117" i="24" s="1"/>
  <c r="M116" i="24"/>
  <c r="L116" i="24" s="1"/>
  <c r="O116" i="24" s="1"/>
  <c r="P116" i="24" s="1"/>
  <c r="J115" i="24"/>
  <c r="M115" i="24" s="1"/>
  <c r="L115" i="24" s="1"/>
  <c r="O115" i="24" s="1"/>
  <c r="P115" i="24" s="1"/>
  <c r="J114" i="24"/>
  <c r="M114" i="24" s="1"/>
  <c r="L114" i="24" s="1"/>
  <c r="O114" i="24" s="1"/>
  <c r="P114" i="24" s="1"/>
  <c r="J113" i="24"/>
  <c r="M113" i="24" s="1"/>
  <c r="L113" i="24" s="1"/>
  <c r="O113" i="24" s="1"/>
  <c r="P113" i="24" s="1"/>
  <c r="M112" i="24"/>
  <c r="L112" i="24" s="1"/>
  <c r="O112" i="24" s="1"/>
  <c r="P112" i="24" s="1"/>
  <c r="M111" i="24"/>
  <c r="L111" i="24" s="1"/>
  <c r="O111" i="24" s="1"/>
  <c r="P111" i="24" s="1"/>
  <c r="M110" i="24"/>
  <c r="L110" i="24" s="1"/>
  <c r="O110" i="24" s="1"/>
  <c r="P110" i="24" s="1"/>
  <c r="J109" i="24"/>
  <c r="M109" i="24" s="1"/>
  <c r="L109" i="24" s="1"/>
  <c r="O109" i="24" s="1"/>
  <c r="P109" i="24" s="1"/>
  <c r="J108" i="24"/>
  <c r="M108" i="24" s="1"/>
  <c r="L108" i="24" s="1"/>
  <c r="O108" i="24" s="1"/>
  <c r="P108" i="24" s="1"/>
  <c r="J107" i="24"/>
  <c r="M107" i="24" s="1"/>
  <c r="L107" i="24" s="1"/>
  <c r="O107" i="24" s="1"/>
  <c r="P107" i="24" s="1"/>
  <c r="J106" i="24"/>
  <c r="M106" i="24" s="1"/>
  <c r="L106" i="24" s="1"/>
  <c r="O106" i="24" s="1"/>
  <c r="P106" i="24" s="1"/>
  <c r="J105" i="24"/>
  <c r="M105" i="24" s="1"/>
  <c r="L105" i="24" s="1"/>
  <c r="O105" i="24" s="1"/>
  <c r="P105" i="24" s="1"/>
  <c r="J104" i="24"/>
  <c r="M104" i="24" s="1"/>
  <c r="L104" i="24" s="1"/>
  <c r="O104" i="24" s="1"/>
  <c r="P104" i="24" s="1"/>
  <c r="M103" i="24"/>
  <c r="L103" i="24" s="1"/>
  <c r="O103" i="24" s="1"/>
  <c r="P103" i="24" s="1"/>
  <c r="M102" i="24"/>
  <c r="L102" i="24" s="1"/>
  <c r="O102" i="24" s="1"/>
  <c r="P102" i="24" s="1"/>
  <c r="M101" i="24"/>
  <c r="L101" i="24" s="1"/>
  <c r="O101" i="24" s="1"/>
  <c r="P101" i="24" s="1"/>
  <c r="J100" i="24"/>
  <c r="M100" i="24" s="1"/>
  <c r="L100" i="24" s="1"/>
  <c r="O100" i="24" s="1"/>
  <c r="P100" i="24" s="1"/>
  <c r="J99" i="24"/>
  <c r="M99" i="24" s="1"/>
  <c r="L99" i="24" s="1"/>
  <c r="O99" i="24" s="1"/>
  <c r="P99" i="24" s="1"/>
  <c r="J98" i="24"/>
  <c r="M98" i="24" s="1"/>
  <c r="L98" i="24" s="1"/>
  <c r="O98" i="24" s="1"/>
  <c r="P98" i="24" s="1"/>
  <c r="M97" i="24"/>
  <c r="L97" i="24" s="1"/>
  <c r="O97" i="24" s="1"/>
  <c r="P97" i="24" s="1"/>
  <c r="M96" i="24"/>
  <c r="L96" i="24" s="1"/>
  <c r="O96" i="24" s="1"/>
  <c r="P96" i="24" s="1"/>
  <c r="M95" i="24"/>
  <c r="L95" i="24" s="1"/>
  <c r="O95" i="24" s="1"/>
  <c r="P95" i="24" s="1"/>
  <c r="H89" i="24"/>
  <c r="F89" i="24"/>
  <c r="J89" i="24" s="1"/>
  <c r="E89" i="24"/>
  <c r="H88" i="24"/>
  <c r="F88" i="24"/>
  <c r="J88" i="24" s="1"/>
  <c r="E88" i="24"/>
  <c r="H87" i="24"/>
  <c r="F87" i="24"/>
  <c r="J87" i="24" s="1"/>
  <c r="E87" i="24"/>
  <c r="H86" i="24"/>
  <c r="F86" i="24"/>
  <c r="J86" i="24" s="1"/>
  <c r="E86" i="24"/>
  <c r="H85" i="24"/>
  <c r="F85" i="24"/>
  <c r="J85" i="24" s="1"/>
  <c r="E85" i="24"/>
  <c r="H84" i="24"/>
  <c r="F84" i="24"/>
  <c r="J84" i="24" s="1"/>
  <c r="E84" i="24"/>
  <c r="H83" i="24"/>
  <c r="F83" i="24"/>
  <c r="J83" i="24" s="1"/>
  <c r="E83" i="24"/>
  <c r="H82" i="24"/>
  <c r="F82" i="24"/>
  <c r="J82" i="24" s="1"/>
  <c r="E82" i="24"/>
  <c r="H81" i="24"/>
  <c r="F81" i="24"/>
  <c r="J81" i="24" s="1"/>
  <c r="E81" i="24"/>
  <c r="H80" i="24"/>
  <c r="F80" i="24"/>
  <c r="J80" i="24" s="1"/>
  <c r="E80" i="24"/>
  <c r="H79" i="24"/>
  <c r="F79" i="24"/>
  <c r="J79" i="24" s="1"/>
  <c r="E79" i="24"/>
  <c r="H78" i="24"/>
  <c r="F78" i="24"/>
  <c r="J78" i="24" s="1"/>
  <c r="E78" i="24"/>
  <c r="H77" i="24"/>
  <c r="F77" i="24"/>
  <c r="J77" i="24" s="1"/>
  <c r="E77" i="24"/>
  <c r="H76" i="24"/>
  <c r="F76" i="24"/>
  <c r="J76" i="24" s="1"/>
  <c r="E76" i="24"/>
  <c r="H75" i="24"/>
  <c r="F75" i="24"/>
  <c r="E75" i="24"/>
  <c r="H74" i="24"/>
  <c r="F74" i="24"/>
  <c r="J74" i="24" s="1"/>
  <c r="E74" i="24"/>
  <c r="H73" i="24"/>
  <c r="F73" i="24"/>
  <c r="J73" i="24" s="1"/>
  <c r="E73" i="24"/>
  <c r="H72" i="24"/>
  <c r="F72" i="24"/>
  <c r="J72" i="24" s="1"/>
  <c r="E72" i="24"/>
  <c r="C68" i="24"/>
  <c r="C69" i="24" s="1"/>
  <c r="J66" i="24"/>
  <c r="M66" i="24" s="1"/>
  <c r="L66" i="24" s="1"/>
  <c r="O66" i="24" s="1"/>
  <c r="P66" i="24" s="1"/>
  <c r="J65" i="24"/>
  <c r="M65" i="24" s="1"/>
  <c r="L65" i="24" s="1"/>
  <c r="O65" i="24" s="1"/>
  <c r="P65" i="24" s="1"/>
  <c r="J64" i="24"/>
  <c r="M64" i="24" s="1"/>
  <c r="L64" i="24" s="1"/>
  <c r="O64" i="24" s="1"/>
  <c r="P64" i="24" s="1"/>
  <c r="J63" i="24"/>
  <c r="M63" i="24" s="1"/>
  <c r="L63" i="24" s="1"/>
  <c r="O63" i="24" s="1"/>
  <c r="P63" i="24" s="1"/>
  <c r="J62" i="24"/>
  <c r="M62" i="24" s="1"/>
  <c r="L62" i="24" s="1"/>
  <c r="O62" i="24" s="1"/>
  <c r="P62" i="24" s="1"/>
  <c r="J61" i="24"/>
  <c r="M61" i="24" s="1"/>
  <c r="L61" i="24" s="1"/>
  <c r="O61" i="24" s="1"/>
  <c r="P61" i="24" s="1"/>
  <c r="J60" i="24"/>
  <c r="M60" i="24" s="1"/>
  <c r="L60" i="24" s="1"/>
  <c r="O60" i="24" s="1"/>
  <c r="P60" i="24" s="1"/>
  <c r="J59" i="24"/>
  <c r="M59" i="24" s="1"/>
  <c r="L59" i="24" s="1"/>
  <c r="O59" i="24" s="1"/>
  <c r="P59" i="24" s="1"/>
  <c r="J58" i="24"/>
  <c r="M58" i="24" s="1"/>
  <c r="L58" i="24" s="1"/>
  <c r="O58" i="24" s="1"/>
  <c r="P58" i="24" s="1"/>
  <c r="J57" i="24"/>
  <c r="M57" i="24" s="1"/>
  <c r="L57" i="24" s="1"/>
  <c r="O57" i="24" s="1"/>
  <c r="P57" i="24" s="1"/>
  <c r="J56" i="24"/>
  <c r="M56" i="24" s="1"/>
  <c r="L56" i="24" s="1"/>
  <c r="O56" i="24" s="1"/>
  <c r="P56" i="24" s="1"/>
  <c r="J55" i="24"/>
  <c r="M55" i="24" s="1"/>
  <c r="L55" i="24" s="1"/>
  <c r="O55" i="24" s="1"/>
  <c r="P55" i="24" s="1"/>
  <c r="J54" i="24"/>
  <c r="M54" i="24" s="1"/>
  <c r="L54" i="24" s="1"/>
  <c r="O54" i="24" s="1"/>
  <c r="P54" i="24" s="1"/>
  <c r="J53" i="24"/>
  <c r="M53" i="24" s="1"/>
  <c r="L53" i="24" s="1"/>
  <c r="O53" i="24" s="1"/>
  <c r="P53" i="24" s="1"/>
  <c r="M52" i="24"/>
  <c r="L52" i="24" s="1"/>
  <c r="O52" i="24" s="1"/>
  <c r="P52" i="24" s="1"/>
  <c r="J51" i="24"/>
  <c r="M51" i="24" s="1"/>
  <c r="L51" i="24" s="1"/>
  <c r="O51" i="24" s="1"/>
  <c r="P51" i="24" s="1"/>
  <c r="J50" i="24"/>
  <c r="M50" i="24" s="1"/>
  <c r="L50" i="24" s="1"/>
  <c r="O50" i="24" s="1"/>
  <c r="P50" i="24" s="1"/>
  <c r="J49" i="24"/>
  <c r="M49" i="24" s="1"/>
  <c r="L49" i="24" s="1"/>
  <c r="O49" i="24" s="1"/>
  <c r="P49" i="24" s="1"/>
  <c r="J43" i="24"/>
  <c r="M43" i="24" s="1"/>
  <c r="L43" i="24" s="1"/>
  <c r="O43" i="24" s="1"/>
  <c r="P43" i="24" s="1"/>
  <c r="J42" i="24"/>
  <c r="M42" i="24" s="1"/>
  <c r="L42" i="24" s="1"/>
  <c r="O42" i="24" s="1"/>
  <c r="P42" i="24" s="1"/>
  <c r="J41" i="24"/>
  <c r="M41" i="24" s="1"/>
  <c r="L41" i="24" s="1"/>
  <c r="O41" i="24" s="1"/>
  <c r="P41" i="24" s="1"/>
  <c r="J40" i="24"/>
  <c r="M40" i="24" s="1"/>
  <c r="L40" i="24" s="1"/>
  <c r="O40" i="24" s="1"/>
  <c r="P40" i="24" s="1"/>
  <c r="J39" i="24"/>
  <c r="M39" i="24" s="1"/>
  <c r="L39" i="24" s="1"/>
  <c r="O39" i="24" s="1"/>
  <c r="P39" i="24" s="1"/>
  <c r="J38" i="24"/>
  <c r="M38" i="24" s="1"/>
  <c r="L38" i="24" s="1"/>
  <c r="O38" i="24" s="1"/>
  <c r="P38" i="24" s="1"/>
  <c r="J37" i="24"/>
  <c r="M37" i="24" s="1"/>
  <c r="L37" i="24" s="1"/>
  <c r="O37" i="24" s="1"/>
  <c r="P37" i="24" s="1"/>
  <c r="J36" i="24"/>
  <c r="M36" i="24" s="1"/>
  <c r="L36" i="24" s="1"/>
  <c r="O36" i="24" s="1"/>
  <c r="P36" i="24" s="1"/>
  <c r="J35" i="24"/>
  <c r="M35" i="24" s="1"/>
  <c r="L35" i="24" s="1"/>
  <c r="O35" i="24" s="1"/>
  <c r="P35" i="24" s="1"/>
  <c r="J34" i="24"/>
  <c r="M34" i="24" s="1"/>
  <c r="L34" i="24" s="1"/>
  <c r="O34" i="24" s="1"/>
  <c r="P34" i="24" s="1"/>
  <c r="J33" i="24"/>
  <c r="M33" i="24" s="1"/>
  <c r="L33" i="24" s="1"/>
  <c r="O33" i="24" s="1"/>
  <c r="P33" i="24" s="1"/>
  <c r="J32" i="24"/>
  <c r="M32" i="24" s="1"/>
  <c r="L32" i="24" s="1"/>
  <c r="O32" i="24" s="1"/>
  <c r="P32" i="24" s="1"/>
  <c r="J31" i="24"/>
  <c r="M31" i="24" s="1"/>
  <c r="L31" i="24" s="1"/>
  <c r="O31" i="24" s="1"/>
  <c r="P31" i="24" s="1"/>
  <c r="J30" i="24"/>
  <c r="M30" i="24" s="1"/>
  <c r="L30" i="24" s="1"/>
  <c r="O30" i="24" s="1"/>
  <c r="P30" i="24" s="1"/>
  <c r="J29" i="24"/>
  <c r="M29" i="24" s="1"/>
  <c r="L29" i="24" s="1"/>
  <c r="O29" i="24" s="1"/>
  <c r="P29" i="24" s="1"/>
  <c r="J28" i="24"/>
  <c r="M28" i="24" s="1"/>
  <c r="L28" i="24" s="1"/>
  <c r="O28" i="24" s="1"/>
  <c r="P28" i="24" s="1"/>
  <c r="J27" i="24"/>
  <c r="M27" i="24" s="1"/>
  <c r="L27" i="24" s="1"/>
  <c r="O27" i="24" s="1"/>
  <c r="P27" i="24" s="1"/>
  <c r="M21" i="24"/>
  <c r="L21" i="24" s="1"/>
  <c r="O21" i="24" s="1"/>
  <c r="P21" i="24" s="1"/>
  <c r="M20" i="24"/>
  <c r="L20" i="24" s="1"/>
  <c r="O20" i="24" s="1"/>
  <c r="P20" i="24" s="1"/>
  <c r="M19" i="24"/>
  <c r="L19" i="24" s="1"/>
  <c r="O19" i="24" s="1"/>
  <c r="P19" i="24" s="1"/>
  <c r="M18" i="24"/>
  <c r="L18" i="24" s="1"/>
  <c r="O18" i="24" s="1"/>
  <c r="P18" i="24" s="1"/>
  <c r="M17" i="24"/>
  <c r="L17" i="24" s="1"/>
  <c r="O17" i="24" s="1"/>
  <c r="P17" i="24" s="1"/>
  <c r="M16" i="24"/>
  <c r="L16" i="24" s="1"/>
  <c r="O16" i="24" s="1"/>
  <c r="P16" i="24" s="1"/>
  <c r="M15" i="24"/>
  <c r="L15" i="24" s="1"/>
  <c r="O15" i="24" s="1"/>
  <c r="P15" i="24" s="1"/>
  <c r="M14" i="24"/>
  <c r="L14" i="24" s="1"/>
  <c r="O14" i="24" s="1"/>
  <c r="P14" i="24" s="1"/>
  <c r="M13" i="24"/>
  <c r="L13" i="24" s="1"/>
  <c r="O13" i="24" s="1"/>
  <c r="P13" i="24" s="1"/>
  <c r="M12" i="24"/>
  <c r="L12" i="24" s="1"/>
  <c r="O12" i="24" s="1"/>
  <c r="P12" i="24" s="1"/>
  <c r="M11" i="24"/>
  <c r="L11" i="24" s="1"/>
  <c r="O11" i="24" s="1"/>
  <c r="P11" i="24" s="1"/>
  <c r="M10" i="24"/>
  <c r="L10" i="24" s="1"/>
  <c r="O10" i="24" s="1"/>
  <c r="P10" i="24" s="1"/>
  <c r="M9" i="24"/>
  <c r="L9" i="24" s="1"/>
  <c r="O9" i="24" s="1"/>
  <c r="P9" i="24" s="1"/>
  <c r="M8" i="24"/>
  <c r="L8" i="24" s="1"/>
  <c r="O8" i="24" s="1"/>
  <c r="P8" i="24" s="1"/>
  <c r="M7" i="24"/>
  <c r="L7" i="24" s="1"/>
  <c r="O7" i="24" s="1"/>
  <c r="P7" i="24" s="1"/>
  <c r="M6" i="24"/>
  <c r="L6" i="24" s="1"/>
  <c r="O6" i="24" s="1"/>
  <c r="P6" i="24" s="1"/>
  <c r="M5" i="24"/>
  <c r="L5" i="24" s="1"/>
  <c r="O5" i="24" s="1"/>
  <c r="P5" i="24" s="1"/>
  <c r="M284" i="24" l="1"/>
  <c r="L284" i="24" s="1"/>
  <c r="O284" i="24" s="1"/>
  <c r="P284" i="24" s="1"/>
  <c r="M286" i="24"/>
  <c r="L286" i="24" s="1"/>
  <c r="O286" i="24" s="1"/>
  <c r="P286" i="24" s="1"/>
  <c r="M73" i="24"/>
  <c r="L73" i="24" s="1"/>
  <c r="O73" i="24" s="1"/>
  <c r="P73" i="24" s="1"/>
  <c r="M77" i="24"/>
  <c r="L77" i="24" s="1"/>
  <c r="O77" i="24" s="1"/>
  <c r="P77" i="24" s="1"/>
  <c r="M81" i="24"/>
  <c r="L81" i="24" s="1"/>
  <c r="O81" i="24" s="1"/>
  <c r="P81" i="24" s="1"/>
  <c r="M85" i="24"/>
  <c r="L85" i="24" s="1"/>
  <c r="O85" i="24" s="1"/>
  <c r="P85" i="24" s="1"/>
  <c r="M89" i="24"/>
  <c r="L89" i="24" s="1"/>
  <c r="O89" i="24" s="1"/>
  <c r="P89" i="24" s="1"/>
  <c r="M150" i="24"/>
  <c r="L150" i="24" s="1"/>
  <c r="O150" i="24" s="1"/>
  <c r="P150" i="24" s="1"/>
  <c r="M288" i="24"/>
  <c r="L288" i="24" s="1"/>
  <c r="O288" i="24" s="1"/>
  <c r="P288" i="24" s="1"/>
  <c r="M72" i="24"/>
  <c r="L72" i="24" s="1"/>
  <c r="O72" i="24" s="1"/>
  <c r="P72" i="24" s="1"/>
  <c r="M76" i="24"/>
  <c r="L76" i="24" s="1"/>
  <c r="O76" i="24" s="1"/>
  <c r="P76" i="24" s="1"/>
  <c r="M80" i="24"/>
  <c r="L80" i="24" s="1"/>
  <c r="O80" i="24" s="1"/>
  <c r="P80" i="24" s="1"/>
  <c r="M84" i="24"/>
  <c r="L84" i="24" s="1"/>
  <c r="O84" i="24" s="1"/>
  <c r="P84" i="24" s="1"/>
  <c r="M88" i="24"/>
  <c r="L88" i="24" s="1"/>
  <c r="O88" i="24" s="1"/>
  <c r="P88" i="24" s="1"/>
  <c r="M287" i="24"/>
  <c r="L287" i="24" s="1"/>
  <c r="O287" i="24" s="1"/>
  <c r="P287" i="24" s="1"/>
  <c r="M75" i="24"/>
  <c r="L75" i="24" s="1"/>
  <c r="O75" i="24" s="1"/>
  <c r="P75" i="24" s="1"/>
  <c r="M79" i="24"/>
  <c r="L79" i="24" s="1"/>
  <c r="O79" i="24" s="1"/>
  <c r="P79" i="24" s="1"/>
  <c r="M83" i="24"/>
  <c r="L83" i="24" s="1"/>
  <c r="O83" i="24" s="1"/>
  <c r="P83" i="24" s="1"/>
  <c r="M87" i="24"/>
  <c r="L87" i="24" s="1"/>
  <c r="O87" i="24" s="1"/>
  <c r="P87" i="24" s="1"/>
  <c r="M148" i="24"/>
  <c r="L148" i="24" s="1"/>
  <c r="O148" i="24" s="1"/>
  <c r="P148" i="24" s="1"/>
  <c r="M74" i="24"/>
  <c r="L74" i="24" s="1"/>
  <c r="O74" i="24" s="1"/>
  <c r="P74" i="24" s="1"/>
  <c r="M78" i="24"/>
  <c r="L78" i="24" s="1"/>
  <c r="O78" i="24" s="1"/>
  <c r="P78" i="24" s="1"/>
  <c r="M82" i="24"/>
  <c r="L82" i="24" s="1"/>
  <c r="O82" i="24" s="1"/>
  <c r="P82" i="24" s="1"/>
  <c r="M86" i="24"/>
  <c r="L86" i="24" s="1"/>
  <c r="O86" i="24" s="1"/>
  <c r="P86" i="24" s="1"/>
  <c r="M282" i="24"/>
  <c r="L282" i="24" s="1"/>
  <c r="O282" i="24" s="1"/>
  <c r="P282" i="24" s="1"/>
  <c r="M290" i="24"/>
  <c r="L290" i="24" s="1"/>
  <c r="O290" i="24" s="1"/>
  <c r="P290" i="24" s="1"/>
  <c r="M149" i="24"/>
  <c r="L149" i="24" s="1"/>
  <c r="O149" i="24" s="1"/>
  <c r="P149" i="24" s="1"/>
  <c r="M153" i="24"/>
  <c r="L153" i="24" s="1"/>
  <c r="O153" i="24" s="1"/>
  <c r="P153" i="24" s="1"/>
  <c r="M154" i="24"/>
  <c r="L154" i="24" s="1"/>
  <c r="O154" i="24" s="1"/>
  <c r="P154" i="24" s="1"/>
  <c r="M157" i="24"/>
  <c r="L157" i="24" s="1"/>
  <c r="O157" i="24" s="1"/>
  <c r="P157" i="24" s="1"/>
  <c r="M158" i="24"/>
  <c r="L158" i="24" s="1"/>
  <c r="O158" i="24" s="1"/>
  <c r="P158" i="24" s="1"/>
  <c r="M161" i="24"/>
  <c r="L161" i="24" s="1"/>
  <c r="O161" i="24" s="1"/>
  <c r="P161" i="24" s="1"/>
  <c r="M162" i="24"/>
  <c r="L162" i="24" s="1"/>
  <c r="O162" i="24" s="1"/>
  <c r="P162" i="24" s="1"/>
  <c r="M147" i="24"/>
  <c r="L147" i="24" s="1"/>
  <c r="O147" i="24" s="1"/>
  <c r="P147" i="24" s="1"/>
  <c r="M283" i="24"/>
  <c r="L283" i="24" s="1"/>
  <c r="O283" i="24" s="1"/>
  <c r="P283" i="24" s="1"/>
  <c r="M289" i="24"/>
  <c r="L289" i="24" s="1"/>
  <c r="O289" i="24" s="1"/>
  <c r="P289" i="24" s="1"/>
  <c r="M285" i="24"/>
  <c r="L285" i="24" s="1"/>
  <c r="O285" i="24" s="1"/>
  <c r="P285" i="24" s="1"/>
  <c r="M151" i="24"/>
  <c r="L151" i="24" s="1"/>
  <c r="O151" i="24" s="1"/>
  <c r="P151" i="24" s="1"/>
  <c r="M155" i="24"/>
  <c r="L155" i="24" s="1"/>
  <c r="O155" i="24" s="1"/>
  <c r="P155" i="24" s="1"/>
  <c r="M159" i="24"/>
  <c r="L159" i="24" s="1"/>
  <c r="O159" i="24" s="1"/>
  <c r="P159" i="24" s="1"/>
  <c r="M163" i="24"/>
  <c r="L163" i="24" s="1"/>
  <c r="O163" i="24" s="1"/>
  <c r="P163" i="24" s="1"/>
  <c r="M152" i="24"/>
  <c r="L152" i="24" s="1"/>
  <c r="O152" i="24" s="1"/>
  <c r="P152" i="24" s="1"/>
  <c r="M156" i="24"/>
  <c r="L156" i="24" s="1"/>
  <c r="O156" i="24" s="1"/>
  <c r="P156" i="24" s="1"/>
  <c r="M160" i="24"/>
  <c r="L160" i="24" s="1"/>
  <c r="O160" i="24" s="1"/>
  <c r="P160" i="24" s="1"/>
  <c r="M164" i="24"/>
  <c r="L164" i="24" s="1"/>
  <c r="O164" i="24" s="1"/>
  <c r="P164" i="24" s="1"/>
  <c r="R232" i="7" l="1"/>
  <c r="R233" i="7"/>
  <c r="L264" i="7" l="1"/>
  <c r="L263" i="7"/>
  <c r="L262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82" i="7"/>
  <c r="L281" i="7"/>
  <c r="L280" i="7"/>
  <c r="L279" i="7"/>
  <c r="L278" i="7"/>
  <c r="L277" i="7"/>
  <c r="L276" i="7"/>
  <c r="L275" i="7"/>
  <c r="L274" i="7"/>
  <c r="L273" i="7"/>
  <c r="L272" i="7"/>
  <c r="L271" i="7"/>
  <c r="L270" i="7"/>
  <c r="L269" i="7"/>
  <c r="L268" i="7"/>
  <c r="L267" i="7"/>
  <c r="L266" i="7"/>
  <c r="L265" i="7"/>
  <c r="L261" i="7"/>
  <c r="L260" i="7"/>
  <c r="L259" i="7"/>
  <c r="L258" i="7"/>
  <c r="L219" i="7"/>
  <c r="L218" i="7"/>
  <c r="L217" i="7"/>
  <c r="L216" i="7"/>
  <c r="L215" i="7"/>
  <c r="L214" i="7"/>
  <c r="L213" i="7"/>
  <c r="L212" i="7"/>
  <c r="L211" i="7"/>
  <c r="L210" i="7"/>
  <c r="L209" i="7"/>
  <c r="L208" i="7"/>
  <c r="L207" i="7"/>
  <c r="L206" i="7"/>
  <c r="L205" i="7"/>
  <c r="L204" i="7"/>
  <c r="L203" i="7"/>
  <c r="L202" i="7"/>
  <c r="L201" i="7"/>
  <c r="L200" i="7"/>
  <c r="L199" i="7"/>
  <c r="L198" i="7"/>
  <c r="L197" i="7"/>
  <c r="L196" i="7"/>
  <c r="L195" i="7"/>
  <c r="L194" i="7"/>
  <c r="L193" i="7"/>
  <c r="L192" i="7"/>
  <c r="L191" i="7"/>
  <c r="L190" i="7"/>
  <c r="L189" i="7"/>
  <c r="L188" i="7"/>
  <c r="L187" i="7"/>
  <c r="L186" i="7"/>
  <c r="L185" i="7"/>
  <c r="L184" i="7"/>
  <c r="L183" i="7"/>
  <c r="L182" i="7"/>
  <c r="L181" i="7"/>
  <c r="L180" i="7"/>
  <c r="L179" i="7"/>
  <c r="L178" i="7"/>
  <c r="L177" i="7"/>
  <c r="L176" i="7"/>
  <c r="L175" i="7"/>
  <c r="L174" i="7"/>
  <c r="L173" i="7"/>
  <c r="L172" i="7"/>
  <c r="L171" i="7"/>
  <c r="L170" i="7"/>
  <c r="L169" i="7"/>
  <c r="L168" i="7"/>
  <c r="L167" i="7"/>
  <c r="L166" i="7"/>
  <c r="L165" i="7"/>
  <c r="L164" i="7"/>
  <c r="L163" i="7"/>
  <c r="L162" i="7"/>
  <c r="L161" i="7"/>
  <c r="L160" i="7"/>
  <c r="L159" i="7"/>
  <c r="L158" i="7"/>
  <c r="L157" i="7"/>
  <c r="L156" i="7"/>
  <c r="L155" i="7"/>
  <c r="L154" i="7"/>
  <c r="L153" i="7"/>
  <c r="L152" i="7"/>
  <c r="L151" i="7"/>
  <c r="L150" i="7"/>
  <c r="L149" i="7"/>
  <c r="L148" i="7"/>
  <c r="L147" i="7"/>
  <c r="L146" i="7"/>
  <c r="L310" i="7"/>
  <c r="L309" i="7"/>
  <c r="L308" i="7"/>
  <c r="L307" i="7"/>
  <c r="L306" i="7"/>
  <c r="L305" i="7"/>
  <c r="L233" i="7"/>
  <c r="L232" i="7"/>
  <c r="L112" i="7"/>
  <c r="L111" i="7"/>
  <c r="L110" i="7"/>
  <c r="L109" i="7"/>
  <c r="L108" i="7"/>
  <c r="L107" i="7"/>
  <c r="L106" i="7"/>
  <c r="L296" i="7"/>
  <c r="L295" i="7"/>
  <c r="L236" i="7"/>
  <c r="L235" i="7"/>
  <c r="L234" i="7"/>
  <c r="L231" i="7"/>
  <c r="L230" i="7"/>
  <c r="L229" i="7"/>
  <c r="L228" i="7"/>
  <c r="L227" i="7"/>
  <c r="L226" i="7"/>
  <c r="L225" i="7"/>
  <c r="L224" i="7"/>
  <c r="L223" i="7"/>
  <c r="L145" i="7"/>
  <c r="L144" i="7"/>
  <c r="L143" i="7"/>
  <c r="L142" i="7"/>
  <c r="L141" i="7"/>
  <c r="L140" i="7"/>
  <c r="L139" i="7"/>
  <c r="L138" i="7"/>
  <c r="L137" i="7"/>
  <c r="L136" i="7"/>
  <c r="L135" i="7"/>
  <c r="L134" i="7"/>
  <c r="L133" i="7"/>
  <c r="L132" i="7"/>
  <c r="L131" i="7"/>
  <c r="L130" i="7"/>
  <c r="L129" i="7"/>
  <c r="L128" i="7"/>
  <c r="L127" i="7"/>
  <c r="L126" i="7"/>
  <c r="L125" i="7"/>
  <c r="L124" i="7"/>
  <c r="L123" i="7"/>
  <c r="L122" i="7"/>
  <c r="L121" i="7"/>
  <c r="L120" i="7"/>
  <c r="L119" i="7"/>
  <c r="L118" i="7"/>
  <c r="L116" i="7"/>
  <c r="L115" i="7"/>
  <c r="L114" i="7"/>
  <c r="L113" i="7"/>
  <c r="L34" i="7"/>
  <c r="L33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L7" i="7"/>
  <c r="L35" i="7"/>
  <c r="L105" i="7"/>
  <c r="L104" i="7"/>
  <c r="L103" i="7"/>
  <c r="L102" i="7"/>
  <c r="L101" i="7"/>
  <c r="L100" i="7"/>
  <c r="L99" i="7"/>
  <c r="L98" i="7"/>
  <c r="L97" i="7"/>
  <c r="L96" i="7"/>
  <c r="L95" i="7"/>
  <c r="L94" i="7"/>
  <c r="L93" i="7"/>
  <c r="L92" i="7"/>
  <c r="L91" i="7"/>
  <c r="L90" i="7"/>
  <c r="L89" i="7"/>
  <c r="L88" i="7"/>
  <c r="L87" i="7"/>
  <c r="L86" i="7"/>
  <c r="L85" i="7"/>
  <c r="L84" i="7"/>
  <c r="L83" i="7"/>
  <c r="L82" i="7"/>
  <c r="L81" i="7"/>
  <c r="L80" i="7"/>
  <c r="L79" i="7"/>
  <c r="L78" i="7"/>
  <c r="L77" i="7"/>
  <c r="L76" i="7"/>
  <c r="L75" i="7"/>
  <c r="L74" i="7"/>
  <c r="L73" i="7"/>
  <c r="L72" i="7"/>
  <c r="L71" i="7"/>
  <c r="L70" i="7"/>
  <c r="L69" i="7"/>
  <c r="L68" i="7"/>
  <c r="L67" i="7"/>
  <c r="L66" i="7"/>
  <c r="L65" i="7"/>
  <c r="L64" i="7"/>
  <c r="L63" i="7"/>
  <c r="L62" i="7"/>
  <c r="L61" i="7"/>
  <c r="L60" i="7"/>
  <c r="L59" i="7"/>
  <c r="L58" i="7"/>
  <c r="L57" i="7"/>
  <c r="L5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L40" i="7"/>
  <c r="L39" i="7"/>
  <c r="L38" i="7"/>
  <c r="C53" i="23" l="1" a="1"/>
  <c r="C53" i="23" s="1"/>
  <c r="C66" i="23" s="1" a="1"/>
  <c r="C66" i="23" s="1"/>
  <c r="C40" i="23" a="1"/>
  <c r="C40" i="23" s="1"/>
  <c r="C45" i="23" s="1" a="1"/>
  <c r="C45" i="23" s="1"/>
  <c r="C32" i="23" a="1"/>
  <c r="C32" i="23" s="1"/>
  <c r="C34" i="23" s="1" a="1"/>
  <c r="C34" i="23" s="1"/>
  <c r="C18" i="23" a="1"/>
  <c r="C18" i="23" s="1"/>
  <c r="C28" i="23" s="1" a="1"/>
  <c r="C28" i="23" s="1"/>
  <c r="C3" i="23" a="1"/>
  <c r="C3" i="23" s="1"/>
  <c r="C10" i="23" s="1" a="1"/>
  <c r="C10" i="23" s="1"/>
  <c r="F55" i="23" l="1" a="1"/>
  <c r="F55" i="23" s="1"/>
  <c r="H55" i="23" a="1"/>
  <c r="H55" i="23" s="1"/>
  <c r="H59" i="23" a="1"/>
  <c r="H59" i="23" s="1"/>
  <c r="D66" i="23" a="1"/>
  <c r="D66" i="23" s="1"/>
  <c r="D59" i="23" a="1"/>
  <c r="D59" i="23" s="1"/>
  <c r="F66" i="23" a="1"/>
  <c r="F66" i="23" s="1"/>
  <c r="D55" i="23" a="1"/>
  <c r="D55" i="23" s="1"/>
  <c r="F59" i="23" a="1"/>
  <c r="F59" i="23" s="1"/>
  <c r="H66" i="23" a="1"/>
  <c r="H66" i="23" s="1"/>
  <c r="C51" i="23" a="1"/>
  <c r="C51" i="23" s="1"/>
  <c r="E45" i="23" a="1"/>
  <c r="E45" i="23" s="1"/>
  <c r="G51" i="23" a="1"/>
  <c r="G51" i="23" s="1"/>
  <c r="D42" i="23" a="1"/>
  <c r="D42" i="23" s="1"/>
  <c r="F42" i="23" a="1"/>
  <c r="F42" i="23" s="1"/>
  <c r="I42" i="23" a="1"/>
  <c r="I42" i="23" s="1"/>
  <c r="F45" i="23" a="1"/>
  <c r="F45" i="23" s="1"/>
  <c r="I45" i="23" a="1"/>
  <c r="I45" i="23" s="1"/>
  <c r="E51" i="23" a="1"/>
  <c r="E51" i="23" s="1"/>
  <c r="H51" i="23" a="1"/>
  <c r="H51" i="23" s="1"/>
  <c r="C55" i="23" a="1"/>
  <c r="C55" i="23" s="1"/>
  <c r="C42" i="23" a="1"/>
  <c r="C42" i="23" s="1"/>
  <c r="G42" i="23" a="1"/>
  <c r="G42" i="23" s="1"/>
  <c r="G45" i="23" a="1"/>
  <c r="G45" i="23" s="1"/>
  <c r="C59" i="23" a="1"/>
  <c r="C59" i="23" s="1"/>
  <c r="E55" i="23" a="1"/>
  <c r="E55" i="23" s="1"/>
  <c r="G55" i="23" a="1"/>
  <c r="G55" i="23" s="1"/>
  <c r="I55" i="23" a="1"/>
  <c r="I55" i="23" s="1"/>
  <c r="E59" i="23" a="1"/>
  <c r="E59" i="23" s="1"/>
  <c r="G59" i="23" a="1"/>
  <c r="G59" i="23" s="1"/>
  <c r="I59" i="23" a="1"/>
  <c r="I59" i="23" s="1"/>
  <c r="E66" i="23" a="1"/>
  <c r="E66" i="23" s="1"/>
  <c r="G66" i="23" a="1"/>
  <c r="G66" i="23" s="1"/>
  <c r="I66" i="23" a="1"/>
  <c r="I66" i="23" s="1"/>
  <c r="E42" i="23" a="1"/>
  <c r="E42" i="23" s="1"/>
  <c r="H42" i="23" a="1"/>
  <c r="H42" i="23" s="1"/>
  <c r="D45" i="23" a="1"/>
  <c r="D45" i="23" s="1"/>
  <c r="H45" i="23" a="1"/>
  <c r="H45" i="23" s="1"/>
  <c r="D51" i="23" a="1"/>
  <c r="D51" i="23" s="1"/>
  <c r="F51" i="23" a="1"/>
  <c r="F51" i="23" s="1"/>
  <c r="I51" i="23" a="1"/>
  <c r="I51" i="23" s="1"/>
  <c r="C36" i="23" a="1"/>
  <c r="C36" i="23" s="1"/>
  <c r="F34" i="23" a="1"/>
  <c r="F34" i="23" s="1"/>
  <c r="D36" i="23" a="1"/>
  <c r="D36" i="23" s="1"/>
  <c r="H36" i="23" a="1"/>
  <c r="H36" i="23" s="1"/>
  <c r="F38" i="23" a="1"/>
  <c r="F38" i="23" s="1"/>
  <c r="C38" i="23" a="1"/>
  <c r="C38" i="23" s="1"/>
  <c r="G34" i="23" a="1"/>
  <c r="G34" i="23" s="1"/>
  <c r="E36" i="23" a="1"/>
  <c r="E36" i="23" s="1"/>
  <c r="I36" i="23" a="1"/>
  <c r="I36" i="23" s="1"/>
  <c r="G38" i="23" a="1"/>
  <c r="G38" i="23" s="1"/>
  <c r="D34" i="23" a="1"/>
  <c r="D34" i="23" s="1"/>
  <c r="H34" i="23" a="1"/>
  <c r="H34" i="23" s="1"/>
  <c r="F36" i="23" a="1"/>
  <c r="F36" i="23" s="1"/>
  <c r="D38" i="23" a="1"/>
  <c r="D38" i="23" s="1"/>
  <c r="H38" i="23" a="1"/>
  <c r="H38" i="23" s="1"/>
  <c r="E34" i="23" a="1"/>
  <c r="E34" i="23" s="1"/>
  <c r="I34" i="23" a="1"/>
  <c r="I34" i="23" s="1"/>
  <c r="G36" i="23" a="1"/>
  <c r="G36" i="23" s="1"/>
  <c r="E38" i="23" a="1"/>
  <c r="E38" i="23" s="1"/>
  <c r="I38" i="23" a="1"/>
  <c r="I38" i="23" s="1"/>
  <c r="H24" i="23" a="1"/>
  <c r="H24" i="23" s="1"/>
  <c r="F28" i="23" a="1"/>
  <c r="F28" i="23" s="1"/>
  <c r="F20" i="23" a="1"/>
  <c r="F20" i="23" s="1"/>
  <c r="D24" i="23" a="1"/>
  <c r="D24" i="23" s="1"/>
  <c r="C20" i="23" a="1"/>
  <c r="C20" i="23" s="1"/>
  <c r="G20" i="23" a="1"/>
  <c r="G20" i="23" s="1"/>
  <c r="E24" i="23" a="1"/>
  <c r="E24" i="23" s="1"/>
  <c r="I24" i="23" a="1"/>
  <c r="I24" i="23" s="1"/>
  <c r="G28" i="23" a="1"/>
  <c r="G28" i="23" s="1"/>
  <c r="D20" i="23" a="1"/>
  <c r="D20" i="23" s="1"/>
  <c r="H20" i="23" a="1"/>
  <c r="H20" i="23" s="1"/>
  <c r="F24" i="23" a="1"/>
  <c r="F24" i="23" s="1"/>
  <c r="D28" i="23" a="1"/>
  <c r="D28" i="23" s="1"/>
  <c r="H28" i="23" a="1"/>
  <c r="H28" i="23" s="1"/>
  <c r="E20" i="23" a="1"/>
  <c r="E20" i="23" s="1"/>
  <c r="I20" i="23" a="1"/>
  <c r="I20" i="23" s="1"/>
  <c r="G24" i="23" a="1"/>
  <c r="G24" i="23" s="1"/>
  <c r="E28" i="23" a="1"/>
  <c r="E28" i="23" s="1"/>
  <c r="I28" i="23" a="1"/>
  <c r="I28" i="23" s="1"/>
  <c r="C15" i="23" a="1"/>
  <c r="C15" i="23" s="1"/>
  <c r="G15" i="23" a="1"/>
  <c r="G15" i="23" s="1"/>
  <c r="G5" i="23" a="1"/>
  <c r="G5" i="23" s="1"/>
  <c r="I10" i="23" a="1"/>
  <c r="I10" i="23" s="1"/>
  <c r="E10" i="23" a="1"/>
  <c r="E10" i="23" s="1"/>
  <c r="C5" i="23" a="1"/>
  <c r="C5" i="23" s="1"/>
  <c r="E5" i="23" a="1"/>
  <c r="E5" i="23" s="1"/>
  <c r="I5" i="23" a="1"/>
  <c r="I5" i="23" s="1"/>
  <c r="G10" i="23" a="1"/>
  <c r="G10" i="23" s="1"/>
  <c r="E15" i="23" a="1"/>
  <c r="E15" i="23" s="1"/>
  <c r="I15" i="23" a="1"/>
  <c r="I15" i="23" s="1"/>
  <c r="C24" i="23" a="1"/>
  <c r="C24" i="23" s="1"/>
  <c r="D5" i="23" a="1"/>
  <c r="D5" i="23" s="1"/>
  <c r="H5" i="23" a="1"/>
  <c r="H5" i="23" s="1"/>
  <c r="F10" i="23" a="1"/>
  <c r="F10" i="23" s="1"/>
  <c r="D15" i="23" a="1"/>
  <c r="D15" i="23" s="1"/>
  <c r="H15" i="23" a="1"/>
  <c r="H15" i="23" s="1"/>
  <c r="F5" i="23" a="1"/>
  <c r="F5" i="23" s="1"/>
  <c r="D10" i="23" a="1"/>
  <c r="D10" i="23" s="1"/>
  <c r="H10" i="23" a="1"/>
  <c r="H10" i="23" s="1"/>
  <c r="F15" i="23" a="1"/>
  <c r="F15" i="23" s="1"/>
  <c r="C3" i="22" a="1"/>
  <c r="H20" i="22" s="1" a="1"/>
  <c r="H20" i="22" s="1"/>
  <c r="C3" i="22" l="1"/>
  <c r="I56" i="22" a="1"/>
  <c r="I56" i="22" s="1"/>
  <c r="E56" i="22" a="1"/>
  <c r="E56" i="22" s="1"/>
  <c r="H45" i="22" a="1"/>
  <c r="H45" i="22" s="1"/>
  <c r="D45" i="22" a="1"/>
  <c r="D45" i="22" s="1"/>
  <c r="H37" i="22" a="1"/>
  <c r="H37" i="22" s="1"/>
  <c r="F37" i="22" a="1"/>
  <c r="F37" i="22" s="1"/>
  <c r="D37" i="22" a="1"/>
  <c r="D37" i="22" s="1"/>
  <c r="F31" i="22" a="1"/>
  <c r="F31" i="22" s="1"/>
  <c r="H50" i="22" a="1"/>
  <c r="H50" i="22" s="1"/>
  <c r="D50" i="22" a="1"/>
  <c r="D50" i="22" s="1"/>
  <c r="G39" i="22" a="1"/>
  <c r="G39" i="22" s="1"/>
  <c r="I35" i="22" a="1"/>
  <c r="I35" i="22" s="1"/>
  <c r="E35" i="22" a="1"/>
  <c r="E35" i="22" s="1"/>
  <c r="G28" i="22" a="1"/>
  <c r="G28" i="22" s="1"/>
  <c r="D20" i="22" a="1"/>
  <c r="D20" i="22" s="1"/>
  <c r="H56" i="22" a="1"/>
  <c r="H56" i="22" s="1"/>
  <c r="D56" i="22" a="1"/>
  <c r="D56" i="22" s="1"/>
  <c r="G45" i="22" a="1"/>
  <c r="G45" i="22" s="1"/>
  <c r="I31" i="22" a="1"/>
  <c r="I31" i="22" s="1"/>
  <c r="E31" i="22" a="1"/>
  <c r="E31" i="22" s="1"/>
  <c r="G50" i="22" a="1"/>
  <c r="G50" i="22" s="1"/>
  <c r="F39" i="22" a="1"/>
  <c r="F39" i="22" s="1"/>
  <c r="H35" i="22" a="1"/>
  <c r="H35" i="22" s="1"/>
  <c r="D35" i="22" a="1"/>
  <c r="D35" i="22" s="1"/>
  <c r="F28" i="22" a="1"/>
  <c r="F28" i="22" s="1"/>
  <c r="G20" i="22" a="1"/>
  <c r="G20" i="22" s="1"/>
  <c r="G56" i="22" a="1"/>
  <c r="G56" i="22" s="1"/>
  <c r="F45" i="22" a="1"/>
  <c r="F45" i="22" s="1"/>
  <c r="I37" i="22" a="1"/>
  <c r="I37" i="22" s="1"/>
  <c r="G37" i="22" a="1"/>
  <c r="G37" i="22" s="1"/>
  <c r="E37" i="22" a="1"/>
  <c r="E37" i="22" s="1"/>
  <c r="H31" i="22" a="1"/>
  <c r="H31" i="22" s="1"/>
  <c r="D31" i="22" a="1"/>
  <c r="D31" i="22" s="1"/>
  <c r="F50" i="22" a="1"/>
  <c r="F50" i="22" s="1"/>
  <c r="I39" i="22" a="1"/>
  <c r="I39" i="22" s="1"/>
  <c r="E39" i="22" a="1"/>
  <c r="E39" i="22" s="1"/>
  <c r="G35" i="22" a="1"/>
  <c r="G35" i="22" s="1"/>
  <c r="I28" i="22" a="1"/>
  <c r="I28" i="22" s="1"/>
  <c r="E28" i="22" a="1"/>
  <c r="E28" i="22" s="1"/>
  <c r="F20" i="22" a="1"/>
  <c r="F20" i="22" s="1"/>
  <c r="F56" i="22" a="1"/>
  <c r="F56" i="22" s="1"/>
  <c r="I45" i="22" a="1"/>
  <c r="I45" i="22" s="1"/>
  <c r="E45" i="22" a="1"/>
  <c r="E45" i="22" s="1"/>
  <c r="G31" i="22" a="1"/>
  <c r="G31" i="22" s="1"/>
  <c r="I50" i="22" a="1"/>
  <c r="I50" i="22" s="1"/>
  <c r="E50" i="22" a="1"/>
  <c r="E50" i="22" s="1"/>
  <c r="H39" i="22" a="1"/>
  <c r="H39" i="22" s="1"/>
  <c r="D39" i="22" a="1"/>
  <c r="D39" i="22" s="1"/>
  <c r="F35" i="22" a="1"/>
  <c r="F35" i="22" s="1"/>
  <c r="H28" i="22" a="1"/>
  <c r="H28" i="22" s="1"/>
  <c r="D28" i="22" a="1"/>
  <c r="D28" i="22" s="1"/>
  <c r="E20" i="22" a="1"/>
  <c r="E20" i="22" s="1"/>
  <c r="C23" i="22" a="1"/>
  <c r="C23" i="22" s="1"/>
  <c r="C10" i="22" a="1"/>
  <c r="C10" i="22" s="1"/>
  <c r="D16" i="22" a="1"/>
  <c r="D16" i="22" s="1"/>
  <c r="F23" i="22" a="1"/>
  <c r="F23" i="22" s="1"/>
  <c r="C5" i="22" a="1"/>
  <c r="C5" i="22" s="1"/>
  <c r="G5" i="22" a="1"/>
  <c r="G5" i="22" s="1"/>
  <c r="D10" i="22" a="1"/>
  <c r="D10" i="22" s="1"/>
  <c r="H10" i="22" a="1"/>
  <c r="H10" i="22" s="1"/>
  <c r="E16" i="22" a="1"/>
  <c r="E16" i="22" s="1"/>
  <c r="I16" i="22" a="1"/>
  <c r="I16" i="22" s="1"/>
  <c r="G23" i="22" a="1"/>
  <c r="G23" i="22" s="1"/>
  <c r="F5" i="22" a="1"/>
  <c r="F5" i="22" s="1"/>
  <c r="D5" i="22" a="1"/>
  <c r="D5" i="22" s="1"/>
  <c r="H5" i="22" a="1"/>
  <c r="H5" i="22" s="1"/>
  <c r="E10" i="22" a="1"/>
  <c r="E10" i="22" s="1"/>
  <c r="I10" i="22" a="1"/>
  <c r="I10" i="22" s="1"/>
  <c r="F16" i="22" a="1"/>
  <c r="F16" i="22" s="1"/>
  <c r="D23" i="22" a="1"/>
  <c r="D23" i="22" s="1"/>
  <c r="H23" i="22" a="1"/>
  <c r="H23" i="22" s="1"/>
  <c r="G10" i="22" a="1"/>
  <c r="G10" i="22" s="1"/>
  <c r="H16" i="22" a="1"/>
  <c r="H16" i="22" s="1"/>
  <c r="I20" i="22" a="1"/>
  <c r="I20" i="22" s="1"/>
  <c r="E5" i="22" a="1"/>
  <c r="E5" i="22" s="1"/>
  <c r="I5" i="22" a="1"/>
  <c r="I5" i="22" s="1"/>
  <c r="F10" i="22" a="1"/>
  <c r="F10" i="22" s="1"/>
  <c r="G16" i="22" a="1"/>
  <c r="G16" i="22" s="1"/>
  <c r="E23" i="22" a="1"/>
  <c r="E23" i="22" s="1"/>
  <c r="I23" i="22" a="1"/>
  <c r="I23" i="22" s="1"/>
  <c r="C16" i="22" l="1" a="1"/>
  <c r="C16" i="22" s="1"/>
  <c r="C37" i="22" a="1"/>
  <c r="C37" i="22" s="1"/>
  <c r="C35" i="22" a="1"/>
  <c r="C35" i="22" s="1"/>
  <c r="C50" i="22" a="1"/>
  <c r="C50" i="22" s="1"/>
  <c r="C20" i="22" a="1"/>
  <c r="C20" i="22" s="1"/>
  <c r="C45" i="22" a="1"/>
  <c r="C45" i="22" s="1"/>
  <c r="C31" i="22" a="1"/>
  <c r="C31" i="22" s="1"/>
  <c r="C56" i="22" a="1"/>
  <c r="C56" i="22" s="1"/>
  <c r="C39" i="22" a="1"/>
  <c r="C39" i="22" s="1"/>
  <c r="C28" i="22" a="1"/>
  <c r="C28" i="22" s="1"/>
  <c r="F35" i="16" l="1"/>
  <c r="F36" i="16"/>
  <c r="A35" i="16"/>
  <c r="A36" i="16"/>
  <c r="F34" i="16"/>
  <c r="F37" i="16"/>
  <c r="F38" i="16"/>
  <c r="A33" i="16"/>
  <c r="A34" i="16"/>
  <c r="A37" i="16"/>
  <c r="F33" i="16"/>
  <c r="A28" i="16"/>
  <c r="A29" i="16"/>
  <c r="A30" i="16"/>
  <c r="A31" i="16"/>
  <c r="F29" i="16"/>
  <c r="F30" i="16"/>
  <c r="F31" i="16"/>
  <c r="A38" i="16"/>
  <c r="A32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C95" i="15" l="1"/>
  <c r="F23" i="16"/>
  <c r="F24" i="16"/>
  <c r="F25" i="16"/>
  <c r="F26" i="16"/>
  <c r="F27" i="16"/>
  <c r="F32" i="16"/>
  <c r="G57" i="17"/>
  <c r="I57" i="17" s="1"/>
  <c r="G56" i="17"/>
  <c r="I56" i="17" s="1"/>
  <c r="G55" i="17"/>
  <c r="I55" i="17" s="1"/>
  <c r="G54" i="17"/>
  <c r="I54" i="17" s="1"/>
  <c r="G53" i="17"/>
  <c r="I53" i="17" s="1"/>
  <c r="G51" i="17"/>
  <c r="I51" i="17" s="1"/>
  <c r="G50" i="17"/>
  <c r="I50" i="17" s="1"/>
  <c r="F28" i="16" s="1"/>
  <c r="G49" i="17"/>
  <c r="I49" i="17" s="1"/>
  <c r="F21" i="16" s="1"/>
  <c r="G48" i="17"/>
  <c r="I48" i="17" s="1"/>
  <c r="G47" i="17"/>
  <c r="I47" i="17" s="1"/>
  <c r="G46" i="17"/>
  <c r="I46" i="17" s="1"/>
  <c r="G45" i="17"/>
  <c r="I45" i="17" s="1"/>
  <c r="G44" i="17"/>
  <c r="I44" i="17" s="1"/>
  <c r="H43" i="17"/>
  <c r="G43" i="17"/>
  <c r="G42" i="17"/>
  <c r="I42" i="17" s="1"/>
  <c r="G41" i="17"/>
  <c r="I41" i="17" s="1"/>
  <c r="G40" i="17"/>
  <c r="I40" i="17" s="1"/>
  <c r="G39" i="17"/>
  <c r="I39" i="17" s="1"/>
  <c r="F20" i="16" s="1"/>
  <c r="G38" i="17"/>
  <c r="I38" i="17" s="1"/>
  <c r="F22" i="16" s="1"/>
  <c r="H37" i="17"/>
  <c r="G37" i="17"/>
  <c r="H36" i="17"/>
  <c r="G36" i="17"/>
  <c r="H35" i="17"/>
  <c r="G35" i="17"/>
  <c r="G34" i="17"/>
  <c r="I34" i="17" s="1"/>
  <c r="F18" i="16" s="1"/>
  <c r="G33" i="17"/>
  <c r="I33" i="17" s="1"/>
  <c r="F19" i="16" s="1"/>
  <c r="G32" i="17"/>
  <c r="I32" i="17" s="1"/>
  <c r="G31" i="17"/>
  <c r="I31" i="17" s="1"/>
  <c r="G30" i="17"/>
  <c r="I30" i="17" s="1"/>
  <c r="G29" i="17"/>
  <c r="I29" i="17" s="1"/>
  <c r="G28" i="17"/>
  <c r="I28" i="17" s="1"/>
  <c r="G27" i="17"/>
  <c r="I27" i="17" s="1"/>
  <c r="H26" i="17"/>
  <c r="G26" i="17"/>
  <c r="G25" i="17"/>
  <c r="I25" i="17" s="1"/>
  <c r="G24" i="17"/>
  <c r="I24" i="17" s="1"/>
  <c r="G23" i="17"/>
  <c r="I23" i="17" s="1"/>
  <c r="G22" i="17"/>
  <c r="I22" i="17" s="1"/>
  <c r="G21" i="17"/>
  <c r="I21" i="17" s="1"/>
  <c r="G20" i="17"/>
  <c r="I20" i="17" s="1"/>
  <c r="F13" i="16" s="1"/>
  <c r="G19" i="17"/>
  <c r="I19" i="17" s="1"/>
  <c r="F12" i="16" s="1"/>
  <c r="G18" i="17"/>
  <c r="I18" i="17" s="1"/>
  <c r="G17" i="17"/>
  <c r="I17" i="17" s="1"/>
  <c r="G16" i="17"/>
  <c r="I16" i="17" s="1"/>
  <c r="F11" i="16" s="1"/>
  <c r="G15" i="17"/>
  <c r="I15" i="17" s="1"/>
  <c r="F10" i="16" s="1"/>
  <c r="E10" i="16" s="1"/>
  <c r="G14" i="17"/>
  <c r="I14" i="17" s="1"/>
  <c r="F9" i="16" s="1"/>
  <c r="G13" i="17"/>
  <c r="I13" i="17" s="1"/>
  <c r="F8" i="16" s="1"/>
  <c r="G12" i="17"/>
  <c r="I12" i="17" s="1"/>
  <c r="F7" i="16" s="1"/>
  <c r="G11" i="17"/>
  <c r="I11" i="17" s="1"/>
  <c r="F6" i="16" s="1"/>
  <c r="G10" i="17"/>
  <c r="I10" i="17" s="1"/>
  <c r="F5" i="16" s="1"/>
  <c r="G9" i="17"/>
  <c r="I9" i="17" s="1"/>
  <c r="I35" i="17" l="1"/>
  <c r="F16" i="16" s="1"/>
  <c r="I37" i="17"/>
  <c r="F15" i="16" s="1"/>
  <c r="I43" i="17"/>
  <c r="F14" i="16" s="1"/>
  <c r="I36" i="17"/>
  <c r="F17" i="16" s="1"/>
  <c r="I26" i="17"/>
  <c r="C65" i="15"/>
  <c r="C80" i="15"/>
  <c r="C84" i="15"/>
  <c r="C88" i="15"/>
  <c r="C92" i="15"/>
  <c r="C50" i="15"/>
  <c r="C45" i="15"/>
  <c r="C19" i="15"/>
  <c r="C96" i="15" l="1"/>
  <c r="K4" i="7"/>
  <c r="AE3" i="7" l="1"/>
  <c r="AE4" i="7" s="1"/>
  <c r="C13" i="10"/>
  <c r="C3" i="10" l="1"/>
  <c r="CF1" i="7"/>
  <c r="CE1" i="7"/>
  <c r="CD1" i="7"/>
  <c r="CC1" i="7"/>
  <c r="CB1" i="7"/>
  <c r="CA1" i="7"/>
  <c r="BZ1" i="7"/>
  <c r="BY1" i="7"/>
  <c r="BX1" i="7"/>
  <c r="BW1" i="7"/>
  <c r="BV1" i="7"/>
  <c r="BU1" i="7"/>
  <c r="BT1" i="7"/>
  <c r="BS1" i="7"/>
  <c r="BR1" i="7"/>
  <c r="BQ1" i="7"/>
  <c r="BP1" i="7"/>
  <c r="BO1" i="7"/>
  <c r="BN1" i="7"/>
  <c r="BM1" i="7"/>
  <c r="BL1" i="7"/>
  <c r="BK1" i="7"/>
  <c r="BJ1" i="7"/>
  <c r="BI1" i="7"/>
  <c r="BH1" i="7"/>
  <c r="BG1" i="7"/>
  <c r="BF1" i="7"/>
  <c r="BE1" i="7"/>
  <c r="BD1" i="7"/>
  <c r="BC1" i="7"/>
  <c r="BB1" i="7"/>
  <c r="BA1" i="7"/>
  <c r="AZ1" i="7"/>
  <c r="AY1" i="7"/>
  <c r="AX1" i="7"/>
  <c r="AW1" i="7"/>
  <c r="AV1" i="7"/>
  <c r="AU1" i="7"/>
  <c r="AT1" i="7"/>
  <c r="AS1" i="7"/>
  <c r="AR1" i="7"/>
  <c r="AQ1" i="7"/>
  <c r="AP1" i="7"/>
  <c r="AO1" i="7"/>
  <c r="AN1" i="7"/>
  <c r="AM1" i="7"/>
  <c r="AL1" i="7"/>
  <c r="AK1" i="7"/>
  <c r="AJ1" i="7"/>
  <c r="AI1" i="7"/>
  <c r="AH1" i="7"/>
  <c r="AG1" i="7"/>
  <c r="AF1" i="7"/>
  <c r="AE1" i="7"/>
  <c r="B1" i="7"/>
  <c r="C1" i="7"/>
  <c r="D1" i="7"/>
  <c r="E1" i="7"/>
  <c r="F1" i="7"/>
  <c r="G1" i="7"/>
  <c r="H1" i="7"/>
  <c r="I1" i="7"/>
  <c r="A1" i="7"/>
  <c r="AF3" i="7" l="1"/>
  <c r="AF4" i="7" s="1"/>
  <c r="L37" i="7"/>
  <c r="L36" i="7"/>
  <c r="AG3" i="7" l="1"/>
  <c r="AF31" i="1"/>
  <c r="AD31" i="1"/>
  <c r="AB31" i="1"/>
  <c r="Z31" i="1"/>
  <c r="X31" i="1"/>
  <c r="V31" i="1"/>
  <c r="T31" i="1"/>
  <c r="R31" i="1"/>
  <c r="P31" i="1"/>
  <c r="N31" i="1"/>
  <c r="L31" i="1"/>
  <c r="J31" i="1"/>
  <c r="H31" i="1"/>
  <c r="F31" i="1"/>
  <c r="AJ12" i="1"/>
  <c r="AH12" i="1"/>
  <c r="AF12" i="1"/>
  <c r="AD12" i="1"/>
  <c r="AB12" i="1"/>
  <c r="Z12" i="1"/>
  <c r="X12" i="1"/>
  <c r="V12" i="1"/>
  <c r="T12" i="1"/>
  <c r="R12" i="1"/>
  <c r="P12" i="1"/>
  <c r="N12" i="1"/>
  <c r="L12" i="1"/>
  <c r="J12" i="1"/>
  <c r="H12" i="1"/>
  <c r="F11" i="1"/>
  <c r="F10" i="1"/>
  <c r="F9" i="1"/>
  <c r="F8" i="1"/>
  <c r="F7" i="1"/>
  <c r="F6" i="1"/>
  <c r="F5" i="1"/>
  <c r="U22" i="1"/>
  <c r="I22" i="1"/>
  <c r="M22" i="1" s="1"/>
  <c r="AC3" i="1"/>
  <c r="AG3" i="1" s="1"/>
  <c r="U3" i="1"/>
  <c r="W3" i="1" s="1"/>
  <c r="K3" i="1"/>
  <c r="O3" i="1" s="1"/>
  <c r="AG4" i="7" l="1"/>
  <c r="AH3" i="7"/>
  <c r="AH4" i="7" l="1"/>
  <c r="AI3" i="7"/>
  <c r="AI4" i="7" l="1"/>
  <c r="AJ3" i="7"/>
  <c r="AJ4" i="7" l="1"/>
  <c r="AK3" i="7"/>
  <c r="AK4" i="7" l="1"/>
  <c r="AL3" i="7"/>
  <c r="AL4" i="7" l="1"/>
  <c r="AM3" i="7"/>
  <c r="AM4" i="7" l="1"/>
  <c r="AN3" i="7"/>
  <c r="AN4" i="7" l="1"/>
  <c r="AO3" i="7"/>
  <c r="AO4" i="7" l="1"/>
  <c r="AP3" i="7"/>
  <c r="AP4" i="7" l="1"/>
  <c r="AQ3" i="7"/>
  <c r="AQ4" i="7" l="1"/>
  <c r="AR3" i="7"/>
  <c r="AR4" i="7" l="1"/>
  <c r="AS3" i="7"/>
  <c r="AS4" i="7" l="1"/>
  <c r="AT3" i="7"/>
  <c r="AT4" i="7" l="1"/>
  <c r="AU3" i="7"/>
  <c r="AU4" i="7" l="1"/>
  <c r="AV3" i="7"/>
  <c r="AV4" i="7" l="1"/>
  <c r="AW3" i="7"/>
  <c r="AW4" i="7" l="1"/>
  <c r="AX3" i="7"/>
  <c r="AX4" i="7" l="1"/>
  <c r="AY3" i="7"/>
  <c r="AY4" i="7" l="1"/>
  <c r="AZ3" i="7"/>
  <c r="AZ4" i="7" l="1"/>
  <c r="BA3" i="7"/>
  <c r="BA4" i="7" l="1"/>
  <c r="BB3" i="7"/>
  <c r="BB4" i="7" l="1"/>
  <c r="BC3" i="7"/>
  <c r="BC4" i="7" l="1"/>
  <c r="BD3" i="7"/>
  <c r="BD4" i="7" l="1"/>
  <c r="BE3" i="7"/>
  <c r="BE4" i="7" l="1"/>
  <c r="BF3" i="7"/>
  <c r="BF4" i="7" l="1"/>
  <c r="BG3" i="7"/>
  <c r="BG4" i="7" l="1"/>
  <c r="BH3" i="7"/>
  <c r="BH4" i="7" l="1"/>
  <c r="BI3" i="7"/>
  <c r="BI4" i="7" l="1"/>
  <c r="BJ3" i="7"/>
  <c r="BJ4" i="7" l="1"/>
  <c r="BK3" i="7"/>
  <c r="BK4" i="7" l="1"/>
  <c r="BL3" i="7"/>
  <c r="BL4" i="7" l="1"/>
  <c r="BM3" i="7"/>
  <c r="BM4" i="7" l="1"/>
  <c r="BN3" i="7"/>
  <c r="BN4" i="7" l="1"/>
  <c r="BO3" i="7"/>
  <c r="BO4" i="7" l="1"/>
  <c r="BP3" i="7"/>
  <c r="BP4" i="7" l="1"/>
  <c r="BQ3" i="7"/>
  <c r="BQ4" i="7" l="1"/>
  <c r="BR3" i="7"/>
  <c r="BR4" i="7" l="1"/>
  <c r="BS3" i="7"/>
  <c r="BS4" i="7" l="1"/>
  <c r="BT3" i="7"/>
  <c r="BT4" i="7" l="1"/>
  <c r="BU3" i="7"/>
  <c r="BU4" i="7" l="1"/>
  <c r="BV3" i="7"/>
  <c r="BV4" i="7" l="1"/>
  <c r="BW3" i="7"/>
  <c r="BW4" i="7" l="1"/>
  <c r="BX3" i="7"/>
  <c r="BX4" i="7" l="1"/>
  <c r="BY3" i="7"/>
  <c r="BY4" i="7" l="1"/>
  <c r="BZ3" i="7"/>
  <c r="BZ4" i="7" l="1"/>
  <c r="CA3" i="7"/>
  <c r="CA4" i="7" l="1"/>
  <c r="CB3" i="7"/>
  <c r="CB4" i="7" l="1"/>
  <c r="CC3" i="7"/>
  <c r="CC4" i="7" l="1"/>
  <c r="CD3" i="7"/>
  <c r="CD4" i="7" l="1"/>
  <c r="CE3" i="7"/>
  <c r="CE4" i="7" l="1"/>
  <c r="CF3" i="7"/>
  <c r="CF4" i="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<sst xmlns="http://schemas.openxmlformats.org/spreadsheetml/2006/main" count="16474" uniqueCount="1891">
  <si>
    <t>Summary Progress Testing SO 001 - PT Timas</t>
  </si>
  <si>
    <t>ITEM</t>
  </si>
  <si>
    <t>SIZE</t>
  </si>
  <si>
    <t>TAG</t>
  </si>
  <si>
    <t>QTY</t>
  </si>
  <si>
    <t>DONE</t>
  </si>
  <si>
    <t>BALANCE</t>
  </si>
  <si>
    <t>PLANNING TESTING</t>
  </si>
  <si>
    <t>NDT - UT</t>
  </si>
  <si>
    <t>BLASTING &amp; PRIMER COAT</t>
  </si>
  <si>
    <t>SECOND COAT</t>
  </si>
  <si>
    <t>TOP COAT</t>
  </si>
  <si>
    <t>FINAL INSPECTION</t>
  </si>
  <si>
    <t>Shift 1</t>
  </si>
  <si>
    <t>Actual</t>
  </si>
  <si>
    <t>Shift 2</t>
  </si>
  <si>
    <t>BALL VALVE</t>
  </si>
  <si>
    <t>2''
900#</t>
  </si>
  <si>
    <t>BV-004</t>
  </si>
  <si>
    <t>DB VALVE</t>
  </si>
  <si>
    <t>DBV-002</t>
  </si>
  <si>
    <t>3''
900#</t>
  </si>
  <si>
    <t>4''
900#</t>
  </si>
  <si>
    <t>8''
900#</t>
  </si>
  <si>
    <t>12''
900#</t>
  </si>
  <si>
    <t>16''
900#</t>
  </si>
  <si>
    <t>PROGRESS REPORT PRODUCTION PLAN DEPT</t>
  </si>
  <si>
    <t xml:space="preserve">SO. NO </t>
  </si>
  <si>
    <t>QTY (ea)</t>
  </si>
  <si>
    <t xml:space="preserve">INCOMING DATE </t>
  </si>
  <si>
    <t>WAREHOUSE - UNBOXING</t>
  </si>
  <si>
    <t xml:space="preserve">INCOMING INSPECTION </t>
  </si>
  <si>
    <t>HYDROTEST</t>
  </si>
  <si>
    <t xml:space="preserve">MARKING SN </t>
  </si>
  <si>
    <t>BLASTING</t>
  </si>
  <si>
    <t>PAINTING PRIMER COAT</t>
  </si>
  <si>
    <t>PAINTING 2ND COAT</t>
  </si>
  <si>
    <t>PAINTING TOP COAT</t>
  </si>
  <si>
    <t>NAME PLATE</t>
  </si>
  <si>
    <t xml:space="preserve">PACKING </t>
  </si>
  <si>
    <t>DELIVERY</t>
  </si>
  <si>
    <t>REMARK</t>
  </si>
  <si>
    <t>DUE DATE AS PER SO SALES</t>
  </si>
  <si>
    <t>PERSENTAGE</t>
  </si>
  <si>
    <t>INCOMING DATE ACTUAL</t>
  </si>
  <si>
    <t>QUALITY DEPT</t>
  </si>
  <si>
    <t>LOGISTIC SCHDULE</t>
  </si>
  <si>
    <t xml:space="preserve">PRODUCTION PLAN </t>
  </si>
  <si>
    <t xml:space="preserve">ACTUAL </t>
  </si>
  <si>
    <t>INCOMING CHECK</t>
  </si>
  <si>
    <t>%</t>
  </si>
  <si>
    <t>2025 - 2026</t>
  </si>
  <si>
    <t>SO. 015/AVI/0425</t>
  </si>
  <si>
    <t>SO. 030/AVI/1025 BATCH 1</t>
  </si>
  <si>
    <t>SO. 030/AVI/1025 BATCH 2</t>
  </si>
  <si>
    <t>SO. 033/AVI/1125</t>
  </si>
  <si>
    <t>SO. 002/TR/AVI/0126</t>
  </si>
  <si>
    <t>SO. 003/TR/AVI/0126</t>
  </si>
  <si>
    <t>SO. 004/TR/AVI/0226</t>
  </si>
  <si>
    <t>SO. 005/TR/AVI/0226</t>
  </si>
  <si>
    <t>SO. 006/TR/AVI/0226</t>
  </si>
  <si>
    <t>SO. 007/TR/AVI/0226</t>
  </si>
  <si>
    <t>SO. 008/TR/AVI/0326</t>
  </si>
  <si>
    <t>SO. 010/TR/AVI/0326</t>
  </si>
  <si>
    <t>SO. 012/TR/AVI/0326</t>
  </si>
  <si>
    <t>SO. 013/TR/AVI/0326</t>
  </si>
  <si>
    <t>SO. 014/TR/AVI/0426</t>
  </si>
  <si>
    <t>SO. 015/TR/AVI/0426</t>
  </si>
  <si>
    <t>SO. 016/TR/AVI/0426</t>
  </si>
  <si>
    <t>SO. 017/TR/AVI/0426</t>
  </si>
  <si>
    <t>SO. 018/TR/AVI/0426</t>
  </si>
  <si>
    <t>SO. 019/TR/AVI/0426</t>
  </si>
  <si>
    <t>FAT -TPI</t>
  </si>
  <si>
    <t>Qty</t>
  </si>
  <si>
    <t>FABRICATION SCHEDULE</t>
  </si>
  <si>
    <t>015/AVI/0425</t>
  </si>
  <si>
    <t>PT AZYMUTH CITRA PERKASA</t>
  </si>
  <si>
    <t>SO. NO</t>
  </si>
  <si>
    <t>BALL</t>
  </si>
  <si>
    <t>AB01F2TF-WCB-SPR-GO</t>
  </si>
  <si>
    <t>10"</t>
  </si>
  <si>
    <t>RF</t>
  </si>
  <si>
    <t>6"</t>
  </si>
  <si>
    <t>AB01F2LF-WCB-SPS-LO</t>
  </si>
  <si>
    <t>4"</t>
  </si>
  <si>
    <t>3"</t>
  </si>
  <si>
    <t>2"</t>
  </si>
  <si>
    <t>AB08F3LC-A10-CER-LO</t>
  </si>
  <si>
    <t>3/4"</t>
  </si>
  <si>
    <t>1/2"</t>
  </si>
  <si>
    <t>GATE</t>
  </si>
  <si>
    <t>AG01FL-WCB-HW-F1GB</t>
  </si>
  <si>
    <t>GLOBE</t>
  </si>
  <si>
    <t>AL01FL-WCB-HW-1LB</t>
  </si>
  <si>
    <t>CHECK</t>
  </si>
  <si>
    <t>AC01FL-WCB-1CB</t>
  </si>
  <si>
    <t>ATS01F-WCB-6-RE</t>
  </si>
  <si>
    <t>BOLTED CAP</t>
  </si>
  <si>
    <t>PART NAME</t>
  </si>
  <si>
    <t>SIZE (INCH)</t>
  </si>
  <si>
    <t>ANSI CLASS</t>
  </si>
  <si>
    <t>END CONN.</t>
  </si>
  <si>
    <t>BODY CONST.</t>
  </si>
  <si>
    <t>FIGURE NUMBER</t>
  </si>
  <si>
    <t>BODY MAT'L</t>
  </si>
  <si>
    <t>A105</t>
  </si>
  <si>
    <t>SW</t>
  </si>
  <si>
    <t>A216</t>
  </si>
  <si>
    <t>TRUNNION</t>
  </si>
  <si>
    <t>FLOATING</t>
  </si>
  <si>
    <t>T-STRAINER</t>
  </si>
  <si>
    <t>CUSTOMER</t>
  </si>
  <si>
    <t>TYPE VALVE</t>
  </si>
  <si>
    <t>DUE DATE ESTIMATION</t>
  </si>
  <si>
    <t>PO. CUSTOMER</t>
  </si>
  <si>
    <t>005/PO.MEC.J001-25-ACP/25.R0</t>
  </si>
  <si>
    <t>ORDER DATE</t>
  </si>
  <si>
    <t>1"</t>
  </si>
  <si>
    <t>16"</t>
  </si>
  <si>
    <t>12"</t>
  </si>
  <si>
    <t>8"</t>
  </si>
  <si>
    <t>PT. WIJAYA KARYA (Persero) Tbk.</t>
  </si>
  <si>
    <t>AB08F3LA-A10-SSR-LO</t>
  </si>
  <si>
    <t>AB08F3LC-A10-SSR-LO</t>
  </si>
  <si>
    <t>AG08SL-A10-HW-R2GB</t>
  </si>
  <si>
    <t>AG01FL-WCB-GO-F1GB</t>
  </si>
  <si>
    <t>AB01F2TF-WCB-ENR-GO</t>
  </si>
  <si>
    <t>AC01FA-WCB-1CB</t>
  </si>
  <si>
    <t>AB08F3LA-F304-SFR-LO</t>
  </si>
  <si>
    <t>AB08F3LC-F304-SFR-LO</t>
  </si>
  <si>
    <t>AG08SL-F304-HW-R2GB</t>
  </si>
  <si>
    <t>AC01FB-CF8-1CB</t>
  </si>
  <si>
    <t>AG01FB-CF8-HW-F1GB</t>
  </si>
  <si>
    <t>AG01FB-CF8-GO-F1GB</t>
  </si>
  <si>
    <t>AB03F2LF-WCB-SPR-LO</t>
  </si>
  <si>
    <t>AC03FA-WCB-1CB</t>
  </si>
  <si>
    <t>AL03FD-WCB-HW-1LB</t>
  </si>
  <si>
    <t>AB03F2TF-WCB-ENR-GO</t>
  </si>
  <si>
    <t>TP.01.03/EPCC.GSPR.0237/2025</t>
  </si>
  <si>
    <t>033/AVI/2025</t>
  </si>
  <si>
    <t>172-5214-X-2025_R1</t>
  </si>
  <si>
    <t>PT. FIS Sejahtera Bersama</t>
  </si>
  <si>
    <t>A105N</t>
  </si>
  <si>
    <t>Y-STRAINER</t>
  </si>
  <si>
    <t>AG01FB-304-HW-R2GB</t>
  </si>
  <si>
    <t>AG08SB-304-HW-R2GB</t>
  </si>
  <si>
    <t>AC08SB-304-4CB</t>
  </si>
  <si>
    <t>AY08S-304-4-RE</t>
  </si>
  <si>
    <t>AG01FR-316L-HW-R2GB</t>
  </si>
  <si>
    <t>AC08SL-A10-4CB</t>
  </si>
  <si>
    <t>START TESTING</t>
  </si>
  <si>
    <t>END TESTING</t>
  </si>
  <si>
    <t>START BLASTING</t>
  </si>
  <si>
    <t>Column7</t>
  </si>
  <si>
    <t>END BLASTING</t>
  </si>
  <si>
    <t>START PAINTING</t>
  </si>
  <si>
    <t>END PAINTING</t>
  </si>
  <si>
    <t>011/AVI/0325 R.1</t>
  </si>
  <si>
    <t>1118/SPBJ/SCM/PP/EPC/723002/III/2025</t>
  </si>
  <si>
    <t>PT. PP PERSERO Tbk.</t>
  </si>
  <si>
    <t>AG08CL-A10-HW-R2GB</t>
  </si>
  <si>
    <t>AB08F3LA-A10-SFR-SL</t>
  </si>
  <si>
    <t>AB08F3LA-F304-SFR-SL</t>
  </si>
  <si>
    <t>AB08F3LA-B14-SPR-LO</t>
  </si>
  <si>
    <t>AC01FO-B14-1CB</t>
  </si>
  <si>
    <t>AG08CB-F304-HW-R2GB</t>
  </si>
  <si>
    <t>AG08SB-F304-HW-R2GB</t>
  </si>
  <si>
    <t>AG01PO-B14-HW-R2GB</t>
  </si>
  <si>
    <t>AG01FO-B14-HW-F1GB</t>
  </si>
  <si>
    <t>AG01FT-CF8M-HW-F1GB</t>
  </si>
  <si>
    <t>6''</t>
  </si>
  <si>
    <t>20"</t>
  </si>
  <si>
    <t>DBB BALL</t>
  </si>
  <si>
    <t>3/4''</t>
  </si>
  <si>
    <t>2''</t>
  </si>
  <si>
    <t>3''</t>
  </si>
  <si>
    <t>4''</t>
  </si>
  <si>
    <t>10''</t>
  </si>
  <si>
    <t>FF</t>
  </si>
  <si>
    <t>14"</t>
  </si>
  <si>
    <t>A182</t>
  </si>
  <si>
    <t>A351</t>
  </si>
  <si>
    <t>B148</t>
  </si>
  <si>
    <t>AB01R3TF-A10- SSR-BS</t>
  </si>
  <si>
    <t>AB01F2TF- WCB-SSR-BS</t>
  </si>
  <si>
    <t>AG01FT-WCB- BS-F1GB</t>
  </si>
  <si>
    <t>002/TR/AVI/0126</t>
  </si>
  <si>
    <t>0017/WKS-PKU/2507/01.26</t>
  </si>
  <si>
    <t>PT. DENSON PRIMA UTAMA</t>
  </si>
  <si>
    <t>BUTTERFLY</t>
  </si>
  <si>
    <t>NPT</t>
  </si>
  <si>
    <t>1-1/2"</t>
  </si>
  <si>
    <t xml:space="preserve">AG01FL-WCB-HW-F1GB </t>
  </si>
  <si>
    <t>AG01TY-B14-HW-R2GB</t>
  </si>
  <si>
    <t>AF01WT-WCB-B-S4-T24-HW</t>
  </si>
  <si>
    <t>24"</t>
  </si>
  <si>
    <t>005/AVI/0226</t>
  </si>
  <si>
    <t>010/PO/KS.CL/I/2026</t>
  </si>
  <si>
    <t>PT. KOMALASARI</t>
  </si>
  <si>
    <t>AB01F3TF-A10-SPR-GO</t>
  </si>
  <si>
    <t>AB01F2LF-A10-SSR-L0</t>
  </si>
  <si>
    <t>AY01F-WCB-6-RE</t>
  </si>
  <si>
    <t>004/TR/AVI/0226</t>
  </si>
  <si>
    <t>25-5409-PO-P-0017</t>
  </si>
  <si>
    <t>PT. REKAYASA INDUSTRI</t>
  </si>
  <si>
    <t>CARBON STEEL</t>
  </si>
  <si>
    <t>006/TR/AVI/0226</t>
  </si>
  <si>
    <t>003/ATA.PO-GRM/T03/I/2026</t>
  </si>
  <si>
    <t>PT. ANUGERAH TEKNIK ASIA</t>
  </si>
  <si>
    <t>AB01F3TF-A10-SPR-BS</t>
  </si>
  <si>
    <t>010/TR/AVI/0326</t>
  </si>
  <si>
    <t>PA01340326</t>
  </si>
  <si>
    <t>PT. ATAMORA TEHNIK MAKMUR</t>
  </si>
  <si>
    <t>RTJ</t>
  </si>
  <si>
    <t>AG15RL-A10-HW-R2GB</t>
  </si>
  <si>
    <t>AG03FL-A10-HW-R2GB</t>
  </si>
  <si>
    <t>AG06FL-A10-HW-R2GB</t>
  </si>
  <si>
    <t>015/TR/AVI/0426</t>
  </si>
  <si>
    <t>0-0825-0-P-321-438-AJ-QC</t>
  </si>
  <si>
    <t>PT. JGC INDONESIA</t>
  </si>
  <si>
    <t>DIB-2</t>
  </si>
  <si>
    <t>AB06F3TF-A10-SXD-BS</t>
  </si>
  <si>
    <t>AB09F3TF-A10-SXD-BS</t>
  </si>
  <si>
    <t>AB15F3TR-A10-SXD-BS</t>
  </si>
  <si>
    <t>012/TR/AVI/0326</t>
  </si>
  <si>
    <t>PA01410326</t>
  </si>
  <si>
    <t>AB09F3TF-316-SXD-BS</t>
  </si>
  <si>
    <t>AB15F3TR-316-SXD-BS</t>
  </si>
  <si>
    <t>AB06F3TF-316-SXD-BS</t>
  </si>
  <si>
    <t>013/TR/AVI/0326</t>
  </si>
  <si>
    <t>PA01400326</t>
  </si>
  <si>
    <t>WAFER TYPE</t>
  </si>
  <si>
    <t>Daily</t>
  </si>
  <si>
    <t>WEEKEND Option</t>
  </si>
  <si>
    <t>Weekend String</t>
  </si>
  <si>
    <t>Monday</t>
  </si>
  <si>
    <t>Tuesday</t>
  </si>
  <si>
    <t>Wednesday</t>
  </si>
  <si>
    <t>Thursday</t>
  </si>
  <si>
    <t>Friday</t>
  </si>
  <si>
    <t>Saturday</t>
  </si>
  <si>
    <t>Sunday</t>
  </si>
  <si>
    <t>Show Weekends</t>
  </si>
  <si>
    <t>Tahun Baru 2026 Masehi</t>
  </si>
  <si>
    <t>Isra Mikraj Nabi Muhammad SAW</t>
  </si>
  <si>
    <t>Tahun Baru Imlek 2577 Kongzili</t>
  </si>
  <si>
    <t>Hari Suci Nyepi (Tahun Baru Saka 1948)</t>
  </si>
  <si>
    <t>Hari Raya Idul Fitri 1447 H</t>
  </si>
  <si>
    <t>Wafat Yesus Kristus</t>
  </si>
  <si>
    <t>Kebangkitan Yesus Kristus</t>
  </si>
  <si>
    <t>Hari Buruh Internasional</t>
  </si>
  <si>
    <t>Kenaikan Yesus Kristus</t>
  </si>
  <si>
    <t>Hari Raya Idul Adha 1447 H</t>
  </si>
  <si>
    <t>Hari Raya Waisak 2570 BE</t>
  </si>
  <si>
    <t>Hari Lahir Pancasila</t>
  </si>
  <si>
    <t>Tahun Baru Islam 1448 H</t>
  </si>
  <si>
    <t>Hari Kemerdekaan Republik Indonesia</t>
  </si>
  <si>
    <t>Maulid Nabi Muhammad SAW</t>
  </si>
  <si>
    <t>Hari Raya Natal</t>
  </si>
  <si>
    <t>SHOW WEEKEND</t>
  </si>
  <si>
    <t>Display :</t>
  </si>
  <si>
    <t>Project Year :</t>
  </si>
  <si>
    <t>O</t>
  </si>
  <si>
    <t>030/AVI/1025 R.1
BATCH II</t>
  </si>
  <si>
    <t>030/AVI/1025 R.1
BATCH I</t>
  </si>
  <si>
    <t>DATE INCOMING MATERIAL</t>
  </si>
  <si>
    <t>INCOMING MATERIAL</t>
  </si>
  <si>
    <t>HYDRO &amp; GAS TEST</t>
  </si>
  <si>
    <t>SANDBLASTING &amp; PRIMER COAT</t>
  </si>
  <si>
    <t>SECOND COAT &amp; TOP COAT</t>
  </si>
  <si>
    <t>VDRL</t>
  </si>
  <si>
    <t>IOM</t>
  </si>
  <si>
    <t>PAINTING PROCEDURE</t>
  </si>
  <si>
    <t>UPDATE DATE :</t>
  </si>
  <si>
    <t>Location</t>
  </si>
  <si>
    <t>Size</t>
  </si>
  <si>
    <t>Class</t>
  </si>
  <si>
    <t>Type</t>
  </si>
  <si>
    <t>Testing Area</t>
  </si>
  <si>
    <t>B</t>
  </si>
  <si>
    <t>A</t>
  </si>
  <si>
    <t>B Modification to 26"</t>
  </si>
  <si>
    <t>3/4</t>
  </si>
  <si>
    <t>modification</t>
  </si>
  <si>
    <t>Lg (Large)</t>
  </si>
  <si>
    <t>M17</t>
  </si>
  <si>
    <t>170 mm</t>
  </si>
  <si>
    <t>40 SETT</t>
  </si>
  <si>
    <t xml:space="preserve">M24 </t>
  </si>
  <si>
    <t>328 mm</t>
  </si>
  <si>
    <t>16 SETT</t>
  </si>
  <si>
    <t xml:space="preserve">M22 </t>
  </si>
  <si>
    <t>124 mm</t>
  </si>
  <si>
    <t>9 SETT</t>
  </si>
  <si>
    <t>M19</t>
  </si>
  <si>
    <t>152 mm</t>
  </si>
  <si>
    <t>8 SETT</t>
  </si>
  <si>
    <t>150 mm</t>
  </si>
  <si>
    <t>39 SETT</t>
  </si>
  <si>
    <t>M27</t>
  </si>
  <si>
    <t>308 mm</t>
  </si>
  <si>
    <t>35 SETT</t>
  </si>
  <si>
    <t>180 mm</t>
  </si>
  <si>
    <t>44 SETT</t>
  </si>
  <si>
    <t>M30</t>
  </si>
  <si>
    <t>178 mm</t>
  </si>
  <si>
    <t>240 mm</t>
  </si>
  <si>
    <t>25 SETT</t>
  </si>
  <si>
    <t>M37</t>
  </si>
  <si>
    <t>272 mm</t>
  </si>
  <si>
    <t>220 mm</t>
  </si>
  <si>
    <t>M36</t>
  </si>
  <si>
    <t>20 SETT</t>
  </si>
  <si>
    <t>M20</t>
  </si>
  <si>
    <t>15 SETT</t>
  </si>
  <si>
    <t>M23</t>
  </si>
  <si>
    <t>213 mm</t>
  </si>
  <si>
    <t>13 SETT</t>
  </si>
  <si>
    <t>M21</t>
  </si>
  <si>
    <t>304 mm</t>
  </si>
  <si>
    <t>22 SETT</t>
  </si>
  <si>
    <t>24M</t>
  </si>
  <si>
    <t>270 mm</t>
  </si>
  <si>
    <t>4 SETT</t>
  </si>
  <si>
    <t>M8</t>
  </si>
  <si>
    <t>103 mm</t>
  </si>
  <si>
    <t>M34</t>
  </si>
  <si>
    <t>482 mm</t>
  </si>
  <si>
    <t>84 mm</t>
  </si>
  <si>
    <t>14 SETT</t>
  </si>
  <si>
    <t>110 mm</t>
  </si>
  <si>
    <t>M31</t>
  </si>
  <si>
    <t xml:space="preserve">352 mm </t>
  </si>
  <si>
    <t>267 mm</t>
  </si>
  <si>
    <t xml:space="preserve">M30 </t>
  </si>
  <si>
    <t>496 mm</t>
  </si>
  <si>
    <t>443 mm</t>
  </si>
  <si>
    <t>M32</t>
  </si>
  <si>
    <t>391 mm</t>
  </si>
  <si>
    <t>10 SETT</t>
  </si>
  <si>
    <t>PRODUCTION "BLIND FLANGE ASSET"</t>
  </si>
  <si>
    <t xml:space="preserve">LIST DATA STUT BOLT &amp; NUT </t>
  </si>
  <si>
    <t>No.</t>
  </si>
  <si>
    <t>Machine Name</t>
  </si>
  <si>
    <t>Brand</t>
  </si>
  <si>
    <t>Year of Purchase</t>
  </si>
  <si>
    <t>Capacity</t>
  </si>
  <si>
    <t>Power</t>
  </si>
  <si>
    <t>Machine List No.</t>
  </si>
  <si>
    <t>Unit QTY</t>
  </si>
  <si>
    <t>Status</t>
  </si>
  <si>
    <t>TESTING EQUIPMENT</t>
  </si>
  <si>
    <t xml:space="preserve">Hydraulic Test Bench Machine </t>
  </si>
  <si>
    <t>QIXING YFB F-200</t>
  </si>
  <si>
    <t>2” s/d 8” Class 300</t>
  </si>
  <si>
    <t>2,7 KW</t>
  </si>
  <si>
    <t>A1</t>
  </si>
  <si>
    <t>TESTING AREA</t>
  </si>
  <si>
    <t>Ready for use</t>
  </si>
  <si>
    <t>Hydraulic Test Bench Machine</t>
  </si>
  <si>
    <t>A2</t>
  </si>
  <si>
    <t>QIXING DN 300-600</t>
  </si>
  <si>
    <t>10” s/d 24” # 150</t>
  </si>
  <si>
    <t>6 KW</t>
  </si>
  <si>
    <t>A3</t>
  </si>
  <si>
    <t>Manual Test Bench</t>
  </si>
  <si>
    <t>QIXING</t>
  </si>
  <si>
    <t>½ s/d 2”</t>
  </si>
  <si>
    <t>Manual</t>
  </si>
  <si>
    <t>A5</t>
  </si>
  <si>
    <t>Manual Test Gas booster ( Portable )</t>
  </si>
  <si>
    <t>HASKEL</t>
  </si>
  <si>
    <t>660x1500x1100 mm</t>
  </si>
  <si>
    <t>20000 psi</t>
  </si>
  <si>
    <t>A6</t>
  </si>
  <si>
    <t>Manual Test Bench ( Portable)</t>
  </si>
  <si>
    <t>600x400x700 mm</t>
  </si>
  <si>
    <t>16500 psi</t>
  </si>
  <si>
    <t>A8</t>
  </si>
  <si>
    <t>A9</t>
  </si>
  <si>
    <t>DY-400</t>
  </si>
  <si>
    <t>8” s/d 16’’</t>
  </si>
  <si>
    <t>A97</t>
  </si>
  <si>
    <t>Hydraulic Test Bench (6 clamp head )</t>
  </si>
  <si>
    <t>½” s/d 1 1/2’’</t>
  </si>
  <si>
    <t>2,2 KW</t>
  </si>
  <si>
    <t>A98</t>
  </si>
  <si>
    <t>Cradle Nitrogen</t>
  </si>
  <si>
    <t>Cradle</t>
  </si>
  <si>
    <t>A10</t>
  </si>
  <si>
    <t>MACHINING EQUIPMENT</t>
  </si>
  <si>
    <t xml:space="preserve">Lathe Machine </t>
  </si>
  <si>
    <t>YANG IRON 057828</t>
  </si>
  <si>
    <t>500 x 1200 mm</t>
  </si>
  <si>
    <t>5 KW</t>
  </si>
  <si>
    <t>M1</t>
  </si>
  <si>
    <t>BUILDING II AREA</t>
  </si>
  <si>
    <t>Drilling Machine</t>
  </si>
  <si>
    <t>HUANG SHAN AG-32</t>
  </si>
  <si>
    <t>32 x 1000 mm</t>
  </si>
  <si>
    <t>1,5 KW</t>
  </si>
  <si>
    <t>M2</t>
  </si>
  <si>
    <t xml:space="preserve">Lapping Machine </t>
  </si>
  <si>
    <t>NIPPON DENRO D- 1030</t>
  </si>
  <si>
    <t>2.0 T/M</t>
  </si>
  <si>
    <t>25 KW</t>
  </si>
  <si>
    <t>M3</t>
  </si>
  <si>
    <t>Hydraulic Punching Machine</t>
  </si>
  <si>
    <t>SCOTHMAN</t>
  </si>
  <si>
    <t>12 Ton</t>
  </si>
  <si>
    <t>M4</t>
  </si>
  <si>
    <t>LUAN MACHINE TOOL CW6232B</t>
  </si>
  <si>
    <t>500 x 1100 mm</t>
  </si>
  <si>
    <t>M5</t>
  </si>
  <si>
    <t>Radial Drilling Machine</t>
  </si>
  <si>
    <t>OKK</t>
  </si>
  <si>
    <t>600 x 1200 mm</t>
  </si>
  <si>
    <t>7,7 KW</t>
  </si>
  <si>
    <t>M6</t>
  </si>
  <si>
    <t xml:space="preserve">Hydraulic Press </t>
  </si>
  <si>
    <t>KRISBOW</t>
  </si>
  <si>
    <t>M7</t>
  </si>
  <si>
    <t>RRC CW62125B</t>
  </si>
  <si>
    <t>1250 x 1500 mm</t>
  </si>
  <si>
    <t>11,5 KW</t>
  </si>
  <si>
    <t>M9</t>
  </si>
  <si>
    <t>GUANG DONG CW 6266B</t>
  </si>
  <si>
    <t>660 x 2000 mm</t>
  </si>
  <si>
    <t>7,5 KW</t>
  </si>
  <si>
    <t>M10</t>
  </si>
  <si>
    <t>Milling &amp; Drilling Machine</t>
  </si>
  <si>
    <t>POWER MILL CONDIA FY-1</t>
  </si>
  <si>
    <t>30x1000 mm</t>
  </si>
  <si>
    <t>2 KW</t>
  </si>
  <si>
    <t>M11</t>
  </si>
  <si>
    <t>ZONTECH SWA 5S</t>
  </si>
  <si>
    <t>32 X 1250 mm</t>
  </si>
  <si>
    <t>3,7 KW</t>
  </si>
  <si>
    <t>M12</t>
  </si>
  <si>
    <t xml:space="preserve">Radial Drilling Machine </t>
  </si>
  <si>
    <t>RRC ZQ3040</t>
  </si>
  <si>
    <t>40 x 1250 mm</t>
  </si>
  <si>
    <t>3,3 KW</t>
  </si>
  <si>
    <t>M13</t>
  </si>
  <si>
    <t>Bench Grinder 6"</t>
  </si>
  <si>
    <t>375 KW</t>
  </si>
  <si>
    <t>M14</t>
  </si>
  <si>
    <t>CNC Machine (NL 303150418)</t>
  </si>
  <si>
    <t>DMG MORI NL X 3000 Y/700</t>
  </si>
  <si>
    <t>MAX.6"</t>
  </si>
  <si>
    <t>48 KVA</t>
  </si>
  <si>
    <t>M15</t>
  </si>
  <si>
    <t>CNC Machine (NL 256150459)</t>
  </si>
  <si>
    <t>DMG MORI NL X 2500 Y/700</t>
  </si>
  <si>
    <t>34 KVA</t>
  </si>
  <si>
    <t>M16</t>
  </si>
  <si>
    <t>WELDING EQUIPMENT</t>
  </si>
  <si>
    <t>Welding Machine  ESSAB</t>
  </si>
  <si>
    <t>ESSAB</t>
  </si>
  <si>
    <t>400 A</t>
  </si>
  <si>
    <t>W1</t>
  </si>
  <si>
    <t>WELDING AREA</t>
  </si>
  <si>
    <t>Welding Rod Drayer</t>
  </si>
  <si>
    <t>ING</t>
  </si>
  <si>
    <t>1-10 KG</t>
  </si>
  <si>
    <t>500 W</t>
  </si>
  <si>
    <t>W2</t>
  </si>
  <si>
    <t>Cut Off Machine (100 mm DIA)</t>
  </si>
  <si>
    <t>HITACHI</t>
  </si>
  <si>
    <t>100 mm DIA</t>
  </si>
  <si>
    <t>1 HP</t>
  </si>
  <si>
    <t>W3</t>
  </si>
  <si>
    <t>Electrode Oven 20 Kg</t>
  </si>
  <si>
    <t>KRISBOW KW 14-496</t>
  </si>
  <si>
    <t>20 KG</t>
  </si>
  <si>
    <t>1000 W</t>
  </si>
  <si>
    <t>W4</t>
  </si>
  <si>
    <t>Welding Mach Goldstar 602 550A</t>
  </si>
  <si>
    <t>MILLER</t>
  </si>
  <si>
    <t>550 A</t>
  </si>
  <si>
    <t>W5</t>
  </si>
  <si>
    <t>Welding Machine Blue Thunder 403</t>
  </si>
  <si>
    <t>W6</t>
  </si>
  <si>
    <t>Welding Machine  Maxstar 200A</t>
  </si>
  <si>
    <t>200 A</t>
  </si>
  <si>
    <t>W7</t>
  </si>
  <si>
    <t>Welding Rotary 1 – 30 Kg</t>
  </si>
  <si>
    <t>RRC</t>
  </si>
  <si>
    <t>1-30 KG</t>
  </si>
  <si>
    <t>220 V</t>
  </si>
  <si>
    <t>W8</t>
  </si>
  <si>
    <t>Cradle Gas &amp; Oxygen</t>
  </si>
  <si>
    <t>CRADLE</t>
  </si>
  <si>
    <t>GAS 1 TB &amp; OXIGEN 2 TB</t>
  </si>
  <si>
    <t>W9</t>
  </si>
  <si>
    <t>Cradle Argon</t>
  </si>
  <si>
    <t>CRADEL</t>
  </si>
  <si>
    <t>ARGON 4 TB</t>
  </si>
  <si>
    <t>W10</t>
  </si>
  <si>
    <t>BLASTING &amp; PAINTING EQUIPMENT</t>
  </si>
  <si>
    <t>Paint Booth</t>
  </si>
  <si>
    <t>3100X1500X1500 mm</t>
  </si>
  <si>
    <t>5 HP</t>
  </si>
  <si>
    <t>N1</t>
  </si>
  <si>
    <t>PAINTING AREA</t>
  </si>
  <si>
    <t>Paint pressure Tank</t>
  </si>
  <si>
    <t>AMCEL</t>
  </si>
  <si>
    <t>10 LITER</t>
  </si>
  <si>
    <t>80 s/d 100 Psi</t>
  </si>
  <si>
    <t>N2</t>
  </si>
  <si>
    <t>Sand Blasting Big</t>
  </si>
  <si>
    <t>SUNBLAS</t>
  </si>
  <si>
    <t>N3</t>
  </si>
  <si>
    <t>BLASTING AREA</t>
  </si>
  <si>
    <t>Sand Blasting Small</t>
  </si>
  <si>
    <t>150 W</t>
  </si>
  <si>
    <t>N4</t>
  </si>
  <si>
    <t>MOBILE CONTAINER SERVICE EQUIPMENT</t>
  </si>
  <si>
    <t>CHEIN YEH IRON LY 600GF</t>
  </si>
  <si>
    <t>C1</t>
  </si>
  <si>
    <t>CONTAINER AREA</t>
  </si>
  <si>
    <t>Air Compressor 8 BAR</t>
  </si>
  <si>
    <t>8 BAR</t>
  </si>
  <si>
    <t>C2</t>
  </si>
  <si>
    <t>Bench Grinder 8”</t>
  </si>
  <si>
    <t>375 W</t>
  </si>
  <si>
    <t>C3</t>
  </si>
  <si>
    <t>Hydraulic Pump Test Bench Machine</t>
  </si>
  <si>
    <t>ENERPACK/HASKEL</t>
  </si>
  <si>
    <t>C4</t>
  </si>
  <si>
    <t>Manual Chain Block 2 Ton</t>
  </si>
  <si>
    <t>2Ton</t>
  </si>
  <si>
    <t>C5</t>
  </si>
  <si>
    <t>SUPPORT EQUIPMENT</t>
  </si>
  <si>
    <t>Air Compressor 10 BAR</t>
  </si>
  <si>
    <t>SULLAIR LS-37</t>
  </si>
  <si>
    <t>120 PSI</t>
  </si>
  <si>
    <t>37 KW</t>
  </si>
  <si>
    <t>S1</t>
  </si>
  <si>
    <t>Genset 150 KVA</t>
  </si>
  <si>
    <t>PERKINS YD 51332</t>
  </si>
  <si>
    <t>150 KVA</t>
  </si>
  <si>
    <t>S2</t>
  </si>
  <si>
    <t xml:space="preserve">Water Pump </t>
  </si>
  <si>
    <t>GRUNDFOS</t>
  </si>
  <si>
    <t>1 KW</t>
  </si>
  <si>
    <t>S3</t>
  </si>
  <si>
    <t>OUT BUILDING</t>
  </si>
  <si>
    <t>Battery Charger</t>
  </si>
  <si>
    <t>MAXTRON CB-50</t>
  </si>
  <si>
    <t>12V/24V</t>
  </si>
  <si>
    <t>40 A</t>
  </si>
  <si>
    <t>S4</t>
  </si>
  <si>
    <t>Hydraulic Crimping Tool</t>
  </si>
  <si>
    <t>S5</t>
  </si>
  <si>
    <t>BUILDING I AREA</t>
  </si>
  <si>
    <t>Hanger Digital Scales</t>
  </si>
  <si>
    <t>D-Tech</t>
  </si>
  <si>
    <t>2 Ton</t>
  </si>
  <si>
    <t>S6</t>
  </si>
  <si>
    <t>Jet cleaner</t>
  </si>
  <si>
    <t>JET CLEANER</t>
  </si>
  <si>
    <t>S7</t>
  </si>
  <si>
    <t>GRUNDFOS JPD8-62PT-V</t>
  </si>
  <si>
    <t>60-35m</t>
  </si>
  <si>
    <t>2.2kw</t>
  </si>
  <si>
    <t>S8</t>
  </si>
  <si>
    <t>HBEAM FOR GATE VALVE 28"</t>
  </si>
  <si>
    <t>LIFTING EQUIPMENT</t>
  </si>
  <si>
    <t>Over Head Crane 8 Ton</t>
  </si>
  <si>
    <t>DEMAG</t>
  </si>
  <si>
    <t>8 Ton</t>
  </si>
  <si>
    <t>31,5 KW</t>
  </si>
  <si>
    <t>L1</t>
  </si>
  <si>
    <t>Chain Hoist 1 Ton Assembly</t>
  </si>
  <si>
    <t>1.8 Ton</t>
  </si>
  <si>
    <t>L2</t>
  </si>
  <si>
    <t>Chain Hoist 1 Ton Testing</t>
  </si>
  <si>
    <t>1 Ton</t>
  </si>
  <si>
    <t>L4</t>
  </si>
  <si>
    <t>Chain Hoist 1 Ton Painting</t>
  </si>
  <si>
    <t>L5</t>
  </si>
  <si>
    <t>Forklift 3 Ton</t>
  </si>
  <si>
    <t>KOMATSU</t>
  </si>
  <si>
    <t>3 Ton</t>
  </si>
  <si>
    <t>L6</t>
  </si>
  <si>
    <t>BUILDING AREA</t>
  </si>
  <si>
    <t>Electrik Reach Truck (T018R450)</t>
  </si>
  <si>
    <t>KOMATSU FB18RL-15</t>
  </si>
  <si>
    <t>L7</t>
  </si>
  <si>
    <t>Not for use/inactive</t>
  </si>
  <si>
    <t>Chan Hoist 300 Kg CNC</t>
  </si>
  <si>
    <t>300 Kg</t>
  </si>
  <si>
    <t>L11</t>
  </si>
  <si>
    <t>BUILDING II CNC AREA</t>
  </si>
  <si>
    <t>Chan Hoist 500 Kg Assembly</t>
  </si>
  <si>
    <t>500 kg</t>
  </si>
  <si>
    <t>L12</t>
  </si>
  <si>
    <t>Chan Hoist 1 Ton Machining</t>
  </si>
  <si>
    <t>L13</t>
  </si>
  <si>
    <t>Chain hoist 300 Kg Painting</t>
  </si>
  <si>
    <t>KRISBOIW</t>
  </si>
  <si>
    <t>300Kg</t>
  </si>
  <si>
    <t>1KW</t>
  </si>
  <si>
    <t>L16</t>
  </si>
  <si>
    <t>PAINTING</t>
  </si>
  <si>
    <t>SERVICE EQUIPMENT</t>
  </si>
  <si>
    <t>ACTIV 8 Hydraulic Pump Greasing</t>
  </si>
  <si>
    <t>SEALWELD</t>
  </si>
  <si>
    <t>1 Pail</t>
  </si>
  <si>
    <t>V1</t>
  </si>
  <si>
    <t>SUPER GUN Hydraulic Greasing</t>
  </si>
  <si>
    <t>1 Catride</t>
  </si>
  <si>
    <t>V2</t>
  </si>
  <si>
    <t>Uni-Seal Pump Hydraulic</t>
  </si>
  <si>
    <t>V3</t>
  </si>
  <si>
    <t>MACHINE &amp; UTILITY LIST</t>
  </si>
  <si>
    <t>MACHINE</t>
  </si>
  <si>
    <t>EQUIPMENT</t>
  </si>
  <si>
    <t>CONSUMABLE</t>
  </si>
  <si>
    <t>NAME TOOL</t>
  </si>
  <si>
    <t>SIZE/TYPE</t>
  </si>
  <si>
    <t>MERK</t>
  </si>
  <si>
    <t>LOCATION</t>
  </si>
  <si>
    <t>STATUS LOCATION</t>
  </si>
  <si>
    <t>IMPECT</t>
  </si>
  <si>
    <t>M117M</t>
  </si>
  <si>
    <t>TOKU</t>
  </si>
  <si>
    <t>ASSY</t>
  </si>
  <si>
    <t>GOOD</t>
  </si>
  <si>
    <t>STILL IN THE ASSY AREA</t>
  </si>
  <si>
    <t>PAS RING</t>
  </si>
  <si>
    <t>EGA MASTER</t>
  </si>
  <si>
    <t>15/16"</t>
  </si>
  <si>
    <t>CRPPRO PAS</t>
  </si>
  <si>
    <t xml:space="preserve"> - </t>
  </si>
  <si>
    <t>KUNCI ENGLAND</t>
  </si>
  <si>
    <t>SEDANG</t>
  </si>
  <si>
    <t>OBENG + (PLUS)</t>
  </si>
  <si>
    <t>KUNCI KETOK</t>
  </si>
  <si>
    <t>RING 41</t>
  </si>
  <si>
    <t>ELORA</t>
  </si>
  <si>
    <t>PASS 50</t>
  </si>
  <si>
    <t>PASS 46</t>
  </si>
  <si>
    <t>DIN 133</t>
  </si>
  <si>
    <t>KUNCI L</t>
  </si>
  <si>
    <t xml:space="preserve"> 3/8"</t>
  </si>
  <si>
    <t>CR-V</t>
  </si>
  <si>
    <t>UNBR AKO</t>
  </si>
  <si>
    <t>14mm</t>
  </si>
  <si>
    <t>SELERY</t>
  </si>
  <si>
    <t>8mm</t>
  </si>
  <si>
    <t>9mm</t>
  </si>
  <si>
    <t>KEY CONNECTION SHOCK</t>
  </si>
  <si>
    <t>PROTO</t>
  </si>
  <si>
    <t>KUNCI SHOCK</t>
  </si>
  <si>
    <t>24mm</t>
  </si>
  <si>
    <t>GENIUS</t>
  </si>
  <si>
    <t>1-1/16"</t>
  </si>
  <si>
    <t>KUNCI SHOCK FLAG</t>
  </si>
  <si>
    <t>28mm</t>
  </si>
  <si>
    <t>EXTANSION</t>
  </si>
  <si>
    <t>KUNCI L SHOCK</t>
  </si>
  <si>
    <t>3/8"</t>
  </si>
  <si>
    <t>KUNCI GERINDA</t>
  </si>
  <si>
    <t xml:space="preserve">KUNCI SHOCK </t>
  </si>
  <si>
    <t>46"</t>
  </si>
  <si>
    <t>DAMAGED</t>
  </si>
  <si>
    <t>ROUNDBAR BRONZE</t>
  </si>
  <si>
    <t>300mm</t>
  </si>
  <si>
    <t>JIG TABLE ASSEMBLY</t>
  </si>
  <si>
    <t>BOX TOOL  + KUNCI</t>
  </si>
  <si>
    <t>AAY</t>
  </si>
  <si>
    <t>KUNCI KOMBI</t>
  </si>
  <si>
    <t>18mm</t>
  </si>
  <si>
    <t>BCG</t>
  </si>
  <si>
    <t>TESTING</t>
  </si>
  <si>
    <t>STILL IN THE TESTING AREA</t>
  </si>
  <si>
    <t>BESAR</t>
  </si>
  <si>
    <t>KECIL</t>
  </si>
  <si>
    <t>MATA SHOCK</t>
  </si>
  <si>
    <t>32mm</t>
  </si>
  <si>
    <t>40mm</t>
  </si>
  <si>
    <t>46mm</t>
  </si>
  <si>
    <t>50mm</t>
  </si>
  <si>
    <t>41mm</t>
  </si>
  <si>
    <t>27 mm</t>
  </si>
  <si>
    <t>17mm</t>
  </si>
  <si>
    <t>18"</t>
  </si>
  <si>
    <t>RING PAS</t>
  </si>
  <si>
    <t>TEKIRO</t>
  </si>
  <si>
    <t>BLASTING / PAITING</t>
  </si>
  <si>
    <t>19mm</t>
  </si>
  <si>
    <t>YOKOHAMA</t>
  </si>
  <si>
    <t>9/16"</t>
  </si>
  <si>
    <t>7/16"</t>
  </si>
  <si>
    <t>38mm</t>
  </si>
  <si>
    <t>30mm</t>
  </si>
  <si>
    <t>LIPRO</t>
  </si>
  <si>
    <t>10mm</t>
  </si>
  <si>
    <t>WHIPSAW</t>
  </si>
  <si>
    <t>KUNCI PIPA</t>
  </si>
  <si>
    <t>HEAVY DUTY</t>
  </si>
  <si>
    <t>KUNCI RING PAS</t>
  </si>
  <si>
    <t>JETECH</t>
  </si>
  <si>
    <t xml:space="preserve">AIR TUNNER </t>
  </si>
  <si>
    <t>SPRAYGUN</t>
  </si>
  <si>
    <t>F110</t>
  </si>
  <si>
    <t>MEIJI</t>
  </si>
  <si>
    <t>STILL IN THE PAINTING AREA</t>
  </si>
  <si>
    <t>FLANGE COVER BLASTING</t>
  </si>
  <si>
    <t>NEED REPLACEMENT</t>
  </si>
  <si>
    <t>STILL IN THE BLASTING AREA</t>
  </si>
  <si>
    <t>AS DRAT  (CONECTION FOR FLANGE COVER BLASTING)</t>
  </si>
  <si>
    <t>STAMPING MARKING NUMBERS</t>
  </si>
  <si>
    <t>1 SETT</t>
  </si>
  <si>
    <t>6mm</t>
  </si>
  <si>
    <t>5mm</t>
  </si>
  <si>
    <t>4mm</t>
  </si>
  <si>
    <t>2 SETT</t>
  </si>
  <si>
    <t>3mm</t>
  </si>
  <si>
    <t>STAMPING MARKING LETTERS</t>
  </si>
  <si>
    <t>3  SETT</t>
  </si>
  <si>
    <t>NEED SPARE PART REPLACEMENT</t>
  </si>
  <si>
    <t>IT HAS BEEN RETURNED TO THE TOOL CRIB WAREHOUSE ON 16 MARCH 2026</t>
  </si>
  <si>
    <t>LIST TOOLCRIB PRODUCTION AREA</t>
  </si>
  <si>
    <t>TOOL DESCIRPTION</t>
  </si>
  <si>
    <t>Remark</t>
  </si>
  <si>
    <t>Holder External DCLNR</t>
  </si>
  <si>
    <t>Sandvik</t>
  </si>
  <si>
    <t>1 EA</t>
  </si>
  <si>
    <t>Holder External SNR 2525M-12</t>
  </si>
  <si>
    <t>Kyocera</t>
  </si>
  <si>
    <t>Insert CNMG12408</t>
  </si>
  <si>
    <t>YG</t>
  </si>
  <si>
    <t>5 EA</t>
  </si>
  <si>
    <t>STOCK AVAILABLE</t>
  </si>
  <si>
    <t>Holder External Face Groove 6mm</t>
  </si>
  <si>
    <t>CHANGE CUSTOM</t>
  </si>
  <si>
    <t>Insert CM 1125</t>
  </si>
  <si>
    <t>3 EA</t>
  </si>
  <si>
    <t>Holder External Face Groove 3mm</t>
  </si>
  <si>
    <t>4 EA</t>
  </si>
  <si>
    <t>Holder Internal A40T-DCLNR 12</t>
  </si>
  <si>
    <t>Holder External TDJNR 2525 M15</t>
  </si>
  <si>
    <t>Insert DNMG150408</t>
  </si>
  <si>
    <t>7 EA</t>
  </si>
  <si>
    <t>Holder External PWLNR2525M08C</t>
  </si>
  <si>
    <t>Insert WNM G080408</t>
  </si>
  <si>
    <t>Holder Facemill E90 APMT11 D16</t>
  </si>
  <si>
    <t>Insert APMT113504</t>
  </si>
  <si>
    <t>Holder Internal S16P SCLCR</t>
  </si>
  <si>
    <t>Insert CCMT060204</t>
  </si>
  <si>
    <t>STOCK NOT AVAILABLE</t>
  </si>
  <si>
    <t>Holder Face Grooving MGFHR 325</t>
  </si>
  <si>
    <t>Sandhog</t>
  </si>
  <si>
    <t>Insert MGMN 300-SMX</t>
  </si>
  <si>
    <t>Holder Internat Grooving MGIVL 2016</t>
  </si>
  <si>
    <t>Insert MGMN 200</t>
  </si>
  <si>
    <t>Holder External Thread SER 2525 M22</t>
  </si>
  <si>
    <t>Chain</t>
  </si>
  <si>
    <t>Holder Drill YGSP D14</t>
  </si>
  <si>
    <t>Insert SPMX050204</t>
  </si>
  <si>
    <t>6 EA</t>
  </si>
  <si>
    <t>Holder Drill ZD30005032 5D</t>
  </si>
  <si>
    <t>Insert i-One Drill H 30</t>
  </si>
  <si>
    <t>Holder Drill GHD 140-140</t>
  </si>
  <si>
    <t>GESAC</t>
  </si>
  <si>
    <t>Insert Drill QPMG040203</t>
  </si>
  <si>
    <t>Holder Drill D18</t>
  </si>
  <si>
    <t>Holder Drill D22</t>
  </si>
  <si>
    <t>Holder Drill D25</t>
  </si>
  <si>
    <t xml:space="preserve">1 EA </t>
  </si>
  <si>
    <t>Holder External Radius PRCDN 2525M 12</t>
  </si>
  <si>
    <t>Face Mill D63</t>
  </si>
  <si>
    <t>T-Slot Tool Miling D20</t>
  </si>
  <si>
    <t>Yih Troun</t>
  </si>
  <si>
    <t>Car bide Dream Drill  Ø 3.3</t>
  </si>
  <si>
    <t>Car bide Dream Drill  Ø 4</t>
  </si>
  <si>
    <t>Car bide Dream Drill  Ø 5</t>
  </si>
  <si>
    <t>Car bide Dream Drill  Ø 6.8</t>
  </si>
  <si>
    <t>Car bide Dream Drill  Ø 8</t>
  </si>
  <si>
    <t>Car bide Dream Drill  Ø 8.5</t>
  </si>
  <si>
    <t>Car bide Dream Drill  Ø 9</t>
  </si>
  <si>
    <t>HY-PRO</t>
  </si>
  <si>
    <t>HSS Drill  Ø 7</t>
  </si>
  <si>
    <t>-</t>
  </si>
  <si>
    <t>HSS Drill  Ø 7.5</t>
  </si>
  <si>
    <t>NACHI</t>
  </si>
  <si>
    <t>HSS Drill  Ø 7.7</t>
  </si>
  <si>
    <t>HSS Drill  Ø 10.3</t>
  </si>
  <si>
    <t>HSS  Drill  Ø 11</t>
  </si>
  <si>
    <t>Dormer</t>
  </si>
  <si>
    <t>HSS Drill  Ø 13.8</t>
  </si>
  <si>
    <t>HSS Drill  Ø  14</t>
  </si>
  <si>
    <t>HSS Dril  Ø 14.3</t>
  </si>
  <si>
    <t>HSS Drill  Ø 16</t>
  </si>
  <si>
    <t>HSS Drill  Ø 18</t>
  </si>
  <si>
    <t>Sandvik/ Dormer</t>
  </si>
  <si>
    <t>HSS Drill  Ø 19</t>
  </si>
  <si>
    <t>HSS Drill  Ø 20</t>
  </si>
  <si>
    <t>End Mill X POWER D14</t>
  </si>
  <si>
    <t>End Mill V7 PLUS D12</t>
  </si>
  <si>
    <t>End Mill K-2 PLUS D16</t>
  </si>
  <si>
    <t>End Mill K-2 PLUS D20</t>
  </si>
  <si>
    <t>End Mill D12</t>
  </si>
  <si>
    <t>Tap M6 x 1</t>
  </si>
  <si>
    <t>YAMAWA</t>
  </si>
  <si>
    <t>Tap M8 x 1.25</t>
  </si>
  <si>
    <t>Tap M10 x 1.5</t>
  </si>
  <si>
    <t>Tap M12 x 1.75</t>
  </si>
  <si>
    <t>Tap M12 6H</t>
  </si>
  <si>
    <t>Tap M14 x 2</t>
  </si>
  <si>
    <t>Tap M14 6H</t>
  </si>
  <si>
    <t>Tap M16 x 2</t>
  </si>
  <si>
    <t>Tap M16 6H</t>
  </si>
  <si>
    <t>Tap M20 x 2.5</t>
  </si>
  <si>
    <t>Tap 1/2 NPT</t>
  </si>
  <si>
    <t>VOLKEL</t>
  </si>
  <si>
    <t>Tap 1/2 W12</t>
  </si>
  <si>
    <t>Tap 1/2-13 UNC</t>
  </si>
  <si>
    <t>YAMAWA/ YAMACUT</t>
  </si>
  <si>
    <t>Tap 1/4-18 NPT</t>
  </si>
  <si>
    <t>Tap 3/8-16 UNC</t>
  </si>
  <si>
    <t>Tap 3/8-18 UNC</t>
  </si>
  <si>
    <t>YAMAWA/ILIX</t>
  </si>
  <si>
    <t>Tap 5/8-11 UNC</t>
  </si>
  <si>
    <t>Tap 18 NPT EU2200</t>
  </si>
  <si>
    <t>Fraisa</t>
  </si>
  <si>
    <t xml:space="preserve">LIST TOOLS MACHINING CNC						</t>
  </si>
  <si>
    <t xml:space="preserve">Car bide Drill  Ø 10 </t>
  </si>
  <si>
    <t xml:space="preserve">Car bide Drill  Ø 11 </t>
  </si>
  <si>
    <t>Car bide Drill  Ø 14</t>
  </si>
  <si>
    <t>QTY PACKING</t>
  </si>
  <si>
    <t>UPDATE STOCK</t>
  </si>
  <si>
    <t>INSERT KYOCERA LOMU 100408ER</t>
  </si>
  <si>
    <t>20 EA</t>
  </si>
  <si>
    <t>23 EA</t>
  </si>
  <si>
    <t>INSERT KYOCERA SNMG</t>
  </si>
  <si>
    <t>10 EA</t>
  </si>
  <si>
    <t>8 EA</t>
  </si>
  <si>
    <t>INSERT YG DNMG 150408</t>
  </si>
  <si>
    <t>INSERT YG CCMTT 060204</t>
  </si>
  <si>
    <t>17 EA</t>
  </si>
  <si>
    <t>INSERT YG CCMT 09308</t>
  </si>
  <si>
    <t>INSERT YG CNMG 120408</t>
  </si>
  <si>
    <t>INSERT YG SPMX 07</t>
  </si>
  <si>
    <t>16 EA</t>
  </si>
  <si>
    <t>INSERT SANDVIC DNMX 150608WT</t>
  </si>
  <si>
    <t>INSERT COROMII</t>
  </si>
  <si>
    <t>18 EA</t>
  </si>
  <si>
    <t>INSERT CROCUT QD</t>
  </si>
  <si>
    <t>INSERT N 331A - SANDVIC</t>
  </si>
  <si>
    <t>INSERT CCMT 120404 - SANDVIC</t>
  </si>
  <si>
    <t>INSERT MITSUBSHI MMT 22ER N60</t>
  </si>
  <si>
    <t>9 EA</t>
  </si>
  <si>
    <t>INSERT SANDOG MGN 400T</t>
  </si>
  <si>
    <t>INSERT SANDOG MGN 200T</t>
  </si>
  <si>
    <t>30 EA</t>
  </si>
  <si>
    <t>24 EA</t>
  </si>
  <si>
    <t>INSERT SANDOG MGN 300T</t>
  </si>
  <si>
    <t>LIST TOOLS CNC</t>
  </si>
  <si>
    <r>
      <t xml:space="preserve">Sink &amp; Step Drill 180 </t>
    </r>
    <r>
      <rPr>
        <vertAlign val="superscript"/>
        <sz val="8"/>
        <color theme="1"/>
        <rFont val="Calibri"/>
        <family val="2"/>
        <scheme val="minor"/>
      </rPr>
      <t>0</t>
    </r>
    <r>
      <rPr>
        <sz val="8"/>
        <color theme="1"/>
        <rFont val="Calibri"/>
        <family val="2"/>
        <scheme val="minor"/>
      </rPr>
      <t xml:space="preserve"> M8</t>
    </r>
  </si>
  <si>
    <r>
      <t xml:space="preserve">Sink &amp; Step Drill 180 </t>
    </r>
    <r>
      <rPr>
        <vertAlign val="superscript"/>
        <sz val="8"/>
        <color theme="1"/>
        <rFont val="Calibri"/>
        <family val="2"/>
        <scheme val="minor"/>
      </rPr>
      <t>0</t>
    </r>
    <r>
      <rPr>
        <sz val="8"/>
        <color theme="1"/>
        <rFont val="Calibri"/>
        <family val="2"/>
        <scheme val="minor"/>
      </rPr>
      <t xml:space="preserve"> M12</t>
    </r>
  </si>
  <si>
    <t>Date</t>
  </si>
  <si>
    <t>Event Name</t>
  </si>
  <si>
    <t>Tahun Baru Islam 1448 H / Islamic New Year 1448 H</t>
  </si>
  <si>
    <t>RTJ X NPT</t>
  </si>
  <si>
    <t>DB-BALL</t>
  </si>
  <si>
    <t>AB09F1TR-A10-SXP-LO</t>
  </si>
  <si>
    <t>AB209F3LC-A10-SPP-LO</t>
  </si>
  <si>
    <t>021/TR/AVI/0526</t>
  </si>
  <si>
    <t>PT. TIMAS SUPLINDO</t>
  </si>
  <si>
    <t>ZPOL-33024737</t>
  </si>
  <si>
    <t>TPI</t>
  </si>
  <si>
    <t>INT</t>
  </si>
  <si>
    <t>HOLIDAY</t>
  </si>
  <si>
    <t>SHIFT 1</t>
  </si>
  <si>
    <t>SHIFT 2</t>
  </si>
  <si>
    <t>SO. 015 (2025)</t>
  </si>
  <si>
    <t>SO. 030 (2025) BATCH II</t>
  </si>
  <si>
    <t>SO. 002</t>
  </si>
  <si>
    <t>SO. 004</t>
  </si>
  <si>
    <t>SO. 005</t>
  </si>
  <si>
    <t>SO. 006</t>
  </si>
  <si>
    <t>SO. 010</t>
  </si>
  <si>
    <t>SO. 012</t>
  </si>
  <si>
    <t>SO. 013</t>
  </si>
  <si>
    <t>SO. 021</t>
  </si>
  <si>
    <t>BALL VALVE 10" 150#</t>
  </si>
  <si>
    <t>BALL VALVE 6" 150#</t>
  </si>
  <si>
    <t>BALL VALVE 4" 150#</t>
  </si>
  <si>
    <t>BALL VALVE 3" 150#</t>
  </si>
  <si>
    <t>BALL VALVE 2" 150#</t>
  </si>
  <si>
    <t>BALL VALVE 3/4" 800#</t>
  </si>
  <si>
    <t>BALL VALVE 1/2" 800#</t>
  </si>
  <si>
    <t>GATE VALVE 6" 150#</t>
  </si>
  <si>
    <t>GATE VALVE 4" 150#</t>
  </si>
  <si>
    <t>GATE VALVE 2" 150#</t>
  </si>
  <si>
    <t>GLOBE VALVE 6" 150#</t>
  </si>
  <si>
    <t>GLOBE VALVE 4" 150#</t>
  </si>
  <si>
    <t>CHECK VALVE 6" 150#</t>
  </si>
  <si>
    <t>CHECK VALVE 4" 150#</t>
  </si>
  <si>
    <t>T-STRAINER VALVE 6" 150#</t>
  </si>
  <si>
    <t>T-STRAINER VALVE 4" 150#</t>
  </si>
  <si>
    <t>CHECK VALVE 10" 150#</t>
  </si>
  <si>
    <t>GATE VALVE 10" 150#</t>
  </si>
  <si>
    <t>CHECK VALVE 16" 150#</t>
  </si>
  <si>
    <t>GATE VALVE 16" 150#</t>
  </si>
  <si>
    <t>BALL VALVE 12" 150#</t>
  </si>
  <si>
    <t>GATE VALVE 12" 150#</t>
  </si>
  <si>
    <t>CHECK VALVE 2" 150#</t>
  </si>
  <si>
    <t>GATE VALVE 3" 150#</t>
  </si>
  <si>
    <t>CHECK VALVE 12" 150#</t>
  </si>
  <si>
    <t>BALL VALVE 2" 300#</t>
  </si>
  <si>
    <t>BALL VALVE 3" 300#</t>
  </si>
  <si>
    <t>CHECK VALVE 3" 300#</t>
  </si>
  <si>
    <t>BALL VALVE 4" 300#</t>
  </si>
  <si>
    <t>GLOBE VALVE 4" 300#</t>
  </si>
  <si>
    <t>BALL VALVE 10" 300#</t>
  </si>
  <si>
    <t>CHECK VALVE 10" 300#</t>
  </si>
  <si>
    <t>GATE VALVE 8" 150#</t>
  </si>
  <si>
    <t>BALL VALVE 16" 150#</t>
  </si>
  <si>
    <t>GLOBE VALVE 3" 150#</t>
  </si>
  <si>
    <t>GATE VALVE 1/2" 150#</t>
  </si>
  <si>
    <t>GATE VALVE 3/4" 150#</t>
  </si>
  <si>
    <t>GATE VALVE 1-1/2" 150#</t>
  </si>
  <si>
    <t>BUTTERFLY VALVE 4" 150#</t>
  </si>
  <si>
    <t>BALL VALVE 24" 150#</t>
  </si>
  <si>
    <t>BALL VALVE 1-1/2" 150#</t>
  </si>
  <si>
    <t>Y-STRAINER VALVE 4" 150#</t>
  </si>
  <si>
    <t>Y-STRAINER VALVE 6" 150#</t>
  </si>
  <si>
    <t>BALL VALVE 8" 150#</t>
  </si>
  <si>
    <t>BALL VALVE CS 4" 600#</t>
  </si>
  <si>
    <t>BALL VALVE CS 4" 900#</t>
  </si>
  <si>
    <t>BALL VALVE CS 4" 1500#</t>
  </si>
  <si>
    <t>BALL VALVE HLSDV SS 3" 900#</t>
  </si>
  <si>
    <t>BALL VALVE HLSDV SS 4" 1500#</t>
  </si>
  <si>
    <t>BALL VALVE HLSDV SS 8" 600#</t>
  </si>
  <si>
    <t>DIB-1 BALL VALVE 2" 900#</t>
  </si>
  <si>
    <t>DB-BALL VALVE 2" 900#</t>
  </si>
  <si>
    <t>TOOLS</t>
  </si>
  <si>
    <t>BLASTING MATERIAL</t>
  </si>
  <si>
    <t>SUBTOTAL</t>
  </si>
  <si>
    <t>BASED ON PAINTING PROCEDURE</t>
  </si>
  <si>
    <t>PAINTING MATERIAL</t>
  </si>
  <si>
    <t>A1/A2</t>
  </si>
  <si>
    <t>MANUAL</t>
  </si>
  <si>
    <t>FLANGE READY</t>
  </si>
  <si>
    <t>①</t>
  </si>
  <si>
    <t>②</t>
  </si>
  <si>
    <t>③</t>
  </si>
  <si>
    <t>④</t>
  </si>
  <si>
    <t>⑤</t>
  </si>
  <si>
    <t>⑥</t>
  </si>
  <si>
    <t>⑦</t>
  </si>
  <si>
    <t>⑧</t>
  </si>
  <si>
    <t>⑨</t>
  </si>
  <si>
    <t>⑩</t>
  </si>
  <si>
    <t>⑪</t>
  </si>
  <si>
    <t>⑫</t>
  </si>
  <si>
    <t>⑬</t>
  </si>
  <si>
    <t>⑭</t>
  </si>
  <si>
    <t>⑮</t>
  </si>
  <si>
    <t>⑯</t>
  </si>
  <si>
    <t>⑰</t>
  </si>
  <si>
    <t>⑱</t>
  </si>
  <si>
    <t>⑲</t>
  </si>
  <si>
    <t>⑳</t>
  </si>
  <si>
    <t>② Measuring cup : 1 EA</t>
  </si>
  <si>
    <t>⑧ Cutter Knife Refill : 1 Pack</t>
  </si>
  <si>
    <t>④ Cloth gloves : 17 Set</t>
  </si>
  <si>
    <t>② Refill Sand Blasting @ 25kg : 10 Sack</t>
  </si>
  <si>
    <t>③ Nozzle Blasting : 1 EA</t>
  </si>
  <si>
    <t>⑨ Teriplek (Plywood) : 7 EA</t>
  </si>
  <si>
    <t>⑦ Lakban Kertas 2" (Paper Tape) 
: 250 EA</t>
  </si>
  <si>
    <t>⑥ Lakban Hitam 2" (Black Tape) : 350 EA</t>
  </si>
  <si>
    <t>⑤ Kain Majun (Duster) : 90 kg / 3 Sack</t>
  </si>
  <si>
    <t>③ Sealtape : 3 Pack</t>
  </si>
  <si>
    <t>① O-Ring NBR 90 (6mm) : 50 meter</t>
  </si>
  <si>
    <t xml:space="preserve">① Rotary oil : </t>
  </si>
  <si>
    <t>⑩ Amplas (Sandpaper) AA100 (1 Roll @ 50 meters) : 5 Roll</t>
  </si>
  <si>
    <t>① Kaca (Glass) 17,5x12 t=3mm : 25 Pcs</t>
  </si>
  <si>
    <t>② Burgari Chassis Greaset 15kg : 1 Pail</t>
  </si>
  <si>
    <t>④ Kawat / Mesh (u/ ayakan pasir) : 1 Roll</t>
  </si>
  <si>
    <t>July</t>
  </si>
  <si>
    <t>Update</t>
  </si>
  <si>
    <t xml:space="preserve">Desription </t>
  </si>
  <si>
    <t xml:space="preserve">Unit </t>
  </si>
  <si>
    <t xml:space="preserve">Safety Stock </t>
  </si>
  <si>
    <t xml:space="preserve">Actual Stock </t>
  </si>
  <si>
    <t>Sand Paper Grit CC 1500</t>
  </si>
  <si>
    <t>Ea</t>
  </si>
  <si>
    <t>Sand Paper Grit CC 1200CW</t>
  </si>
  <si>
    <t>Sand Paper Grit CC 120CW</t>
  </si>
  <si>
    <t>Sand Paper Grit CC 320CW</t>
  </si>
  <si>
    <t>Sand Paper Grit CC 400CW</t>
  </si>
  <si>
    <t>Sand Paper Laping Grit 100 (100x120 cm)</t>
  </si>
  <si>
    <t>Meter</t>
  </si>
  <si>
    <t>Flap Wheel Grinder (Sand Paper)</t>
  </si>
  <si>
    <t>Disc Grinder 4"</t>
  </si>
  <si>
    <t>Disc Grinder 6"</t>
  </si>
  <si>
    <t>Seal Tape 1/2"</t>
  </si>
  <si>
    <t>Kg</t>
  </si>
  <si>
    <t>Brush 2"</t>
  </si>
  <si>
    <t>Brush 1"</t>
  </si>
  <si>
    <t>OIL SAE 10W</t>
  </si>
  <si>
    <t>Liter</t>
  </si>
  <si>
    <t>Grease Burgari</t>
  </si>
  <si>
    <t>Mounted Wheel (Disc Ping colour)</t>
  </si>
  <si>
    <t>Fluks Welded (Boraks)</t>
  </si>
  <si>
    <t>Sachet</t>
  </si>
  <si>
    <t>Bronze Welding Rod</t>
  </si>
  <si>
    <t>Welding Rod LB-52 (3.2 MM)</t>
  </si>
  <si>
    <t>Welding Rod LB-52 (2.6 MM)</t>
  </si>
  <si>
    <t>Cutting Wheel 16"</t>
  </si>
  <si>
    <t>Grinding Stone 6"</t>
  </si>
  <si>
    <t xml:space="preserve">O Ring 6 mm NBR 90 </t>
  </si>
  <si>
    <t>O Ring 9 mm NBR 90</t>
  </si>
  <si>
    <t>Need to Purchase</t>
  </si>
  <si>
    <t>Prepared by</t>
  </si>
  <si>
    <t>Verify by</t>
  </si>
  <si>
    <t>Knowladge by</t>
  </si>
  <si>
    <t>JAYA SITOMPUL</t>
  </si>
  <si>
    <t>JUNAIDI</t>
  </si>
  <si>
    <t>Chairman</t>
  </si>
  <si>
    <t>WAREHOUSE DEPARTEMENT</t>
  </si>
  <si>
    <t>MONTH JUNE 2026</t>
  </si>
  <si>
    <t>Update ; 19 JUNE 2026</t>
  </si>
  <si>
    <t>COSUMABLE</t>
  </si>
  <si>
    <t>NO</t>
  </si>
  <si>
    <t>DESCRIPTION</t>
  </si>
  <si>
    <t>Unit</t>
  </si>
  <si>
    <t>STOCK AWAL BULAN</t>
  </si>
  <si>
    <t>INCOMING  FROM VENDOR</t>
  </si>
  <si>
    <t>TOTAL QTY IN</t>
  </si>
  <si>
    <t>OUT TO PRODUCTION</t>
  </si>
  <si>
    <t>FINAL STOCK</t>
  </si>
  <si>
    <t>DATE</t>
  </si>
  <si>
    <t>AMPLAS CC 1500</t>
  </si>
  <si>
    <t>Lembar</t>
  </si>
  <si>
    <t>Amplas CC1200CW</t>
  </si>
  <si>
    <t>AMPLAS CC120CW</t>
  </si>
  <si>
    <t>AMPLAS CC320CW</t>
  </si>
  <si>
    <t>Amplas CC400CW</t>
  </si>
  <si>
    <t>Amplas LAPING 100 (100X120cm)merah</t>
  </si>
  <si>
    <t>Amplas meteran AA 100 (1 ROL@50 METER)</t>
  </si>
  <si>
    <t>FLAP WHEEL DIE GRINDER 40X25</t>
  </si>
  <si>
    <t>BALL VALVE SEALANT #5050</t>
  </si>
  <si>
    <t>Batu gerinda 4" x 6mm FLEXYBLE</t>
  </si>
  <si>
    <t>Batu gerinda 4" x 6mm poles</t>
  </si>
  <si>
    <t>Batu gerinda 6" x 6mm poles</t>
  </si>
  <si>
    <t>Batu Gerinda potong (CUTTING WHEEL) 16"</t>
  </si>
  <si>
    <t>Batu Gerinda potong 4"</t>
  </si>
  <si>
    <t>Double tape 2"</t>
  </si>
  <si>
    <t>EQUA LUBE EIGHTY</t>
  </si>
  <si>
    <t>ETERNA LUBE 1000</t>
  </si>
  <si>
    <t>Kaca Blasting uk.17.5 X 12 CM</t>
  </si>
  <si>
    <t>Kawat las "DENKI" 304 ø3,2mm (5KG=136BTG)</t>
  </si>
  <si>
    <t>Kawat las "DENKI" 316 ø3,2mm (5KG=136BTG)</t>
  </si>
  <si>
    <t>Kawat las "DENKI" 410 ø3,2mm (5KG=136BTG)</t>
  </si>
  <si>
    <t>KAWAT LAS DENKI 308 3,2MM</t>
  </si>
  <si>
    <t>KAWAT LAS DENKI 308L 3,2MM</t>
  </si>
  <si>
    <t>Kawat las LB-52-3,2MM</t>
  </si>
  <si>
    <t>KUAS 1"</t>
  </si>
  <si>
    <t>0</t>
  </si>
  <si>
    <t>KUAS 2"</t>
  </si>
  <si>
    <t>Lakban kain (hitam) 2"</t>
  </si>
  <si>
    <t>LAKBAN KERTAS 2''</t>
  </si>
  <si>
    <t>MAJUN</t>
  </si>
  <si>
    <t>MOUNTED WHEEL 38A</t>
  </si>
  <si>
    <t>OLI SAE/TURALIK</t>
  </si>
  <si>
    <t>Plastik packing(strech film)</t>
  </si>
  <si>
    <t>Prussian Blue / Blue marking 80038</t>
  </si>
  <si>
    <t>Sarung tangan kain 5 benang</t>
  </si>
  <si>
    <t>Set</t>
  </si>
  <si>
    <t xml:space="preserve">SEAL TAPE 1/2" </t>
  </si>
  <si>
    <t>SUNTIKAN 10 ML</t>
  </si>
  <si>
    <t>SUNTIKAN 3 ML</t>
  </si>
  <si>
    <t>SUNTIKAN 5 ML</t>
  </si>
  <si>
    <t>TOTAL LUBE #911(catridge)</t>
  </si>
  <si>
    <t>MATA GERINDA POLES SS 4"</t>
  </si>
  <si>
    <t>GREASE ROTARY</t>
  </si>
  <si>
    <t>KACA BLASTING UK. 23X39 CM</t>
  </si>
  <si>
    <t>MOUNTED WHEEL KERUCUT</t>
  </si>
  <si>
    <t xml:space="preserve">MATA DRILL 2mm </t>
  </si>
  <si>
    <t>EA</t>
  </si>
  <si>
    <t>BUBBLE WRAP</t>
  </si>
  <si>
    <t>KAYU KASO 4X6</t>
  </si>
  <si>
    <t>PAKU 5MM</t>
  </si>
  <si>
    <t>PAKU 7MM</t>
  </si>
  <si>
    <t>PAKU 9MM</t>
  </si>
  <si>
    <t>NOTE;</t>
  </si>
  <si>
    <t>WAREHOUSE</t>
  </si>
  <si>
    <t>CHAIRMAN</t>
  </si>
  <si>
    <t>GRAND TOTAL</t>
  </si>
  <si>
    <t>Duct Tape 2" (Black)</t>
  </si>
  <si>
    <t>Paper Duct Tape 2" (White)</t>
  </si>
  <si>
    <t>Long Rag / Duster (Majun)</t>
  </si>
  <si>
    <t>Blasting Glass (Kaca blasting) uk. 23x39 cm</t>
  </si>
  <si>
    <t>Blasting Glass (Kaca blasting) uk. 17,5x12 cm t : 3mm</t>
  </si>
  <si>
    <t>Refill Cutter Knife (Isi ulang Pisau Cutter)</t>
  </si>
  <si>
    <t>Pack</t>
  </si>
  <si>
    <t>Gelas Takaran air (Water Measuring Cup) uk 500ml</t>
  </si>
  <si>
    <t>Pasir u/ Sandblasting merk steel greed GH25 (Refill Sand Blasting) @ 25kg</t>
  </si>
  <si>
    <t>Pasir u/ Sandblasting merk pin garnet (Refill Sand Blasting) @ 25kg</t>
  </si>
  <si>
    <t>Triplek (Plywood) t : 2mm</t>
  </si>
  <si>
    <t>Sand Paper AA 100 @ 1 Roll = 50 Meter</t>
  </si>
  <si>
    <t xml:space="preserve">TOOLS &amp; CONSUMABLE UPDATE STOCK PRODUCTION </t>
  </si>
  <si>
    <t>Kawat ayakan pasir (Sand Mesh) uk. 60</t>
  </si>
  <si>
    <t xml:space="preserve">BALL </t>
  </si>
  <si>
    <t>AB09F1TR-A10-SXP-GO</t>
  </si>
  <si>
    <t>ZPOL-33024430</t>
  </si>
  <si>
    <t>001/TR/AVI/0126</t>
  </si>
  <si>
    <t>CLASS</t>
  </si>
  <si>
    <t>1.HYDRO INSPECTION - SO 004 - 76 NO'S</t>
  </si>
  <si>
    <t>1.HYDRO INSPECTION - SO -010 - 11 NO'S</t>
  </si>
  <si>
    <t>1.HYDRO INSPECTION - SO 012 - 8 NO'S</t>
  </si>
  <si>
    <t>1.HYDRO INSPECTION - SO 013 - 7 NO'S</t>
  </si>
  <si>
    <t>1.HYDRO INSPECTION - SO 006 - 25 NO'S</t>
  </si>
  <si>
    <t>1.HYDRO INSPECTION - SO 005 - 2 NO'S</t>
  </si>
  <si>
    <t>2.FINAL INSPECTION - SO 001 - 29 NO'S</t>
  </si>
  <si>
    <t>2.FINAL INSPECTION - SO 005 - 2 NO'S</t>
  </si>
  <si>
    <t>2.FINAL INSPECTION - SO 006 - 25 NO'S</t>
  </si>
  <si>
    <t>3.SECOND &amp; TOP COAT - SO 004 - 76 NO'S</t>
  </si>
  <si>
    <t>3.SECOND &amp; TOP COAT - SO 005 - 2 NO'S</t>
  </si>
  <si>
    <t>3.SECOND &amp; TOP COAT - SO 010 - 11 NO'S</t>
  </si>
  <si>
    <t>3.SECOND &amp; TOP COAT - SO 012 - 8 NO'S</t>
  </si>
  <si>
    <t>2.BLASTING &amp; PRIMER - SO 004 - 76 NO'S</t>
  </si>
  <si>
    <t>2.BLASTING &amp; PRIMER - SO 005 - 2 NO'S</t>
  </si>
  <si>
    <t>2.BLASTING &amp; PRIMER - SO 006 - 25 NO'S</t>
  </si>
  <si>
    <t>2.BLASTING &amp; PRIMER - SO 010 - 11 NO'S</t>
  </si>
  <si>
    <t>2.BLASTING &amp; PRIMER - SO 012 - 8 NO'S</t>
  </si>
  <si>
    <t>1.HYDRO - SO 004 - 76 NO'S</t>
  </si>
  <si>
    <t>1.HYDRO - SO 010 - 11 NO'S</t>
  </si>
  <si>
    <t>1.HYDRO - SO 012 - 8 NO'S</t>
  </si>
  <si>
    <t>1.HYDRO - SO 005 - 2 NO'S</t>
  </si>
  <si>
    <t>1.HYDRO - SO 013 - 7 NO'S</t>
  </si>
  <si>
    <t>1.HYDRO - SO 006 - 25 NO'S</t>
  </si>
  <si>
    <t>150#</t>
  </si>
  <si>
    <t>800#</t>
  </si>
  <si>
    <t>300#</t>
  </si>
  <si>
    <t>REKIND</t>
  </si>
  <si>
    <t>SALES ORDER</t>
  </si>
  <si>
    <t>015 (2025)</t>
  </si>
  <si>
    <t>030 (2025) BATCH II</t>
  </si>
  <si>
    <t>004</t>
  </si>
  <si>
    <t>TYPE</t>
  </si>
  <si>
    <t>1.HYDRO - SO 030 (BATCH 2) - 54 NO'S</t>
  </si>
  <si>
    <t>1.HYDRO INSPECTION - SO 030 (BATCH 2) - 54 NO'S</t>
  </si>
  <si>
    <t>2.FINAL INSPECTION - SO 030 (BATCH 2) - 54 NO'S</t>
  </si>
  <si>
    <t>2.BLASTING &amp; PRIMER - SO 030 (BATCH 2) - 54 NO'S</t>
  </si>
  <si>
    <t>3.SECOND &amp; TOP COAT - SO 030 (BATCH 2) - 54 NO'S</t>
  </si>
  <si>
    <t>014/TR/AVI/0426</t>
  </si>
  <si>
    <t>009/1006/BSM/PO/PRB/III/26</t>
  </si>
  <si>
    <t>PT. BERJAYA SUKSES MAKMUR</t>
  </si>
  <si>
    <t>AB03F2TF-CF8-SSP-GO</t>
  </si>
  <si>
    <t>AB06F2TF-CF8-SSP-GO</t>
  </si>
  <si>
    <t>011</t>
  </si>
  <si>
    <t>002</t>
  </si>
  <si>
    <t>PP</t>
  </si>
  <si>
    <t>006</t>
  </si>
  <si>
    <t>010</t>
  </si>
  <si>
    <t>012</t>
  </si>
  <si>
    <t>013</t>
  </si>
  <si>
    <t>015</t>
  </si>
  <si>
    <t>ATA</t>
  </si>
  <si>
    <t>ATM</t>
  </si>
  <si>
    <t>JGC</t>
  </si>
  <si>
    <t>DEN</t>
  </si>
  <si>
    <t>AZY</t>
  </si>
  <si>
    <t>WKA</t>
  </si>
  <si>
    <t>014</t>
  </si>
  <si>
    <t>BSM</t>
  </si>
  <si>
    <t>600#</t>
  </si>
  <si>
    <t>900#</t>
  </si>
  <si>
    <t>1500#</t>
  </si>
  <si>
    <t>LIST JOB</t>
  </si>
  <si>
    <t>PROCESS / MACHINE CAPACITY</t>
  </si>
  <si>
    <t>INTERNAL HYDRO, BLASTING &amp; PAINTING</t>
  </si>
  <si>
    <t>SHIFT</t>
  </si>
  <si>
    <t>WEEKEND</t>
  </si>
  <si>
    <t>BLASTING &amp; PRIMER</t>
  </si>
  <si>
    <t>MACHINE / PROCESS</t>
  </si>
  <si>
    <t>PAINTING
(SECOND &amp; TOP COAT)</t>
  </si>
  <si>
    <t>3.SECOND &amp; TOP COAT - SO 006 - 25 NO'S</t>
  </si>
  <si>
    <t>DONE BATCH 1</t>
  </si>
  <si>
    <t>1.HYDRO - SO 015 (2025) - 57 NO'S</t>
  </si>
  <si>
    <t>2.BLASTING &amp; PRIMER - SO 015 (2025) - 57 NO'S</t>
  </si>
  <si>
    <t>3.SECOND &amp; TOP COAT - SO 015 (2025) - 57 NO'S</t>
  </si>
  <si>
    <t>1.HYDRO - SO 015 - 26 NO'S</t>
  </si>
  <si>
    <t>2.BLASTING &amp; PRIMER - SO 015 - 26 NO'S</t>
  </si>
  <si>
    <t>3.SECOND &amp; TOP COAT - SO 015 - 26 NO'S</t>
  </si>
  <si>
    <t>1.HYDRO INSPECTION - SO 015 - 26 NO'S</t>
  </si>
  <si>
    <t>2.FINAL INSPECTION - SO 015 - 26 NO'S</t>
  </si>
  <si>
    <t>1.HYDRO - SO 014 - 4 NO'S</t>
  </si>
  <si>
    <t>2.BLASTING &amp; PRIMER - SO 014 - 4 NO'S</t>
  </si>
  <si>
    <t>3.SECOND &amp; TOP COAT - SO 004 - 76 NO'S (10" First Priority)</t>
  </si>
  <si>
    <t>3.SECOND &amp; TOP COAT - SO 014 - 4 NO'S</t>
  </si>
  <si>
    <t>1.HYDRO INSPECTION - SO 004 - 76 NO'S (10% Witness) 10" First Priority</t>
  </si>
  <si>
    <t>1.HYDRO INSPECTION - SO 004 - 76 NO'S (10% Witness)</t>
  </si>
  <si>
    <t>1.HYDRO INSPECTION - SO 014 - 4 NO'S</t>
  </si>
  <si>
    <t>1.HYDRO INSPECTION - SO 015 (2025) - 57 NO'S</t>
  </si>
  <si>
    <t>2.FINAL INSPECTION - SO -010 - 11 NO'S</t>
  </si>
  <si>
    <t>2.FINAL INSPECTION - SO 012 - 8 NO'S</t>
  </si>
  <si>
    <t>2.FINAL INSPECTION - SO 013 - 7 NO'S</t>
  </si>
  <si>
    <t>2.FINAL INSPECTION - SO 014 - 4 NO'S</t>
  </si>
  <si>
    <t>2.FINAL INSPECTION - SO 015 (2025) - 57 NO'S</t>
  </si>
  <si>
    <t>AY01F-A10-6-RE</t>
  </si>
  <si>
    <t>AR03F-WCB-6-RE-DA</t>
  </si>
  <si>
    <t>AS01F-WCB-6-RE</t>
  </si>
  <si>
    <t>AR01F-WCB-6-RE-DA</t>
  </si>
  <si>
    <t>AS03F-WCB-6-RE</t>
  </si>
  <si>
    <t>AR01F-LCB-6-RE-DA</t>
  </si>
  <si>
    <t>AS01F-WCB-6-RE-DA</t>
  </si>
  <si>
    <t>TP.01.03/P.EPCC.TBN2.0043/II/2025</t>
  </si>
  <si>
    <t>007/TR/AVI/0226</t>
  </si>
  <si>
    <t>REGULAR</t>
  </si>
  <si>
    <t>BB-OS&amp;Y</t>
  </si>
  <si>
    <t>025/TR/AVI/0726</t>
  </si>
  <si>
    <t>TP.01.03/EPCC.GSPR.0237/AMDII/2025</t>
  </si>
  <si>
    <t>017/TR/AVI/0426</t>
  </si>
  <si>
    <t>PA01850426</t>
  </si>
  <si>
    <t>AG15FT-A10-HW-R2GB</t>
  </si>
  <si>
    <t>AC15FT-WCB-1CB</t>
  </si>
  <si>
    <t xml:space="preserve">FLOATING </t>
  </si>
  <si>
    <t>019/TR/AVI/0426</t>
  </si>
  <si>
    <t>067/PPB/Proc-CB III/IV/2026</t>
  </si>
  <si>
    <t>AL06FL-WCB-HW-1LB</t>
  </si>
  <si>
    <t>AB06F3TF-A10-SSR-LO</t>
  </si>
  <si>
    <t>AB03F2TF-WCB-SSR-GO</t>
  </si>
  <si>
    <t>AT03WF-WCB-R-A9-T01</t>
  </si>
  <si>
    <t>SW x NPT</t>
  </si>
  <si>
    <t>WAFER CHECK</t>
  </si>
  <si>
    <t>020/AVI/TR/0526</t>
  </si>
  <si>
    <t>1353/SPJB/SCM/PP/EPC/725001/IV/2026</t>
  </si>
  <si>
    <t>AB06F3TF-A10-SPD-GO</t>
  </si>
  <si>
    <t>AB06F2TF-WCB-SPD-LO</t>
  </si>
  <si>
    <t>AB06F2LF-A10-SFR-LO</t>
  </si>
  <si>
    <t>AB08F3LC-A10-SFR-LO</t>
  </si>
  <si>
    <t>AB01F2LF-WCB-SPR-LO</t>
  </si>
  <si>
    <t>AB06F2LF-WCB-SPR-LO</t>
  </si>
  <si>
    <t>AB06F2TF-WCB-SPR-GO</t>
  </si>
  <si>
    <t>AB06F3TF-A10-SPR-GO</t>
  </si>
  <si>
    <t>AB08F3LA-A10-SFR-LO</t>
  </si>
  <si>
    <t>AC06FL-WCB-1CB</t>
  </si>
  <si>
    <t>AL06FL-WCB-GO-1LB</t>
  </si>
  <si>
    <t>AG01FL-WCB-HW-R2GB</t>
  </si>
  <si>
    <t>AC01FL-A10-1CB</t>
  </si>
  <si>
    <t>018/TR/AVI/0426</t>
  </si>
  <si>
    <t>093/JKB/IV/2026</t>
  </si>
  <si>
    <t>PT. JASA KITA BERSAMA</t>
  </si>
  <si>
    <t>VALVE STOCK</t>
  </si>
  <si>
    <t>BALL 16" 150# ( 1 No's ) SO 002</t>
  </si>
  <si>
    <t>BALL 6" 150# ( 1 No's ) SO 002</t>
  </si>
  <si>
    <t>GATE 8" 150# ( 1 No's ) SO 002</t>
  </si>
  <si>
    <t>GATE 2" 150# ( 1 No's ) SO 004</t>
  </si>
  <si>
    <t>GLOBE 3" 150# ( 1 No's ) SO 004</t>
  </si>
  <si>
    <t>GATE 3" 150# ( 2 No's ) SO 004</t>
  </si>
  <si>
    <t>BUTTERFLY 4" 150# ( 2 No's ) SO 004</t>
  </si>
  <si>
    <t>CHECK 4" 150# ( 9 No's ) SO 004</t>
  </si>
  <si>
    <t>CHECK 6" 150# ( 4 No's ) SO 004</t>
  </si>
  <si>
    <t>GLOBE 6" 150# ( 1 No's ) SO 004</t>
  </si>
  <si>
    <t>CHECK 10" 150# ( 2 No's ) SO 004</t>
  </si>
  <si>
    <t>GATE 1-1/2" 150# ( 2 No's ) SO 004</t>
  </si>
  <si>
    <t>GATE 4" 150# ( 9 No's ) SO 004</t>
  </si>
  <si>
    <t>GATE 4" 150# ( 5 No's ) SO 004</t>
  </si>
  <si>
    <t>GATE 10" 150# ( 6 No's ) SO 004</t>
  </si>
  <si>
    <t>GATE 1/2" 150# ( 1 No's ) SO 004</t>
  </si>
  <si>
    <t>GATE 3/4" 150# ( 2 No's ) SO 004</t>
  </si>
  <si>
    <t>GATE 6" 150# ( 8 No's ) SO 004</t>
  </si>
  <si>
    <t>GATE 6" 150# ( 1 No's ) SO 004</t>
  </si>
  <si>
    <t>GATE 6" 150# ( 9 No's ) SO 004</t>
  </si>
  <si>
    <t>GATE 6" 150# ( 2 No's ) SO 004</t>
  </si>
  <si>
    <t>GATE 4" 150# ( 10 No's ) SO 004</t>
  </si>
  <si>
    <t>GATE 4" 150# ( 4 No's ) SO 004</t>
  </si>
  <si>
    <t>CHECK 4" 150# ( 7 No's ) SO 004</t>
  </si>
  <si>
    <t>GATE 6" 150# ( 10 No's ) SO 004</t>
  </si>
  <si>
    <t>CHECK 4" 150# ( 2 No's ) SO 004</t>
  </si>
  <si>
    <t>GATE 4" 150# ( 7 No's ) SO 004</t>
  </si>
  <si>
    <t>GATE 4" 150# ( 6 No's ) SO 004</t>
  </si>
  <si>
    <t>GATE 4" 150# ( 3 No's ) SO 004</t>
  </si>
  <si>
    <t>GATE 6" 150# ( 4 No's ) SO 004</t>
  </si>
  <si>
    <t>GATE 6" 150# ( 3 No's ) SO 004</t>
  </si>
  <si>
    <t>GATE 6" 150# ( 6 No's ) SO 004</t>
  </si>
  <si>
    <t>GATE 6" 150# ( 7 No's ) SO 004</t>
  </si>
  <si>
    <t>GATE 10" 150# ( 1 No's ) SO 006</t>
  </si>
  <si>
    <t>GATE 16" 150# ( 1 No's ) SO 006</t>
  </si>
  <si>
    <t>BALL 1/2" 800# ( 2 No's ) SO 006</t>
  </si>
  <si>
    <t>BALL 1/2" 800# ( 3 No's ) SO 006</t>
  </si>
  <si>
    <t>BALL 1-1/2" 150# ( 2 No's ) SO 006</t>
  </si>
  <si>
    <t>GATE 2" 150# ( 4 No's ) SO 006</t>
  </si>
  <si>
    <t>BALL 2" 150# ( 3 No's ) SO 006</t>
  </si>
  <si>
    <t>GATE 4" 150# ( 1 No's ) SO 006</t>
  </si>
  <si>
    <t>Y-STRAINER 4" 150# ( 2 No's ) SO 006</t>
  </si>
  <si>
    <t>GATE 6" 150# ( 2 No's ) SO 006</t>
  </si>
  <si>
    <t>Y-STRAINER 6" 150# ( 2 No's ) SO 006</t>
  </si>
  <si>
    <t>GATE 8" 150# ( 1 No's ) SO 006</t>
  </si>
  <si>
    <t>BALL 4" 150# ( 3 No's ) SO 010</t>
  </si>
  <si>
    <t>BALL 6" 150# ( 4 No's ) SO 010</t>
  </si>
  <si>
    <t>BALL 8" 150# ( 4 No's ) SO 010</t>
  </si>
  <si>
    <t>GATE 2'' 150# ( 23 No's ) SO 011</t>
  </si>
  <si>
    <t>CHECK 2'' 150# ( 6 No's ) SO 011</t>
  </si>
  <si>
    <t>CHECK 2'' 150# ( 3 No's ) SO 011</t>
  </si>
  <si>
    <t>GATE 2'' 150# ( 4 No's ) SO 011</t>
  </si>
  <si>
    <t>GATE 3'' 150# ( 2 No's ) SO 011</t>
  </si>
  <si>
    <t>GATE 4'' 150# ( 10 No's ) SO 011</t>
  </si>
  <si>
    <t>GATE 6'' 150# ( 2 No's ) SO 011</t>
  </si>
  <si>
    <t>CHECK 6'' 150# ( 1 No's ) SO 011</t>
  </si>
  <si>
    <t>GATE 8" 150# ( 1 No's ) SO 011</t>
  </si>
  <si>
    <t>GATE 8" 150# ( 3 No's ) SO 011</t>
  </si>
  <si>
    <t>CHECK 10'' 150# ( 1 No's ) SO 011</t>
  </si>
  <si>
    <t>DBB BALL 10'' 150# ( 2 No's ) SO 011</t>
  </si>
  <si>
    <t>GATE 10" 150# ( 13 No's ) SO 011</t>
  </si>
  <si>
    <t>CHECK 10" 150# ( 1 No's ) SO 011</t>
  </si>
  <si>
    <t>GATE 10" 150# ( 2 No's ) SO 011</t>
  </si>
  <si>
    <t>GATE 14" 150# ( 1 No's ) SO 011</t>
  </si>
  <si>
    <t>GATE 20" 150# ( 3 No's ) SO 011</t>
  </si>
  <si>
    <t>GATE 20" 150# ( 6 No's ) SO 011</t>
  </si>
  <si>
    <t>GATE 3/4" 150# ( 2 No's ) SO 011</t>
  </si>
  <si>
    <t>BALL 3/4'' 800# ( 20 No's ) SO 011</t>
  </si>
  <si>
    <t>GATE 3/4'' 800# ( 25 No's ) SO 011</t>
  </si>
  <si>
    <t>BALL 3/4'' 800# ( 4 No's ) SO 011</t>
  </si>
  <si>
    <t>BALL 3/4'' 800# ( 2 No's ) SO 011</t>
  </si>
  <si>
    <t>GATE 3/4'' 800# ( 2 No's ) SO 011</t>
  </si>
  <si>
    <t>BALL 3/4" 800# ( 4 No's ) SO 011</t>
  </si>
  <si>
    <t>GATE 3/4" 800# ( 2 No's ) SO 011</t>
  </si>
  <si>
    <t>DIB-2 4" 600# ( 3 No's ) SO 012</t>
  </si>
  <si>
    <t>DIB-2 4" 900# ( 2 No's ) SO 012</t>
  </si>
  <si>
    <t>DIB-2 4" 1500# ( 3 No's ) SO 012</t>
  </si>
  <si>
    <t>DIB-2 8" 600# ( 1 No's ) SO 013</t>
  </si>
  <si>
    <t>DIB-2 3" 900# ( 5 No's ) SO 013</t>
  </si>
  <si>
    <t>DIB-2 4" 1500# ( 1 No's ) SO 013</t>
  </si>
  <si>
    <t>BALL 8" 300# ( 2 No's ) SO 014</t>
  </si>
  <si>
    <t>BALL 8" 600# ( 2 No's ) SO 014</t>
  </si>
  <si>
    <t>GATE 3/4" 1500# ( 2 No's ) SO 015</t>
  </si>
  <si>
    <t>GATE 3/4" 600# ( 4 No's ) SO 015</t>
  </si>
  <si>
    <t>GATE 3/4" 300# ( 20 No's ) SO 015</t>
  </si>
  <si>
    <t>BALL 2" 150# ( 14 No's ) SO 015 (2025)</t>
  </si>
  <si>
    <t>BALL 3" 150# ( 7 No's ) SO 015 (2025)</t>
  </si>
  <si>
    <t>GATE 2" 150# ( 1 No's ) SO 015 (2025)</t>
  </si>
  <si>
    <t>BALL 3" 150# ( 3 No's ) SO 015 (2025)</t>
  </si>
  <si>
    <t>BALL 4" 150# ( 2 No's ) SO 015 (2025)</t>
  </si>
  <si>
    <t>CHECK 4" 150# ( 1 No's ) SO 015 (2025)</t>
  </si>
  <si>
    <t>BALL 10" 150# ( 2 No's ) SO 015 (2025)</t>
  </si>
  <si>
    <t>GATE 4" 150# ( 7 No's ) SO 015 (2025)</t>
  </si>
  <si>
    <t>GLOBE 4" 150# ( 2 No's ) SO 015 (2025)</t>
  </si>
  <si>
    <t>T-STRAINER 4" 150# ( 1 No's ) SO 015 (2025)</t>
  </si>
  <si>
    <t>GATE 4" 150# ( 1 No's ) SO 015 (2025)</t>
  </si>
  <si>
    <t>CHECK 6" 150# ( 2 No's ) SO 015 (2025)</t>
  </si>
  <si>
    <t>T-STRAINER 6" 150# ( 1 No's ) SO 015 (2025)</t>
  </si>
  <si>
    <t>BALL 6" 150# ( 4 No's ) SO 015 (2025)</t>
  </si>
  <si>
    <t>GLOBE 6" 150# ( 3 No's ) SO 015 (2025)</t>
  </si>
  <si>
    <t>GATE 6" 150# ( 6 No's ) SO 015 (2025)</t>
  </si>
  <si>
    <t>BALL 2" 150# ( 11 No's ) SO 015 (2025)</t>
  </si>
  <si>
    <t>BALL 2" 150# ( 3 No's ) SO 015 (2025)</t>
  </si>
  <si>
    <t>BALL 2" 150# ( 7 No's ) SO 015 (2025)</t>
  </si>
  <si>
    <t>BALL 1/2" 800# ( 12 No's ) SO 015 (2025)</t>
  </si>
  <si>
    <t>BALL 3/4" 800# ( 4 No's ) SO 015 (2025)</t>
  </si>
  <si>
    <t>BALL 3/4" 800# ( 15 No's ) SO 015 (2025)</t>
  </si>
  <si>
    <t>BALL 3/4" 800# ( 19 No's ) SO 015 (2025)</t>
  </si>
  <si>
    <t>BALL 1/2" 800# ( 7 No's ) SO 015 (2025)</t>
  </si>
  <si>
    <t>BALL 1/2" 800# ( 5 No's ) SO 015 (2025)</t>
  </si>
  <si>
    <t>BALL 3/4" 800# ( 7 No's ) SO 015 (2025)</t>
  </si>
  <si>
    <t>BALL 3/4" 800# ( 6 No's ) SO 015 (2025)</t>
  </si>
  <si>
    <t>GATE 10" 150# ( 5 No's ) SO 030 (2025) BATCH II</t>
  </si>
  <si>
    <t>CHECK 10" 150# ( 1 No's ) SO 030 (2025) BATCH II</t>
  </si>
  <si>
    <t>CHECK 10" 300# ( 1 No's ) SO 030 (2025) BATCH II</t>
  </si>
  <si>
    <t>GATE 10" 150# ( 1 No's ) SO 030 (2025) BATCH II</t>
  </si>
  <si>
    <t>CHECK 3" 300# ( 1 No's ) SO 030 (2025) BATCH II</t>
  </si>
  <si>
    <t>GATE 10" 150# ( 4 No's ) SO 030 (2025) BATCH II</t>
  </si>
  <si>
    <t>BALL 12" 150# ( 1 No's ) SO 030 (2025) BATCH II</t>
  </si>
  <si>
    <t>GATE 12" 150# ( 2 No's ) SO 030 (2025) BATCH II</t>
  </si>
  <si>
    <t>CHECK 2" 150# ( 4 No's ) SO 030 (2025) BATCH II</t>
  </si>
  <si>
    <t>GATE 2" 150# ( 3 No's ) SO 030 (2025) BATCH II</t>
  </si>
  <si>
    <t>GATE 2" 150# ( 7 No's ) SO 030 (2025) BATCH II</t>
  </si>
  <si>
    <t>CHECK 16" 150# ( 2 No's ) SO 030 (2025) BATCH II</t>
  </si>
  <si>
    <t>GATE 16" 150# ( 2 No's ) SO 030 (2025) BATCH II</t>
  </si>
  <si>
    <t>CHECK 16" 150# ( 1 No's ) SO 030 (2025) BATCH II</t>
  </si>
  <si>
    <t>GATE 16" 150# ( 4 No's ) SO 030 (2025) BATCH II</t>
  </si>
  <si>
    <t>GATE 3" 150# ( 5 No's ) SO 030 (2025) BATCH II</t>
  </si>
  <si>
    <t>GLOBE 4" 300# ( 1 No's ) SO 030 (2025) BATCH II</t>
  </si>
  <si>
    <t>GATE 4" 150# ( 3 No's ) SO 030 (2025) BATCH II</t>
  </si>
  <si>
    <t>GATE 6" 150# ( 2 No's ) SO 030 (2025) BATCH II</t>
  </si>
  <si>
    <t>GATE 8" 150# ( 1 No's ) SO 030 (2025) BATCH II</t>
  </si>
  <si>
    <t>Duration (Minute)</t>
  </si>
  <si>
    <t xml:space="preserve">Type </t>
  </si>
  <si>
    <t>Size (Inch)</t>
  </si>
  <si>
    <t xml:space="preserve">Class </t>
  </si>
  <si>
    <t xml:space="preserve">Testing </t>
  </si>
  <si>
    <t xml:space="preserve">Blasting </t>
  </si>
  <si>
    <t xml:space="preserve">Painting </t>
  </si>
  <si>
    <t>Total (1/Hours)</t>
  </si>
  <si>
    <t>Total (1/Minute)</t>
  </si>
  <si>
    <t xml:space="preserve">Input QTY </t>
  </si>
  <si>
    <t xml:space="preserve">Total Duration </t>
  </si>
  <si>
    <t xml:space="preserve">Primer Coat </t>
  </si>
  <si>
    <t>Dry (Day)</t>
  </si>
  <si>
    <t xml:space="preserve">2nd Coat </t>
  </si>
  <si>
    <t>Top Coat</t>
  </si>
  <si>
    <t xml:space="preserve">Jam </t>
  </si>
  <si>
    <t xml:space="preserve">Hari </t>
  </si>
  <si>
    <t xml:space="preserve">Ball Valve </t>
  </si>
  <si>
    <t>1/2" - 1"</t>
  </si>
  <si>
    <t>1 1/2"</t>
  </si>
  <si>
    <t>2" - 3"</t>
  </si>
  <si>
    <t>26"</t>
  </si>
  <si>
    <t>28"</t>
  </si>
  <si>
    <t>30"</t>
  </si>
  <si>
    <t>32"</t>
  </si>
  <si>
    <t xml:space="preserve">Gate Valve </t>
  </si>
  <si>
    <t xml:space="preserve">2" </t>
  </si>
  <si>
    <t xml:space="preserve"> BALL </t>
  </si>
  <si>
    <t xml:space="preserve">Globe Valve </t>
  </si>
  <si>
    <t xml:space="preserve">Check Valve </t>
  </si>
  <si>
    <t xml:space="preserve"> Basket Strainer </t>
  </si>
  <si>
    <t xml:space="preserve">Basket Strainer </t>
  </si>
  <si>
    <t xml:space="preserve"> Y Strainer </t>
  </si>
  <si>
    <t xml:space="preserve">Y Strainer </t>
  </si>
  <si>
    <t>Semua</t>
  </si>
  <si>
    <t>Logistik &amp; Gudang</t>
  </si>
  <si>
    <t>Minggu 16 (2026)</t>
  </si>
  <si>
    <t>Quality &amp; Testing</t>
  </si>
  <si>
    <t>Minggu 17 (2026)</t>
  </si>
  <si>
    <t>Produksi</t>
  </si>
  <si>
    <t>Minggu 21 (2026)</t>
  </si>
  <si>
    <t>Painting &amp; Blasting</t>
  </si>
  <si>
    <t>Minggu 22 (2026)</t>
  </si>
  <si>
    <t>SO. 001/TR/AVI/0126</t>
  </si>
  <si>
    <t>Packing &amp; Delivery</t>
  </si>
  <si>
    <t>Minggu 23 (2026)</t>
  </si>
  <si>
    <t>Minggu 24 (2026)</t>
  </si>
  <si>
    <t>Minggu 25 (2026)</t>
  </si>
  <si>
    <t>Minggu 26 (2026)</t>
  </si>
  <si>
    <t>Minggu 27 (2026)</t>
  </si>
  <si>
    <t>Minggu 28 (2026)</t>
  </si>
  <si>
    <t>Minggu 29 (2026)</t>
  </si>
  <si>
    <t>Minggu 35 (2026)</t>
  </si>
  <si>
    <t>Minggu 36 (2026)</t>
  </si>
  <si>
    <t>Minggu 37 (2026)</t>
  </si>
  <si>
    <t>Minggu 38 (2026)</t>
  </si>
  <si>
    <t>Minggu 39 (2026)</t>
  </si>
  <si>
    <t>Minggu 41 (2026)</t>
  </si>
  <si>
    <t>Minggu 42 (2026)</t>
  </si>
  <si>
    <t>Minggu 43 (2026)</t>
  </si>
  <si>
    <t>Minggu 44 (2026)</t>
  </si>
  <si>
    <t>Minggu 45 (2026)</t>
  </si>
  <si>
    <t>FILTER</t>
  </si>
  <si>
    <t>Departemen:</t>
  </si>
  <si>
    <t>SO. 020/TR/AVI/0526</t>
  </si>
  <si>
    <t>RINGKASAN SESUAI FILTER</t>
  </si>
  <si>
    <t>No</t>
  </si>
  <si>
    <t>SO NO (Proyek)</t>
  </si>
  <si>
    <t>Proses</t>
  </si>
  <si>
    <t>Departemen</t>
  </si>
  <si>
    <t>Tanggal Plan</t>
  </si>
  <si>
    <t>Tanggal Actual</t>
  </si>
  <si>
    <t>Variance (Hari)</t>
  </si>
  <si>
    <t>Minggu (Angka)</t>
  </si>
  <si>
    <t>Label Minggu</t>
  </si>
  <si>
    <t>Flag Selesai</t>
  </si>
  <si>
    <t>Flag Selesai Tepat Waktu</t>
  </si>
  <si>
    <t>Flag Selesai Terlambat</t>
  </si>
  <si>
    <t>Flag Belum Mulai</t>
  </si>
  <si>
    <t>Flag Overdue Belum Mulai</t>
  </si>
  <si>
    <t>Variance Numerik</t>
  </si>
  <si>
    <t>Jadwal Kedatangan Material (Logistic Schedule)</t>
  </si>
  <si>
    <t>Incoming Check</t>
  </si>
  <si>
    <t>Incoming Inspection</t>
  </si>
  <si>
    <t>Hydrotest</t>
  </si>
  <si>
    <t>FAT - TPI</t>
  </si>
  <si>
    <t>Marking SN</t>
  </si>
  <si>
    <t>Blasting</t>
  </si>
  <si>
    <t>Painting Primer Coat</t>
  </si>
  <si>
    <t>Painting 2nd Coat</t>
  </si>
  <si>
    <t>Painting Top Coat</t>
  </si>
  <si>
    <t>Name Plate</t>
  </si>
  <si>
    <t>Final Inspection</t>
  </si>
  <si>
    <t>Packing</t>
  </si>
  <si>
    <t>Delivery</t>
  </si>
  <si>
    <t>VARIANCE PER DEPARTEMEN</t>
  </si>
  <si>
    <t>Overdue</t>
  </si>
  <si>
    <t>PROGRESS PER PROYEK (SO)</t>
  </si>
  <si>
    <t>SO NO</t>
  </si>
  <si>
    <t>% Progress</t>
  </si>
  <si>
    <t>CATATAN &amp; ASUMSI</t>
  </si>
  <si>
    <t>• Pemetaan 'Departemen' (Logistik &amp; Gudang / Quality &amp; Testing / Produksi / Painting &amp; Blasting / Packing &amp; Delivery) adalah pengelompokan asumsi dari 14 tahap proses di sheet PLAN PRODUCTION — silakan sesuaikan di kolom E sheet 'Variance Data' bila perlu.</t>
  </si>
  <si>
    <t>• Status 'Overdue' berarti Tanggal Plan sudah lewat namun Tanggal Actual masih kosong (dihitung terhadap tanggal hari ini/TODAY()).</t>
  </si>
  <si>
    <t>• Variance (Hari) = Tanggal Actual − Tanggal Plan untuk proses yang sudah selesai; untuk proses overdue yang belum selesai, ditampilkan sebagai jumlah hari keterlambatan berjalan.</t>
  </si>
  <si>
    <t>• Ditemukan 2 tanggal plan yang kemungkinan salah ketik di sheet PLAN PRODUCTION: SO. 001/TR/AVI/0126 - Packing (kolom AE) tertulis 05-Jun-1936, dan SO. 010/TR/AVI/0326 - Marking SN (kolom Q) tertulis 10-Jun-2012. Kedua baris ini dikecualikan dari daftar filter Minggu; disarankan diperbaiki langsung di sheet PLAN PRODUCTION.</t>
  </si>
  <si>
    <t>• Semua angka pada dashboard ini adalah formula yang otomatis mengikuti data di sheet 'PLAN PRODUCTION' dan filter dropdown di atas.</t>
  </si>
  <si>
    <t>VARIANCE DASHBOARD — PLAN VS ACTUAL PRODUCTION VALVE</t>
  </si>
  <si>
    <r>
      <rPr>
        <sz val="9"/>
        <color rgb="FF595959"/>
        <rFont val="Arial"/>
        <family val="2"/>
      </rPr>
      <t>Data ditarik otomatis (formula) dari sheet 'PLAN PRODUCTION' melalui 'Variance Data'. Ubah dropdown di bawah untuk memfilter.</t>
    </r>
    <r>
      <rPr>
        <i/>
        <sz val="9"/>
        <color rgb="FF595959"/>
        <rFont val="Arial"/>
        <family val="2"/>
      </rPr>
      <t xml:space="preserve">
</t>
    </r>
    <r>
      <rPr>
        <b/>
        <i/>
        <sz val="9"/>
        <color rgb="FF595959"/>
        <rFont val="Arial"/>
        <family val="2"/>
      </rPr>
      <t>"Data is automatically pulled (formula) from the 'PRODUCTION PLAN' sheet via 'Variance Data'. Change the dropdown below to filter.</t>
    </r>
    <r>
      <rPr>
        <i/>
        <sz val="9"/>
        <color rgb="FF595959"/>
        <rFont val="Arial"/>
        <family val="2"/>
      </rPr>
      <t>"</t>
    </r>
  </si>
  <si>
    <t>Total Process Lines (SO x Process)</t>
  </si>
  <si>
    <t>Done - On Time/Ahead</t>
  </si>
  <si>
    <t>Project Number (SO):</t>
  </si>
  <si>
    <t>Week (Plan Date):</t>
  </si>
  <si>
    <t>Finished - Late</t>
  </si>
  <si>
    <t>Not Finished - On Schedule</t>
  </si>
  <si>
    <t>Not Finished - Overdue</t>
  </si>
  <si>
    <t>Average Variance (days) — Completed only</t>
  </si>
  <si>
    <t>% Processes Completed On Time (of Completed)</t>
  </si>
  <si>
    <t>Total Process</t>
  </si>
  <si>
    <t>Finished on Time</t>
  </si>
  <si>
    <t>Finished Late</t>
  </si>
  <si>
    <t>Not started yet</t>
  </si>
  <si>
    <t>Average Variance (days)</t>
  </si>
  <si>
    <t>Late</t>
  </si>
  <si>
    <t>Done</t>
  </si>
  <si>
    <t>Logistics &amp; Warehouse</t>
  </si>
  <si>
    <t>Production</t>
  </si>
  <si>
    <t>Weeks</t>
  </si>
  <si>
    <t>VARIANCE PER WEEK (based on Plan Date)</t>
  </si>
  <si>
    <t>• The 'Department' mapping (Logistics &amp; Warehouse / Quality &amp; Testing / Production / Painting &amp; Blasting / Packing &amp; Delivery) is a grouping of assumptions from the 14 process stages in the PLAN PRODUCTION sheet — please adjust in column E of the 'Variance Data' sheet if necessary.</t>
  </si>
  <si>
    <t>• The status 'Overdue' means that the Plan Date has passed but the Actual Date is still blank (calculated against today's date/TODAY()).</t>
  </si>
  <si>
    <t>• Two possible typos were found in the PLAN PRODUCTION sheet: SO. 001/TR/AVI/0126 - Packing (column AE) is written as 05-Jun-1936, and SO. 010/TR/AVI/0326 - Marking SN (column Q) is written as 10-Jun-2012. These two lines are excluded from the Week filter list; it is recommended to correct them directly in the PLAN PRODUCTION sheet.</t>
  </si>
  <si>
    <t>• All numbers on this dashboard are formulas that automatically follow the data in the 'PLAN PRODUCTION' sheet and the dropdown filter above.</t>
  </si>
  <si>
    <t>⬅ Kembali ke Dashboard</t>
  </si>
  <si>
    <t>Type Valve</t>
  </si>
  <si>
    <t>Sub-Tipe</t>
  </si>
  <si>
    <t>Class (ANSI)</t>
  </si>
  <si>
    <t>Testing (menit)</t>
  </si>
  <si>
    <t>Blasting (menit)</t>
  </si>
  <si>
    <t>Painting Aktif (menit)</t>
  </si>
  <si>
    <t>Total Proses (menit)</t>
  </si>
  <si>
    <t>Setup/Persiapan (menit)</t>
  </si>
  <si>
    <t>Total incl. Setup (menit)</t>
  </si>
  <si>
    <t>Total (Jam)</t>
  </si>
  <si>
    <t>Sumber Data</t>
  </si>
  <si>
    <t>BALL VALVES</t>
  </si>
  <si>
    <t>Ball Valve</t>
  </si>
  <si>
    <t>Aktual</t>
  </si>
  <si>
    <t>Estimasi (Interpolasi Linear)</t>
  </si>
  <si>
    <t>Estimasi (Ekstrapolasi Linear)</t>
  </si>
  <si>
    <t>GATE VALVES</t>
  </si>
  <si>
    <t>Gate Valve</t>
  </si>
  <si>
    <t>GLOBE VALVES</t>
  </si>
  <si>
    <t>Globe Valve</t>
  </si>
  <si>
    <t>CHECK VALVES</t>
  </si>
  <si>
    <t>Check Valve</t>
  </si>
  <si>
    <t>Estimasi (mengikuti kelas 150, data terbatas)</t>
  </si>
  <si>
    <t>BUTTERFLY VALVES</t>
  </si>
  <si>
    <t>Butterfly Valves</t>
  </si>
  <si>
    <t>Estimasi Kasar (analogi Ball Valve x0.75 - TANPA DATA DASAR, WAJIB VALIDASI)</t>
  </si>
  <si>
    <t>PLUG VALVES</t>
  </si>
  <si>
    <t>Plug Valves</t>
  </si>
  <si>
    <t>Estimasi Kasar (analogi Ball Valve x0.9 - TANPA DATA DASAR, WAJIB VALIDASI)</t>
  </si>
  <si>
    <t>STRAINER</t>
  </si>
  <si>
    <t>Basket Strainer</t>
  </si>
  <si>
    <t>Y Strainer</t>
  </si>
  <si>
    <t>REKAP ESTIMASI WAKTU PENGERJAAN PER SALES ORDER</t>
  </si>
  <si>
    <t>Customer</t>
  </si>
  <si>
    <t>Jumlah Item (baris)</t>
  </si>
  <si>
    <t>Total QTY (pcs)</t>
  </si>
  <si>
    <t>Total Estimasi Durasi (Menit)</t>
  </si>
  <si>
    <t>Total Estimasi Durasi (Jam)</t>
  </si>
  <si>
    <t>Total Estimasi Durasi (Hari, 8 jam/hari)</t>
  </si>
  <si>
    <t>TOTAL KESELURUHAN</t>
  </si>
  <si>
    <t>DETAIL PER ITEM VALVE (per Sales Order)</t>
  </si>
  <si>
    <t>Deskripsi Valve</t>
  </si>
  <si>
    <t>Kategori</t>
  </si>
  <si>
    <t>Size (bucket)</t>
  </si>
  <si>
    <t>Qty (pcs)</t>
  </si>
  <si>
    <t>Durasi/Unit incl. Setup (menit)</t>
  </si>
  <si>
    <t>Total Durasi (menit)</t>
  </si>
  <si>
    <t>Total Durasi (jam)</t>
  </si>
  <si>
    <t>BALL VALVE 10" 150# RF, TRUNNION, A216</t>
  </si>
  <si>
    <t>BALL VALVE 6" 150# RF, TRUNNION, A216</t>
  </si>
  <si>
    <t>BALL VALVE 4" 150# RF, FLOATING, A216</t>
  </si>
  <si>
    <t>BALL VALVE 3" 150# RF, FLOATING, A216</t>
  </si>
  <si>
    <t>BALL VALVE 2" 150# RF, FLOATING, A216</t>
  </si>
  <si>
    <t>BALL VALVE 3/4" 800# SW, FLOATING, A105</t>
  </si>
  <si>
    <t>BALL VALVE 1/2" 800# SW, FLOATING, A105</t>
  </si>
  <si>
    <t>GATE VALVE 6" 150# RF, BB-OS&amp;Y, A216</t>
  </si>
  <si>
    <t>GATE VALVE 4" 150# RF, BB-OS&amp;Y, A216</t>
  </si>
  <si>
    <t>GATE VALVE 2" 150# RF, BB-OS&amp;Y, A216</t>
  </si>
  <si>
    <t>GLOBE VALVE 6" 150# RF, BB-OS&amp;Y, A216</t>
  </si>
  <si>
    <t>GLOBE VALVE 4" 150# RF, BB-OS&amp;Y, A216</t>
  </si>
  <si>
    <t>CHECK VALVE 6" 150# RF, BOLTED CAP, A216</t>
  </si>
  <si>
    <t>CHECK VALVE 4" 150# RF, BOLTED CAP, A216</t>
  </si>
  <si>
    <t>T-STRAINER VALVE 6" 150# RF, REGULAR, A216</t>
  </si>
  <si>
    <t>T-STRAINER VALVE 4" 150# RF, REGULAR, A216</t>
  </si>
  <si>
    <t>GATE VALVE 1" 800# SW, BB-OS&amp;Y, A105</t>
  </si>
  <si>
    <t>BALL VALVE 3/4" 800# SW, FLOATING, A182</t>
  </si>
  <si>
    <t>GATE VALVE 1" 800# SW, BB-OS&amp;Y, A182</t>
  </si>
  <si>
    <t>CHECK VALVE 12" 150# RF, BOLTED CAP, A351</t>
  </si>
  <si>
    <t>BALL VALVE 1" 800# SW, FLOATING, A105</t>
  </si>
  <si>
    <t>BALL VALVE 2" 300# RF, FLOATING, A216</t>
  </si>
  <si>
    <t>BALL VALVE 3" 300# RF, FLOATING, A216</t>
  </si>
  <si>
    <t>BALL VALVE 4" 300# RF, FLOATING, A216</t>
  </si>
  <si>
    <t>BALL VALVE 10" 300# RF, TRUNNION, A216</t>
  </si>
  <si>
    <t>GATE VALVE 2" 800# SW, BB-OS&amp;Y, A105</t>
  </si>
  <si>
    <t>CHECK VALVE 10" 150# RF, BOLTED CAP, A216</t>
  </si>
  <si>
    <t>GATE VALVE 10" 150# RF, BB-OS&amp;Y, A216</t>
  </si>
  <si>
    <t>CHECK VALVE 16" 150# RF, BOLTED CAP, A216</t>
  </si>
  <si>
    <t>GATE VALVE 16" 150# RF, BB-OS&amp;Y, A216</t>
  </si>
  <si>
    <t>BALL VALVE 12" 150# RF, TRUNNION, A216</t>
  </si>
  <si>
    <t>GATE VALVE 12" 150# RF, BB-OS&amp;Y, A216</t>
  </si>
  <si>
    <t>CHECK VALVE 2" 150# RF, BOLTED CAP, A351</t>
  </si>
  <si>
    <t>GATE VALVE 2" 150# RF, BB-OS&amp;Y, A351</t>
  </si>
  <si>
    <t>GATE VALVE 3" 150# RF, BB-OS&amp;Y, A351</t>
  </si>
  <si>
    <t>GATE VALVE 12" 150# RF, BB-OS&amp;Y, A351</t>
  </si>
  <si>
    <t>CHECK VALVE 3" 300# RF, BOLTED CAP, A216</t>
  </si>
  <si>
    <t>GLOBE VALVE 4" 300# RF, BB-OS&amp;Y, A216</t>
  </si>
  <si>
    <t>CHECK VALVE 10" 300# RF, BOLTED CAP, A216</t>
  </si>
  <si>
    <t>GATE VALVE 8" 150# RF, BB-OS&amp;Y, A216</t>
  </si>
  <si>
    <t>GATE VALVE 1" 150# RF, BB-OS&amp;Y, A182</t>
  </si>
  <si>
    <t>GATE VALVE 1/2" 800# SW, BB-OS&amp;Y, A182</t>
  </si>
  <si>
    <t>CHECK VALVE 1/2" 800# SW, BOLTED CAP, A182</t>
  </si>
  <si>
    <t>Y-STRAINER VALVE 1/2" 800# SW, REGULAR, A182</t>
  </si>
  <si>
    <t>GATE VALVE 1" 800# SW, BB-OS&amp;Y, A105N</t>
  </si>
  <si>
    <t>GATE VALVE 1/2" 800# SW, BB-OS&amp;Y, A105N</t>
  </si>
  <si>
    <t>CHECK VALVE 1/2" 800# SW, BOLTED CAP, A105N</t>
  </si>
  <si>
    <t>Y-STRAINER VALVE 1/2" 800# SW, REGULAR, A105N</t>
  </si>
  <si>
    <t>GATE VALVE 6'' 150# RF, BB-OS&amp;Y, A216</t>
  </si>
  <si>
    <t>GATE VALVE 20" 150# RF, BB-OS&amp;Y, A216</t>
  </si>
  <si>
    <t>BALL VALVE 3/4'' 800# SW, FLOATING, A105</t>
  </si>
  <si>
    <t>GATE VALVE 3/4'' 800# SW, BB-OS&amp;Y, A105</t>
  </si>
  <si>
    <t>GATE VALVE 2'' 150# RF, BB-OS&amp;Y, A216</t>
  </si>
  <si>
    <t>GATE VALVE 3'' 150# RF, BB-OS&amp;Y, A216</t>
  </si>
  <si>
    <t>GATE VALVE 4'' 150# RF, BB-OS&amp;Y, A216</t>
  </si>
  <si>
    <t>CHECK VALVE 2'' 150# RF, BOLTED CAP, A216</t>
  </si>
  <si>
    <t>CHECK VALVE 6'' 150# RF, BOLTED CAP, A216</t>
  </si>
  <si>
    <t>CHECK VALVE 10'' 150# RF, BOLTED CAP, A216</t>
  </si>
  <si>
    <t>DBB BALL VALVE 10'' 150# RF, TRUNNION, A216</t>
  </si>
  <si>
    <t>CHECK VALVE 2'' 150# RF, BOLTED CAP, A351</t>
  </si>
  <si>
    <t>BALL VALVE 3/4'' 800# SW, FLOATING, A182</t>
  </si>
  <si>
    <t>BALL VALVE 3/4" 800# SW, FLOATING, B148</t>
  </si>
  <si>
    <t>CHECK VALVE 10" 150# RF, BOLTED CAP, B148</t>
  </si>
  <si>
    <t>GATE VALVE 3/4'' 800# SW, BB-OS&amp;Y, A182</t>
  </si>
  <si>
    <t>GATE VALVE 3/4" 800# SW, BB-OS&amp;Y, A182</t>
  </si>
  <si>
    <t>GATE VALVE 8" 150# FF, BB-OS&amp;Y, B148</t>
  </si>
  <si>
    <t>GATE VALVE 10" 150# RF, BB-OS&amp;Y, B148</t>
  </si>
  <si>
    <t>GATE VALVE 14" 150# RF, BB-OS&amp;Y, A216</t>
  </si>
  <si>
    <t>GATE VALVE 2'' 150# RF, BB-OS&amp;Y, A351</t>
  </si>
  <si>
    <t>GATE VALVE 3/4" 150# FF, BB-OS&amp;Y, B148</t>
  </si>
  <si>
    <t>BALL VALVE 6" 150# RF, TRUNNION, A105N</t>
  </si>
  <si>
    <t>BALL VALVE 16" 150# RF, TRUNNION, A216</t>
  </si>
  <si>
    <t>GATE VALVE 3" 150# RF, BB-OS&amp;Y, A216</t>
  </si>
  <si>
    <t>GLOBE VALVE 3" 150# RF, BB-OS&amp;Y, A216</t>
  </si>
  <si>
    <t>GATE VALVE 1/2" 150# NPT, BB-OS&amp;Y, B148</t>
  </si>
  <si>
    <t>GATE VALVE 3/4" 150# NPT, BB-OS&amp;Y, B148</t>
  </si>
  <si>
    <t>GATE VALVE 1-1/2" 150# NPT, BB-OS&amp;Y, B148</t>
  </si>
  <si>
    <t>GATE VALVE 2" 150# NPT, BB-OS&amp;Y, B148</t>
  </si>
  <si>
    <t>BUTTERFLY VALVE 4" 150# RF, WAFER TYPE, A216</t>
  </si>
  <si>
    <t>BALL VALVE 24" 150# RF, CARBON STEEL, A105</t>
  </si>
  <si>
    <t>BALL VALVE 1-1/2" 150# RF, FLOATING, A105N</t>
  </si>
  <si>
    <t>BALL VALVE 2" 150# RF, FLOATING, A105N</t>
  </si>
  <si>
    <t>BALL VALVE 1/2" 800# SW, FLOATING, A105N</t>
  </si>
  <si>
    <t>Y-STRAINER VALVE 4" 150# RF, REGULAR, A216</t>
  </si>
  <si>
    <t>Y-STRAINER VALVE 6" 150# RF, REGULAR, A216</t>
  </si>
  <si>
    <t>BALL VALVE 8" 150# RF, TRUNNION, A105N</t>
  </si>
  <si>
    <t>BALL VALVE 4" 150# RF, TRUNNION, A105N</t>
  </si>
  <si>
    <t>BALL VALVE 4" 600# RF, TRUNNION, A105N</t>
  </si>
  <si>
    <t>BALL VALVE 4" 900# RF, TRUNNION, A105N</t>
  </si>
  <si>
    <t>BALL VALVE 4" 1500# RTJ, TRUNNION, A105N</t>
  </si>
  <si>
    <t>BALL VALVE 3" 900# RF, TRUNNION, A182</t>
  </si>
  <si>
    <t>BALL VALVE 4" 1500# RTJ, TRUNNION, A182</t>
  </si>
  <si>
    <t>BALL VALVE 8" 600# RF, TRUNNION, A182</t>
  </si>
  <si>
    <t>GATE VALVE 3/4" 1500# RTJ, BB-OS&amp;Y, A105N</t>
  </si>
  <si>
    <t>GATE VALVE 3/4" 300# RF, BB-OS&amp;Y, A105N</t>
  </si>
  <si>
    <t>GATE VALVE 3/4" 600# RF, BB-OS&amp;Y, A105N</t>
  </si>
  <si>
    <t>BALL VALVE 2" 900# RTJ, TRUNNION, A105N</t>
  </si>
  <si>
    <t>DB-BALL VALVE 2" 900# RTJ X NPT, FLOATING , A105N</t>
  </si>
  <si>
    <t>BALL VALVE 3" 900# RTJ, TRUNNION, A105N</t>
  </si>
  <si>
    <t>BALL VALVE 8" 300# RF, TRUNNION, A351</t>
  </si>
  <si>
    <t>BALL VALVE 8" 600# RF, TRUNNION, A351</t>
  </si>
  <si>
    <t>BALL VALVE 3/4" 800# SW, FLOATING, A105N</t>
  </si>
  <si>
    <t>BALL VALVE 1" 800# SW, FLOATING, A105N</t>
  </si>
  <si>
    <t>Y-STRAINER VALVE 1-1/2" 150# RF, REGULAR, A105</t>
  </si>
  <si>
    <t>T-STRAINER VALVE 10" 300# RF, REGULAR, A216</t>
  </si>
  <si>
    <t>T-STRAINER VALVE 4" 300# RF, REGULAR, A216</t>
  </si>
  <si>
    <t>Y-STRAINER VALVE 3" 150# RF, REGULAR, A216</t>
  </si>
  <si>
    <t>GATE VALVE 3/4" 1500# RF, BB-OS&amp;Y, A105N</t>
  </si>
  <si>
    <t>GATE VALVE 1" 1500# RF, BB-OS&amp;Y, A105N</t>
  </si>
  <si>
    <t>CHECK VALVE 2" 1500# RF, BOLTED CAP, A216</t>
  </si>
  <si>
    <t>CHECK VALVE 8" 900# RF, BOLTED CAP, A216</t>
  </si>
  <si>
    <t>GLOBE VALVE 2" 600# RF, BB-OS&amp;Y, A216</t>
  </si>
  <si>
    <t>BALL VALVE 1" 800# SW x NPT, FLOATING, A105N</t>
  </si>
  <si>
    <t>BALL VALVE 2" 600# RF, TRUNNION, A105N</t>
  </si>
  <si>
    <t>BALL VALVE 12" 300# RF, TRUNNION, A216</t>
  </si>
  <si>
    <t>WAFER CHECK VALVE 6" 300# RF, WAFER TYPE, A216</t>
  </si>
  <si>
    <t>BALL VALVE 16" 600# RF, TRUNNION, A105N</t>
  </si>
  <si>
    <t>BALL VALVE 2" 600# RF, TRUNNION, A216</t>
  </si>
  <si>
    <t>BALL VALVE 1" 600# RF, FLOATING, A105N</t>
  </si>
  <si>
    <t>BALL VALVE 3/4" 800# SW x NPT, FLOATING, A105N</t>
  </si>
  <si>
    <t>BALL VALVE 8" 150# RF, TRUNNION, A216</t>
  </si>
  <si>
    <t>BALL VALVE 16" 150# RF, FLOATING, A216</t>
  </si>
  <si>
    <t>BALL VALVE 2" 600# RF, FLOATING, A216</t>
  </si>
  <si>
    <t>BALL VALVE 4" 600# RF, TRUNNION, A216</t>
  </si>
  <si>
    <t>BALL VALVE 6" 600# RF, TRUNNION, A216</t>
  </si>
  <si>
    <t>CHECK VALVE 10" 600# RF, BOLTED CAP, A216</t>
  </si>
  <si>
    <t>CHECK VALVE 16" 600# RF, BOLTED CAP, A216</t>
  </si>
  <si>
    <t>GLOBE VALVE 16" 600# RF, BB-OS&amp;Y, A216</t>
  </si>
  <si>
    <t>GATE VALVE 1" 150# RF, BB-OS&amp;Y, A105N</t>
  </si>
  <si>
    <t>CHECK VALVE 1" 150# RF, BOLTED CAP, A105N</t>
  </si>
  <si>
    <t>Total Sales Order</t>
  </si>
  <si>
    <t>Total Qty (pcs)</t>
  </si>
  <si>
    <t>NAVIGASI CEPAT</t>
  </si>
  <si>
    <t>➤  Capacity Summary (referensi durasi mesin)</t>
  </si>
  <si>
    <t>➤  Resume SO per Valve (rekap &amp; detail per SO)</t>
  </si>
  <si>
    <t>➤  Detail Project (input data order)</t>
  </si>
  <si>
    <t>➤  PLAN PRODUCTION</t>
  </si>
  <si>
    <t>➤  Variance Dashboard (plan vs actual)</t>
  </si>
  <si>
    <t>➤  Schedule (kalender kerja)</t>
  </si>
  <si>
    <t>➤  MR List (material request)</t>
  </si>
  <si>
    <t>BREAKDOWN ESTIMASI DURASI PER TYPE VALVE</t>
  </si>
  <si>
    <t>Total Durasi (Jam)</t>
  </si>
  <si>
    <t>Jumlah Item</t>
  </si>
  <si>
    <t>LOMPAT KE SALES ORDER (Resume SO per Valve)</t>
  </si>
  <si>
    <t>SO. NO (klik untuk lompat)</t>
  </si>
  <si>
    <t>Total Jam</t>
  </si>
  <si>
    <t>➤  JOB CALENDAR</t>
  </si>
  <si>
    <t>⬅ BACK TO DASHBOARD</t>
  </si>
  <si>
    <t>Ringkasan kapasitas mesin, estimasi durasi, dan status Sales Order — klik judul/sel biru untuk melompat ke sheet terkait.
Summary of machine capacity, estimated duration, and Sales Order status — click the blue title/cell to jump to the related sheet.</t>
  </si>
  <si>
    <t>DASHBOARD VALVE PRODUCTION — PRODUCTION PLANNING &amp; CONTROL</t>
  </si>
  <si>
    <t>Total Estimate (Hours)</t>
  </si>
  <si>
    <t>Total Estimate 
(8 Hours/Hours)</t>
  </si>
  <si>
    <t>1.HYDRO - SO 002 - 4 NO'S (2 valve 8")</t>
  </si>
  <si>
    <t>1.HYDRO - SO 002 - 4 NO'S (Balance 2 valve)</t>
  </si>
  <si>
    <t>1.HYDRO - SO 004 - 76 NO'S (10" First Priority)</t>
  </si>
  <si>
    <t>1.HYDRO - SO 018 - 7 NO'S</t>
  </si>
  <si>
    <t>2.BLASTING &amp; PRIMER - SO 002 - 4 NO'S (2 valve 8")</t>
  </si>
  <si>
    <t>2.BLASTING &amp; PRIMER - SO 002 - 4 NO'S (Balance 2 valve)</t>
  </si>
  <si>
    <t>2.BLASTING &amp; PRIMER - SO 004 - 76 NO'S (10" First Priority)</t>
  </si>
  <si>
    <t>2.BLASTING &amp; PRIMER - SO 004 - 76 NO'S (Balance Valve)</t>
  </si>
  <si>
    <t>2.BLASTING &amp; PRIMER - SO 018 - 7 NO'S</t>
  </si>
  <si>
    <t>3.SECOND &amp; TOP COAT - SO 002 - 4 NO'S (2 valve 8")</t>
  </si>
  <si>
    <t>3.SECOND &amp; TOP COAT - SO 002 - 4 NO'S (Balance 2 Valve)</t>
  </si>
  <si>
    <t>3.SECOND &amp; TOP COAT - SO 018 - 7 NO'S</t>
  </si>
  <si>
    <t>1.HYDRO INSPECTION - SO 002 - 4 NO'S (Balance 2 Valve)</t>
  </si>
  <si>
    <t>1.HYDRO INSPECTION - SO 018 - 7 NO'S</t>
  </si>
  <si>
    <t>2.FINAL INSPECTION - SO 002 - 4 NO'S (2 valve 8")</t>
  </si>
  <si>
    <t>2.FINAL INSPECTION - SO 002 - 4 NO'S (Balance 2 valve)</t>
  </si>
  <si>
    <t>2.FINAL INSPECTION - SO 004 - 76 NO'S (10" Priority)</t>
  </si>
  <si>
    <t>2.FINAL INSPECTION - SO 004 - 76 NO'S (Balance Valve)</t>
  </si>
  <si>
    <t>2.FINAL INSPECTION - SO 018 - 7 NO'S</t>
  </si>
  <si>
    <t>1''</t>
  </si>
  <si>
    <t>1-1/2''</t>
  </si>
  <si>
    <t>AB01F2TF-WCB-SFR-LO</t>
  </si>
  <si>
    <t>AB08F3LC-304-SFR-LO</t>
  </si>
  <si>
    <t>AB01F2TF-CF8M-SSR-LO</t>
  </si>
  <si>
    <t>AC01FR-CF8M-1CB</t>
  </si>
  <si>
    <t>016/AVI/TR/0426</t>
  </si>
  <si>
    <t>TP.02.01/EPCC.MGS.DAN.0023/XII/2026</t>
  </si>
  <si>
    <t>SO. 016/AVI/TR/0426</t>
  </si>
  <si>
    <t>008/TR/AVI/0326</t>
  </si>
  <si>
    <t>115/MTI-PO-DN/III/2026</t>
  </si>
  <si>
    <t>PT. MERCURY TEKINDO INTERNUSA</t>
  </si>
  <si>
    <t>AB08F3LA-316L-SSR-LO</t>
  </si>
  <si>
    <t>AC08SR-316L-1CB</t>
  </si>
  <si>
    <t>AY08S-316L-6-RE</t>
  </si>
  <si>
    <t>AF01WT-CF8M-R-S5-TX2-LO</t>
  </si>
  <si>
    <t>WAFER</t>
  </si>
  <si>
    <t>PT. VALVINDO MANDIRI</t>
  </si>
  <si>
    <t>003/TR/AVI/0126</t>
  </si>
  <si>
    <t>029/VM-PO/I/2026</t>
  </si>
  <si>
    <t>ASTM A216</t>
  </si>
  <si>
    <t>ASTM A351</t>
  </si>
  <si>
    <t>SW+ Nipple pup-pieces 100mm Sch.80 x NPT</t>
  </si>
  <si>
    <t>BUCKET-STR</t>
  </si>
  <si>
    <t>01AB08F3LC-F304-SSR-SL</t>
  </si>
  <si>
    <t>TP.01.03/EPCC.GSPR.0458/2026</t>
  </si>
  <si>
    <t>PT WIJAYA KARYA (Persero) Tbk.</t>
  </si>
  <si>
    <t>022/AVI/TR/0526</t>
  </si>
  <si>
    <t>ASTM A182</t>
  </si>
  <si>
    <t>AB06F2TF-WCB-SSD-GO</t>
  </si>
  <si>
    <t>023/TR/AVI/0526</t>
  </si>
  <si>
    <t>TWIN PLATE</t>
  </si>
  <si>
    <t>AF01DF-DI3-D-S0-TX0-GO</t>
  </si>
  <si>
    <t>AT01WF-WCB-Y-A2-T66</t>
  </si>
  <si>
    <t>AF01DF-DI3-D-S0-TX0-LO</t>
  </si>
  <si>
    <t>AB03F2LT-B14-SXR-LO</t>
  </si>
  <si>
    <t>DB-FLANGE</t>
  </si>
  <si>
    <t>A395</t>
  </si>
  <si>
    <t>024/TR/AVI/0626</t>
  </si>
  <si>
    <t>PO0524</t>
  </si>
  <si>
    <t>PT. SURYA SAKTI SUKSES</t>
  </si>
  <si>
    <t>BASKET-STR</t>
  </si>
  <si>
    <t>026/TR/AVI/0726</t>
  </si>
  <si>
    <t>PB.044/PO/NK-WIKA/03/SINTONG/07/2026</t>
  </si>
  <si>
    <t>A106B</t>
  </si>
  <si>
    <t>PT Nindya Karya (Persero)</t>
  </si>
  <si>
    <t>AB01F3LF-A10-SFR-SL</t>
  </si>
  <si>
    <t>AB01F3LF-F304-SFR-SL</t>
  </si>
  <si>
    <t>027/AVI/TR/0726</t>
  </si>
  <si>
    <t>4130008581 Amd. 4</t>
  </si>
  <si>
    <t>C95800</t>
  </si>
  <si>
    <t>AG01TY-B14-HW-F1GB</t>
  </si>
  <si>
    <t>AC01TY-B14-4CB</t>
  </si>
  <si>
    <t>AC01SY-B14-4CB</t>
  </si>
  <si>
    <t>028/AVI/TR/0726</t>
  </si>
  <si>
    <t>ZPOL-33026681</t>
  </si>
  <si>
    <t>AB01F2TF- WCB-ESR-GO</t>
  </si>
  <si>
    <t>AB01F2TF- WCB-ESR-LO</t>
  </si>
  <si>
    <t>AB08F3LC- A10-SFR-LO</t>
  </si>
  <si>
    <t>AB08F3LA- A10-SFR-LO</t>
  </si>
  <si>
    <t>AG01FL-WCB- GO-F1GB</t>
  </si>
  <si>
    <t>AG01FL-WCB- HW-F1GB</t>
  </si>
  <si>
    <t>SW + Nipple Pup Piece 100mm Sch 80 x NPT</t>
  </si>
  <si>
    <t>AG08SL-A10- HW-R2GB</t>
  </si>
  <si>
    <t>AC01FL-WCB- 1CB</t>
  </si>
  <si>
    <t>AB08F3LC- A10-SFR-SL</t>
  </si>
  <si>
    <t>AB08F3LT- A10-SFR-LO</t>
  </si>
  <si>
    <t>AY01F-WCB-4- RE</t>
  </si>
  <si>
    <t>REGULER</t>
  </si>
  <si>
    <t>PT. ADHI KARYA (Persero) Tbk</t>
  </si>
  <si>
    <t>029/AVI/TR/0726</t>
  </si>
  <si>
    <t>3227-0/SUBKONTRAK/PROD1/VII/2026/INFRA1</t>
  </si>
  <si>
    <t>SO. 011/AVI/0325 R.1</t>
  </si>
  <si>
    <t>SO. 030/AVI/1025 R.1
BATCH I</t>
  </si>
  <si>
    <t>SO. 030/AVI/1025 R.1
BATCH II</t>
  </si>
  <si>
    <t>SO. 033/AVI/2025</t>
  </si>
  <si>
    <t>SO. 005/AVI/0226</t>
  </si>
  <si>
    <t>SO. 020/AVI/TR/0526</t>
  </si>
  <si>
    <t>SO. 021/TR/AVI/0526</t>
  </si>
  <si>
    <t>SO. 022/AVI/TR/0526</t>
  </si>
  <si>
    <t>SO. 023/TR/AVI/0526</t>
  </si>
  <si>
    <t>SO. 024/TR/AVI/0626</t>
  </si>
  <si>
    <t>SO. 025/TR/AVI/0726</t>
  </si>
  <si>
    <t>SO. 026/TR/AVI/0726</t>
  </si>
  <si>
    <t>SO. 027/AVI/TR/0726</t>
  </si>
  <si>
    <t>SO. 028/AVI/TR/0726</t>
  </si>
  <si>
    <t>SO. 029/AVI/TR/0726</t>
  </si>
  <si>
    <t>SO. 030/AVI/TR/0826</t>
  </si>
  <si>
    <t>030/AVI/1025 R.1 BATCH I</t>
  </si>
  <si>
    <t>030/AVI/1025 R.1 BATCH II</t>
  </si>
  <si>
    <t>BALL VALVE 4" 900# RTJ, TRUNNION, A105N</t>
  </si>
  <si>
    <t>BALL VALVE 8" 900# RTJ, TRUNNION, A105N</t>
  </si>
  <si>
    <t>BALL VALVE 12" 900# RTJ, TRUNNION, A105N</t>
  </si>
  <si>
    <t>BALL VALVE 16" 900# RTJ, TRUNNION, A105N</t>
  </si>
  <si>
    <t>BUCKET-STR VALVE 3" 300# RF, REGULAR, A216</t>
  </si>
  <si>
    <t>BUCKET-STR VALVE 12" 150# RF, REGULAR, A216</t>
  </si>
  <si>
    <t>T-STRAINER VALVE 10" 150# RF, REGULAR, ASTM A351</t>
  </si>
  <si>
    <t>T-STRAINER VALVE 24" 150# RF, REGULAR, ASTM A351</t>
  </si>
  <si>
    <t>T-STRAINER VALVE 16" 150# RF, REGULAR, ASTM A351</t>
  </si>
  <si>
    <t>T-STRAINER VALVE 10" 150# RF, REGULAR, ASTM A216</t>
  </si>
  <si>
    <t>T-STRAINER VALVE 16" 150# RF, REGULAR, ASTM A216</t>
  </si>
  <si>
    <t>T-STRAINER VALVE 24" 150# RF, REGULAR, ASTM A216</t>
  </si>
  <si>
    <t>T-STRAINER VALVE 16" 300# RF, REGULAR, ASTM A216</t>
  </si>
  <si>
    <t>T-STRAINER VALVE 12" 300# RF, REGULAR, ASTM A216</t>
  </si>
  <si>
    <t>BUCKET-STR VALVE 6" 150# RF, REGULAR, A216</t>
  </si>
  <si>
    <t>BUCKET-STR VALVE 10" 150# RF, REGULAR, A216</t>
  </si>
  <si>
    <t>BUCKET-STR VALVE 18" 150# RF, REGULAR, A216</t>
  </si>
  <si>
    <t>BUCKET-STR VALVE 16" 300# RF, REGULAR, A216</t>
  </si>
  <si>
    <t>BUCKET-STR VALVE 2" 150# RF, REGULAR, ASTM A216</t>
  </si>
  <si>
    <t>BUCKET-STR VALVE 2" 150# RF, REGULAR, A216</t>
  </si>
  <si>
    <t>BUCKET-STR VALVE 3" 150# RF, REGULAR, A216</t>
  </si>
  <si>
    <t>BALL VALVE 1'' 800# SW x NPT, FLOATING, A105N</t>
  </si>
  <si>
    <t>BALL VALVE 2" 150# RF, TRUNNION, A216</t>
  </si>
  <si>
    <t>CHECK VALVE 2" 150# RF, BOLTED CAP, A216</t>
  </si>
  <si>
    <t>BALL VALVE 3/4" 800# SW x NPT, FLOATING, A182</t>
  </si>
  <si>
    <t>BALL VALVE 1" 800# SW x NPT, FLOATING, A182</t>
  </si>
  <si>
    <t>BALL VALVE 2" 150# RF, TRUNNION, A351</t>
  </si>
  <si>
    <t>BUTTERFLY VALVE 6" 150# RF, WAFER, A351</t>
  </si>
  <si>
    <t>BALL VALVE 1/2" 800# SW, FLOATING, A182</t>
  </si>
  <si>
    <t>STRAINER VALVE 1/2" 800# SW, REGULAR, A182</t>
  </si>
  <si>
    <t>BALL VALVE 1" 800# SW, FLOATING, ASTM A182</t>
  </si>
  <si>
    <t>BALL VALVE 16" 600# RF, TRUNNION, A216</t>
  </si>
  <si>
    <t>BUTTERFLY VALVE 8" 150# RF, DB-FLANGE, A395</t>
  </si>
  <si>
    <t>BUTTERFLY VALVE 12" 150# RF, DB-FLANGE, A395</t>
  </si>
  <si>
    <t>BUTTERFLY VALVE 24" 150# RF, DB-FLANGE, A395</t>
  </si>
  <si>
    <t>TWIN PLATE VALVE 12" 150# RF, DB-FLANGE, A216</t>
  </si>
  <si>
    <t>BUTTERFLY VALVE 2" 150# RF, DB-FLANGE, A395</t>
  </si>
  <si>
    <t>BALL VALVE 3/4" 300# NPT, FLOATING, B148</t>
  </si>
  <si>
    <t>BASKET-STR VALVE 12" 150# RF, REGULAR, A106B</t>
  </si>
  <si>
    <t>BASKET-STR VALVE 6" 600# RF, REGULAR, A106B</t>
  </si>
  <si>
    <t>BASKET-STR VALVE 4" 600# RF, REGULAR, A106B</t>
  </si>
  <si>
    <t>BALL VALVE 1-1/2'' 800# SW+ Nipple pup-pieces 100mm Sch.80 x NPT, FLOATING, A105N</t>
  </si>
  <si>
    <t>CHECK VALVE 3" 150# RF, BOLTED CAP, A216</t>
  </si>
  <si>
    <t>BALL VALVE 1" 150# RF, FLOATING, A105N</t>
  </si>
  <si>
    <t>BALL VALVE 1-1/2" 800# SW x NPT, FLOATING, A182</t>
  </si>
  <si>
    <t>CHECK VALVE 3" 150# RF, BOLTED CAP, A351</t>
  </si>
  <si>
    <t>GATE VALVE 4" 150# RF, BB-OS&amp;Y, A351</t>
  </si>
  <si>
    <t>BALL VALVE 1" 150# RF, FLOATING, A182</t>
  </si>
  <si>
    <t>GATE VALVE 2" 150# NPT, BB-OS&amp;Y, C95800</t>
  </si>
  <si>
    <t>CHECK VALVE 1" 150# NPT, BOLTED CAP, C95800</t>
  </si>
  <si>
    <t>CHECK VALVE 2" 150# NPT, BOLTED CAP, C95800</t>
  </si>
  <si>
    <t>CHECK VALVE 2" 150# SW, BOLTED CAP, C95800</t>
  </si>
  <si>
    <t>CHECK VALVE 1" 150# SW, BOLTED CAP, C95800</t>
  </si>
  <si>
    <t>GATE VALVE 3/4" 800# SW, BB-OS&amp;Y, A105N</t>
  </si>
  <si>
    <t>GATE VALVE 2" 800# SW, BB-OS&amp;Y, A105N</t>
  </si>
  <si>
    <t>BALL VALVE 4" 150# RF, TRUNNION, A216</t>
  </si>
  <si>
    <t>BALL VALVE 3/4" 800# SW x NPT, FLOATING, A105</t>
  </si>
  <si>
    <t>GATE VALVE 18" 150# RF, BB-OS&amp;Y, A216</t>
  </si>
  <si>
    <t>GATE VALVE 3/4" 800# SW, BB-OS&amp;Y, A105</t>
  </si>
  <si>
    <t>CHECK VALVE 20" 150# RF, BOLTED CAP, A216</t>
  </si>
  <si>
    <t>CHECK VALVE 8" 150# RF, BOLTED CAP, A216</t>
  </si>
  <si>
    <t>BALL VALVE 3/4" 800# SW + Nipple Pup Piece 100mm Sch 80 x NPT, FLOATING, A105</t>
  </si>
  <si>
    <t>BALL VALVE 3/4" 800# NPT, FLOATING, A105</t>
  </si>
  <si>
    <t>STRAINER VALVE 3" 150# RF, REGULER, A216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</si>
</sst>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(* #,##0.00_);_(* \(#,##0.00\);_(* &quot;-&quot;??_);_(@_)"/>
    <numFmt numFmtId="164" formatCode="&quot;LAST UPDATE : &quot;[$-409]d\-mmm\-yy;@"/>
    <numFmt numFmtId="165" formatCode="[$-409]d\-mmm\-yy;@"/>
    <numFmt numFmtId="166" formatCode="yyyy"/>
    <numFmt numFmtId="167" formatCode="[$-409]d\-mmm\-yyyy;@"/>
    <numFmt numFmtId="168" formatCode="dd\-mmm"/>
    <numFmt numFmtId="169" formatCode="[$-409]dd;@"/>
    <numFmt numFmtId="170" formatCode="[$-409]d\-mmm;@"/>
    <numFmt numFmtId="171" formatCode="0&quot; EA&quot;"/>
    <numFmt numFmtId="172" formatCode="[$-409]dd\-mmm\-yy;@"/>
    <numFmt numFmtId="173" formatCode="&quot;WEEK &quot;0"/>
    <numFmt numFmtId="174" formatCode="0.0"/>
    <numFmt numFmtId="175" formatCode="0.0%"/>
    <numFmt numFmtId="176" formatCode="#,##0.0"/>
  </numFmts>
  <fonts count="10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name val="돋움"/>
      <family val="3"/>
      <charset val="129"/>
    </font>
    <font>
      <b/>
      <sz val="10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u/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0"/>
      <color theme="1"/>
      <name val="Arial"/>
      <family val="2"/>
    </font>
    <font>
      <b/>
      <sz val="11"/>
      <color rgb="FF3F3F3F"/>
      <name val="Calibri"/>
      <family val="2"/>
      <charset val="1"/>
      <scheme val="minor"/>
    </font>
    <font>
      <b/>
      <sz val="10"/>
      <color rgb="FF3F3F3F"/>
      <name val="Arial"/>
      <family val="2"/>
    </font>
    <font>
      <b/>
      <sz val="20"/>
      <color theme="1"/>
      <name val="Calibri"/>
      <family val="2"/>
      <scheme val="minor"/>
    </font>
    <font>
      <b/>
      <sz val="9.5"/>
      <color theme="1" tint="0.499984740745262"/>
      <name val="Calibri"/>
      <family val="2"/>
      <scheme val="minor"/>
    </font>
    <font>
      <b/>
      <sz val="13"/>
      <color theme="1" tint="0.24994659260841701"/>
      <name val="Calibri Light"/>
      <family val="2"/>
      <scheme val="major"/>
    </font>
    <font>
      <b/>
      <sz val="13"/>
      <color theme="7"/>
      <name val="Calibri Light"/>
      <family val="2"/>
      <scheme val="major"/>
    </font>
    <font>
      <sz val="16"/>
      <name val="Calibri"/>
      <family val="2"/>
      <scheme val="minor"/>
    </font>
    <font>
      <sz val="10"/>
      <name val="Calibri"/>
      <family val="2"/>
      <scheme val="minor"/>
    </font>
    <font>
      <sz val="8"/>
      <name val="Arial"/>
      <family val="2"/>
    </font>
    <font>
      <sz val="11"/>
      <color theme="1"/>
      <name val="Calibri"/>
      <family val="2"/>
      <charset val="1"/>
      <scheme val="minor"/>
    </font>
    <font>
      <sz val="20"/>
      <color theme="0"/>
      <name val="Wingdings 2"/>
      <family val="1"/>
      <charset val="2"/>
    </font>
    <font>
      <sz val="14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u/>
      <sz val="10"/>
      <color theme="10"/>
      <name val="Arial"/>
      <family val="2"/>
    </font>
    <font>
      <b/>
      <sz val="20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6"/>
      <color theme="1"/>
      <name val="Arial"/>
      <family val="2"/>
    </font>
    <font>
      <sz val="9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sz val="26"/>
      <name val="Arial Rounded MT Bold"/>
      <family val="2"/>
    </font>
    <font>
      <b/>
      <sz val="24"/>
      <color rgb="FF002060"/>
      <name val="Calibri"/>
      <family val="2"/>
      <scheme val="minor"/>
    </font>
    <font>
      <b/>
      <sz val="14"/>
      <color rgb="FF002060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sz val="14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vertAlign val="superscript"/>
      <sz val="8"/>
      <color theme="1"/>
      <name val="Calibri"/>
      <family val="2"/>
      <scheme val="minor"/>
    </font>
    <font>
      <sz val="20"/>
      <name val="Arial"/>
      <family val="2"/>
    </font>
    <font>
      <b/>
      <sz val="20"/>
      <name val="Arial"/>
      <family val="2"/>
    </font>
    <font>
      <b/>
      <sz val="12"/>
      <color theme="0"/>
      <name val="Arial"/>
      <family val="2"/>
    </font>
    <font>
      <b/>
      <sz val="10"/>
      <color rgb="FFC00000"/>
      <name val="Calibri"/>
      <family val="2"/>
      <scheme val="minor"/>
    </font>
    <font>
      <sz val="10"/>
      <color theme="1"/>
      <name val="Arial"/>
      <family val="2"/>
    </font>
    <font>
      <b/>
      <sz val="22"/>
      <name val="Arial"/>
      <family val="2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u/>
      <sz val="2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name val="Arial"/>
      <family val="2"/>
    </font>
    <font>
      <sz val="9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name val="Arial"/>
      <family val="2"/>
    </font>
    <font>
      <b/>
      <sz val="18"/>
      <color theme="0"/>
      <name val="Calibri"/>
      <family val="2"/>
      <scheme val="minor"/>
    </font>
    <font>
      <i/>
      <sz val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rgb="FF1F4E78"/>
      <name val="Arial"/>
      <family val="2"/>
    </font>
    <font>
      <i/>
      <sz val="9"/>
      <color rgb="FF595959"/>
      <name val="Arial"/>
      <family val="2"/>
    </font>
    <font>
      <b/>
      <sz val="12"/>
      <color rgb="FFFFFFFF"/>
      <name val="Arial"/>
      <family val="2"/>
    </font>
    <font>
      <b/>
      <sz val="10"/>
      <color rgb="FFFFFFFF"/>
      <name val="Arial"/>
      <family val="2"/>
    </font>
    <font>
      <b/>
      <sz val="9"/>
      <color rgb="FFFFFFFF"/>
      <name val="Arial"/>
      <family val="2"/>
    </font>
    <font>
      <b/>
      <i/>
      <sz val="9"/>
      <color rgb="FF595959"/>
      <name val="Arial"/>
      <family val="2"/>
    </font>
    <font>
      <sz val="9"/>
      <color rgb="FF595959"/>
      <name val="Arial"/>
      <family val="2"/>
    </font>
    <font>
      <b/>
      <i/>
      <u/>
      <sz val="9"/>
      <color rgb="FF595959"/>
      <name val="Arial"/>
      <family val="2"/>
    </font>
    <font>
      <sz val="10"/>
      <color rgb="FF0000FF"/>
      <name val="Arial"/>
      <family val="2"/>
    </font>
    <font>
      <b/>
      <sz val="10"/>
      <color rgb="FFCC0000"/>
      <name val="Arial"/>
      <family val="2"/>
    </font>
    <font>
      <b/>
      <sz val="13"/>
      <color rgb="FF1F4E78"/>
      <name val="Arial"/>
      <family val="2"/>
    </font>
    <font>
      <b/>
      <sz val="18"/>
      <color rgb="FF1F4E78"/>
      <name val="Arial"/>
      <family val="2"/>
    </font>
    <font>
      <i/>
      <sz val="10"/>
      <color rgb="FF595959"/>
      <name val="Arial"/>
      <family val="2"/>
    </font>
    <font>
      <b/>
      <sz val="20"/>
      <color rgb="FF1F4E78"/>
      <name val="Arial"/>
      <family val="2"/>
    </font>
    <font>
      <b/>
      <sz val="12"/>
      <color rgb="FF1F4E78"/>
      <name val="Arial"/>
      <family val="2"/>
    </font>
    <font>
      <b/>
      <u/>
      <sz val="10"/>
      <color theme="0"/>
      <name val="Arial"/>
      <family val="2"/>
    </font>
    <font>
      <b/>
      <sz val="11"/>
      <color rgb="FF595959"/>
      <name val="Arial"/>
      <family val="2"/>
    </font>
    <font>
      <sz val="25"/>
      <name val="Calibri"/>
      <family val="2"/>
      <scheme val="minor"/>
    </font>
    <font>
      <b/>
      <sz val="25"/>
      <color rgb="FF002060"/>
      <name val="Calibri"/>
      <family val="2"/>
      <scheme val="minor"/>
    </font>
    <font>
      <sz val="25"/>
      <color rgb="FF002060"/>
      <name val="Calibri"/>
      <family val="2"/>
      <scheme val="minor"/>
    </font>
    <font>
      <b/>
      <sz val="25"/>
      <color theme="0"/>
      <name val="Calibri"/>
      <family val="2"/>
      <scheme val="minor"/>
    </font>
    <font>
      <sz val="10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70C0"/>
        <bgColor indexed="64"/>
      </patternFill>
    </fill>
    <fill>
      <patternFill patternType="solid">
        <fgColor rgb="FF0077D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1F4E78"/>
        <bgColor rgb="FF404040"/>
      </patternFill>
    </fill>
    <fill>
      <patternFill patternType="solid">
        <fgColor rgb="FFD9E1F2"/>
        <bgColor rgb="FFDBDBDB"/>
      </patternFill>
    </fill>
    <fill>
      <patternFill patternType="solid">
        <fgColor rgb="FF4472C4"/>
        <bgColor rgb="FF0563C1"/>
      </patternFill>
    </fill>
    <fill>
      <patternFill patternType="solid">
        <fgColor rgb="FFFFF2CC"/>
        <bgColor rgb="FFFFF9E6"/>
      </patternFill>
    </fill>
    <fill>
      <patternFill patternType="solid">
        <fgColor rgb="FFEAF1FB"/>
        <bgColor rgb="FFF2F2F2"/>
      </patternFill>
    </fill>
    <fill>
      <patternFill patternType="solid">
        <fgColor rgb="FFF2F6FC"/>
        <bgColor rgb="FFF7F9FC"/>
      </patternFill>
    </fill>
    <fill>
      <patternFill patternType="solid">
        <fgColor rgb="FFF7F9FC"/>
        <bgColor rgb="FFF2F6FC"/>
      </patternFill>
    </fill>
  </fills>
  <borders count="16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auto="1"/>
      </right>
      <top style="double">
        <color auto="1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  <border>
      <left style="thick">
        <color auto="1"/>
      </left>
      <right style="thin">
        <color auto="1"/>
      </right>
      <top style="double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hair">
        <color auto="1"/>
      </bottom>
      <diagonal/>
    </border>
    <border>
      <left style="thin">
        <color auto="1"/>
      </left>
      <right style="thick">
        <color indexed="64"/>
      </right>
      <top style="double">
        <color indexed="64"/>
      </top>
      <bottom style="hair">
        <color auto="1"/>
      </bottom>
      <diagonal/>
    </border>
    <border>
      <left style="thick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ck">
        <color indexed="64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thin">
        <color auto="1"/>
      </right>
      <top style="hair">
        <color auto="1"/>
      </top>
      <bottom style="thick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ck">
        <color indexed="64"/>
      </bottom>
      <diagonal/>
    </border>
    <border>
      <left style="thin">
        <color auto="1"/>
      </left>
      <right style="thick">
        <color indexed="64"/>
      </right>
      <top style="hair">
        <color auto="1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double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double">
        <color indexed="64"/>
      </bottom>
      <diagonal/>
    </border>
    <border>
      <left style="thick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 style="thick">
        <color indexed="64"/>
      </right>
      <top style="double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auto="1"/>
      </right>
      <top style="medium">
        <color indexed="64"/>
      </top>
      <bottom/>
      <diagonal/>
    </border>
    <border>
      <left style="thick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auto="1"/>
      </right>
      <top/>
      <bottom style="medium">
        <color indexed="64"/>
      </bottom>
      <diagonal/>
    </border>
    <border>
      <left style="thick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auto="1"/>
      </right>
      <top style="medium">
        <color indexed="64"/>
      </top>
      <bottom/>
      <diagonal/>
    </border>
    <border>
      <left/>
      <right style="thick">
        <color auto="1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double">
        <color indexed="64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double">
        <color indexed="64"/>
      </bottom>
      <diagonal/>
    </border>
    <border>
      <left style="medium">
        <color auto="1"/>
      </left>
      <right style="medium">
        <color auto="1"/>
      </right>
      <top style="double">
        <color indexed="64"/>
      </top>
      <bottom style="double">
        <color auto="1"/>
      </bottom>
      <diagonal/>
    </border>
    <border>
      <left/>
      <right style="medium">
        <color auto="1"/>
      </right>
      <top style="double">
        <color auto="1"/>
      </top>
      <bottom/>
      <diagonal/>
    </border>
    <border>
      <left/>
      <right style="medium">
        <color auto="1"/>
      </right>
      <top/>
      <bottom style="double">
        <color indexed="64"/>
      </bottom>
      <diagonal/>
    </border>
    <border>
      <left/>
      <right style="medium">
        <color auto="1"/>
      </right>
      <top style="double">
        <color auto="1"/>
      </top>
      <bottom style="double">
        <color auto="1"/>
      </bottom>
      <diagonal/>
    </border>
    <border>
      <left style="medium">
        <color auto="1"/>
      </left>
      <right/>
      <top/>
      <bottom style="double">
        <color indexed="64"/>
      </bottom>
      <diagonal/>
    </border>
    <border>
      <left style="medium">
        <color auto="1"/>
      </left>
      <right/>
      <top style="double">
        <color auto="1"/>
      </top>
      <bottom style="double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indexed="64"/>
      </bottom>
      <diagonal/>
    </border>
    <border>
      <left style="thin">
        <color auto="1"/>
      </left>
      <right style="thick">
        <color indexed="64"/>
      </right>
      <top style="medium">
        <color auto="1"/>
      </top>
      <bottom style="medium">
        <color indexed="64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auto="1"/>
      </left>
      <right style="thin">
        <color auto="1"/>
      </right>
      <top style="mediumDashed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Dashed">
        <color auto="1"/>
      </top>
      <bottom style="medium">
        <color indexed="64"/>
      </bottom>
      <diagonal/>
    </border>
    <border>
      <left style="thin">
        <color auto="1"/>
      </left>
      <right style="thick">
        <color indexed="64"/>
      </right>
      <top style="mediumDashed">
        <color auto="1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n">
        <color auto="1"/>
      </right>
      <top style="mediumDashed">
        <color auto="1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thin">
        <color indexed="64"/>
      </right>
      <top style="medium">
        <color indexed="64"/>
      </top>
      <bottom style="medium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1F4E78"/>
      </left>
      <right style="medium">
        <color rgb="FF1F4E78"/>
      </right>
      <top style="medium">
        <color rgb="FF1F4E78"/>
      </top>
      <bottom style="medium">
        <color rgb="FF1F4E78"/>
      </bottom>
      <diagonal/>
    </border>
    <border>
      <left style="thick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ck">
        <color indexed="64"/>
      </right>
      <top style="hair">
        <color auto="1"/>
      </top>
      <bottom/>
      <diagonal/>
    </border>
  </borders>
  <cellStyleXfs count="16">
    <xf numFmtId="0" fontId="0" fillId="0" borderId="0"/>
    <xf numFmtId="0" fontId="8" fillId="0" borderId="0"/>
    <xf numFmtId="0" fontId="14" fillId="0" borderId="0">
      <alignment vertical="center"/>
    </xf>
    <xf numFmtId="0" fontId="16" fillId="0" borderId="0"/>
    <xf numFmtId="0" fontId="21" fillId="2" borderId="1" applyNumberFormat="0" applyAlignment="0" applyProtection="0"/>
    <xf numFmtId="0" fontId="24" fillId="0" borderId="0" applyFill="0" applyBorder="0" applyProtection="0">
      <alignment horizontal="center"/>
    </xf>
    <xf numFmtId="3" fontId="24" fillId="0" borderId="63" applyFill="0" applyProtection="0">
      <alignment horizontal="center"/>
    </xf>
    <xf numFmtId="0" fontId="25" fillId="0" borderId="0" applyFill="0" applyBorder="0" applyProtection="0">
      <alignment horizontal="left"/>
    </xf>
    <xf numFmtId="9" fontId="26" fillId="0" borderId="0" applyFill="0" applyBorder="0" applyProtection="0">
      <alignment horizontal="center" vertical="center"/>
    </xf>
    <xf numFmtId="0" fontId="30" fillId="0" borderId="0"/>
    <xf numFmtId="0" fontId="38" fillId="0" borderId="0" applyNumberFormat="0" applyFill="0" applyBorder="0" applyAlignment="0" applyProtection="0"/>
    <xf numFmtId="0" fontId="4" fillId="0" borderId="0"/>
    <xf numFmtId="0" fontId="3" fillId="0" borderId="0"/>
    <xf numFmtId="0" fontId="8" fillId="0" borderId="0"/>
    <xf numFmtId="0" fontId="1" fillId="0" borderId="0"/>
    <xf numFmtId="43" fontId="102" fillId="0" borderId="0" applyFont="0" applyFill="0" applyBorder="0" applyAlignment="0" applyProtection="0"/>
  </cellStyleXfs>
  <cellXfs count="691">
    <xf numFmtId="0" fontId="0" fillId="0" borderId="0" xfId="0"/>
    <xf numFmtId="0" fontId="6" fillId="0" borderId="0" xfId="0" applyFont="1" applyAlignment="1">
      <alignment horizontal="center"/>
    </xf>
    <xf numFmtId="0" fontId="7" fillId="0" borderId="0" xfId="0" applyFont="1"/>
    <xf numFmtId="0" fontId="9" fillId="3" borderId="16" xfId="0" applyFont="1" applyFill="1" applyBorder="1" applyAlignment="1">
      <alignment horizontal="center" vertical="center"/>
    </xf>
    <xf numFmtId="0" fontId="10" fillId="5" borderId="16" xfId="0" applyFont="1" applyFill="1" applyBorder="1" applyAlignment="1">
      <alignment horizontal="center" vertical="center"/>
    </xf>
    <xf numFmtId="0" fontId="11" fillId="3" borderId="16" xfId="0" applyFont="1" applyFill="1" applyBorder="1" applyAlignment="1">
      <alignment horizontal="center" vertical="center"/>
    </xf>
    <xf numFmtId="0" fontId="7" fillId="0" borderId="17" xfId="1" applyFont="1" applyBorder="1" applyAlignment="1">
      <alignment horizontal="center" vertical="center"/>
    </xf>
    <xf numFmtId="0" fontId="7" fillId="0" borderId="18" xfId="1" applyFont="1" applyBorder="1" applyAlignment="1">
      <alignment horizontal="center" vertical="center" wrapText="1"/>
    </xf>
    <xf numFmtId="0" fontId="7" fillId="0" borderId="18" xfId="1" applyFont="1" applyBorder="1" applyAlignment="1">
      <alignment horizontal="center" vertical="center"/>
    </xf>
    <xf numFmtId="0" fontId="7" fillId="6" borderId="18" xfId="1" applyFont="1" applyFill="1" applyBorder="1" applyAlignment="1">
      <alignment horizontal="center" vertical="center"/>
    </xf>
    <xf numFmtId="0" fontId="12" fillId="5" borderId="18" xfId="0" applyFont="1" applyFill="1" applyBorder="1" applyAlignment="1">
      <alignment horizontal="center" vertical="center"/>
    </xf>
    <xf numFmtId="0" fontId="13" fillId="0" borderId="19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5" borderId="16" xfId="0" applyFont="1" applyFill="1" applyBorder="1" applyAlignment="1">
      <alignment horizontal="center" vertical="center"/>
    </xf>
    <xf numFmtId="0" fontId="7" fillId="0" borderId="20" xfId="1" applyFont="1" applyBorder="1" applyAlignment="1">
      <alignment horizontal="center" vertical="center"/>
    </xf>
    <xf numFmtId="0" fontId="7" fillId="0" borderId="21" xfId="1" applyFont="1" applyBorder="1" applyAlignment="1">
      <alignment horizontal="center" vertical="center" wrapText="1"/>
    </xf>
    <xf numFmtId="0" fontId="7" fillId="0" borderId="21" xfId="1" applyFont="1" applyBorder="1" applyAlignment="1">
      <alignment horizontal="center" vertical="center"/>
    </xf>
    <xf numFmtId="0" fontId="7" fillId="6" borderId="21" xfId="1" applyFont="1" applyFill="1" applyBorder="1" applyAlignment="1">
      <alignment horizontal="center" vertical="center"/>
    </xf>
    <xf numFmtId="0" fontId="12" fillId="5" borderId="21" xfId="0" applyFont="1" applyFill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wrapText="1"/>
    </xf>
    <xf numFmtId="0" fontId="9" fillId="3" borderId="23" xfId="0" applyFont="1" applyFill="1" applyBorder="1" applyAlignment="1">
      <alignment wrapText="1"/>
    </xf>
    <xf numFmtId="0" fontId="9" fillId="3" borderId="7" xfId="0" applyFont="1" applyFill="1" applyBorder="1" applyAlignment="1">
      <alignment wrapText="1"/>
    </xf>
    <xf numFmtId="0" fontId="5" fillId="4" borderId="7" xfId="0" applyFont="1" applyFill="1" applyBorder="1" applyAlignment="1">
      <alignment wrapText="1"/>
    </xf>
    <xf numFmtId="0" fontId="5" fillId="4" borderId="8" xfId="0" applyFont="1" applyFill="1" applyBorder="1" applyAlignment="1">
      <alignment wrapText="1"/>
    </xf>
    <xf numFmtId="0" fontId="5" fillId="4" borderId="5" xfId="0" applyFont="1" applyFill="1" applyBorder="1" applyAlignment="1">
      <alignment wrapText="1"/>
    </xf>
    <xf numFmtId="0" fontId="5" fillId="4" borderId="6" xfId="0" applyFont="1" applyFill="1" applyBorder="1" applyAlignment="1">
      <alignment wrapText="1"/>
    </xf>
    <xf numFmtId="16" fontId="9" fillId="3" borderId="11" xfId="0" applyNumberFormat="1" applyFont="1" applyFill="1" applyBorder="1"/>
    <xf numFmtId="16" fontId="9" fillId="3" borderId="12" xfId="0" applyNumberFormat="1" applyFont="1" applyFill="1" applyBorder="1"/>
    <xf numFmtId="0" fontId="8" fillId="7" borderId="24" xfId="2" applyFont="1" applyFill="1" applyBorder="1" applyAlignment="1">
      <alignment vertical="center" wrapText="1"/>
    </xf>
    <xf numFmtId="0" fontId="15" fillId="0" borderId="25" xfId="2" applyFont="1" applyBorder="1">
      <alignment vertical="center"/>
    </xf>
    <xf numFmtId="0" fontId="8" fillId="7" borderId="0" xfId="2" applyFont="1" applyFill="1" applyAlignment="1">
      <alignment vertical="center" wrapText="1"/>
    </xf>
    <xf numFmtId="0" fontId="8" fillId="0" borderId="0" xfId="2" applyFont="1" applyAlignment="1"/>
    <xf numFmtId="0" fontId="18" fillId="0" borderId="0" xfId="2" applyFont="1">
      <alignment vertical="center"/>
    </xf>
    <xf numFmtId="0" fontId="19" fillId="0" borderId="27" xfId="2" applyFont="1" applyBorder="1">
      <alignment vertical="center"/>
    </xf>
    <xf numFmtId="0" fontId="18" fillId="0" borderId="0" xfId="2" applyFont="1" applyAlignment="1">
      <alignment horizontal="center" vertical="center"/>
    </xf>
    <xf numFmtId="0" fontId="17" fillId="0" borderId="30" xfId="3" applyFont="1" applyBorder="1" applyAlignment="1">
      <alignment horizontal="left" vertical="center"/>
    </xf>
    <xf numFmtId="0" fontId="8" fillId="7" borderId="27" xfId="2" applyFont="1" applyFill="1" applyBorder="1" applyAlignment="1">
      <alignment vertical="center" wrapText="1"/>
    </xf>
    <xf numFmtId="0" fontId="8" fillId="7" borderId="30" xfId="2" applyFont="1" applyFill="1" applyBorder="1" applyAlignment="1">
      <alignment vertical="center" wrapText="1"/>
    </xf>
    <xf numFmtId="0" fontId="15" fillId="0" borderId="33" xfId="2" applyFont="1" applyBorder="1" applyAlignment="1">
      <alignment horizontal="center" vertical="center" wrapText="1"/>
    </xf>
    <xf numFmtId="0" fontId="15" fillId="0" borderId="19" xfId="2" applyFont="1" applyBorder="1" applyAlignment="1">
      <alignment horizontal="center" vertical="center" wrapText="1"/>
    </xf>
    <xf numFmtId="0" fontId="15" fillId="10" borderId="44" xfId="2" applyFont="1" applyFill="1" applyBorder="1" applyAlignment="1">
      <alignment horizontal="center" vertical="center" wrapText="1"/>
    </xf>
    <xf numFmtId="0" fontId="20" fillId="7" borderId="19" xfId="2" applyFont="1" applyFill="1" applyBorder="1" applyAlignment="1">
      <alignment horizontal="center" vertical="center" wrapText="1"/>
    </xf>
    <xf numFmtId="14" fontId="20" fillId="11" borderId="19" xfId="2" applyNumberFormat="1" applyFont="1" applyFill="1" applyBorder="1" applyAlignment="1">
      <alignment horizontal="center" vertical="center" wrapText="1"/>
    </xf>
    <xf numFmtId="0" fontId="15" fillId="9" borderId="45" xfId="2" applyFont="1" applyFill="1" applyBorder="1" applyAlignment="1">
      <alignment horizontal="center" vertical="center" wrapText="1"/>
    </xf>
    <xf numFmtId="0" fontId="8" fillId="0" borderId="0" xfId="2" applyFont="1">
      <alignment vertical="center"/>
    </xf>
    <xf numFmtId="0" fontId="8" fillId="0" borderId="27" xfId="2" applyFont="1" applyBorder="1">
      <alignment vertical="center"/>
    </xf>
    <xf numFmtId="0" fontId="15" fillId="7" borderId="50" xfId="4" applyFont="1" applyFill="1" applyBorder="1" applyAlignment="1">
      <alignment horizontal="left" vertical="center"/>
    </xf>
    <xf numFmtId="0" fontId="22" fillId="13" borderId="51" xfId="4" applyFont="1" applyFill="1" applyBorder="1" applyAlignment="1">
      <alignment horizontal="center" vertical="center" wrapText="1"/>
    </xf>
    <xf numFmtId="15" fontId="22" fillId="13" borderId="51" xfId="4" applyNumberFormat="1" applyFont="1" applyFill="1" applyBorder="1" applyAlignment="1">
      <alignment horizontal="center" vertical="center" wrapText="1"/>
    </xf>
    <xf numFmtId="15" fontId="22" fillId="8" borderId="51" xfId="4" applyNumberFormat="1" applyFont="1" applyFill="1" applyBorder="1" applyAlignment="1">
      <alignment horizontal="center" vertical="center" wrapText="1"/>
    </xf>
    <xf numFmtId="9" fontId="22" fillId="7" borderId="51" xfId="4" applyNumberFormat="1" applyFont="1" applyFill="1" applyBorder="1" applyAlignment="1">
      <alignment horizontal="center" vertical="center" wrapText="1"/>
    </xf>
    <xf numFmtId="15" fontId="15" fillId="7" borderId="53" xfId="4" applyNumberFormat="1" applyFont="1" applyFill="1" applyBorder="1" applyAlignment="1">
      <alignment horizontal="center" vertical="center" wrapText="1"/>
    </xf>
    <xf numFmtId="0" fontId="15" fillId="5" borderId="50" xfId="4" applyFont="1" applyFill="1" applyBorder="1" applyAlignment="1">
      <alignment horizontal="left" vertical="center"/>
    </xf>
    <xf numFmtId="0" fontId="15" fillId="7" borderId="50" xfId="4" applyFont="1" applyFill="1" applyBorder="1" applyAlignment="1">
      <alignment vertical="center" wrapText="1"/>
    </xf>
    <xf numFmtId="15" fontId="22" fillId="2" borderId="51" xfId="4" applyNumberFormat="1" applyFont="1" applyBorder="1" applyAlignment="1">
      <alignment horizontal="center" vertical="center" wrapText="1"/>
    </xf>
    <xf numFmtId="0" fontId="22" fillId="2" borderId="51" xfId="4" applyFont="1" applyBorder="1" applyAlignment="1">
      <alignment horizontal="center" vertical="center" wrapText="1"/>
    </xf>
    <xf numFmtId="0" fontId="15" fillId="7" borderId="55" xfId="4" applyFont="1" applyFill="1" applyBorder="1" applyAlignment="1">
      <alignment vertical="center" wrapText="1"/>
    </xf>
    <xf numFmtId="0" fontId="22" fillId="2" borderId="56" xfId="4" applyFont="1" applyBorder="1" applyAlignment="1">
      <alignment horizontal="center" vertical="center" wrapText="1"/>
    </xf>
    <xf numFmtId="15" fontId="22" fillId="13" borderId="56" xfId="4" applyNumberFormat="1" applyFont="1" applyFill="1" applyBorder="1" applyAlignment="1">
      <alignment horizontal="center" vertical="center" wrapText="1"/>
    </xf>
    <xf numFmtId="15" fontId="22" fillId="8" borderId="56" xfId="4" applyNumberFormat="1" applyFont="1" applyFill="1" applyBorder="1" applyAlignment="1">
      <alignment horizontal="center" vertical="center" wrapText="1"/>
    </xf>
    <xf numFmtId="9" fontId="22" fillId="7" borderId="56" xfId="4" applyNumberFormat="1" applyFont="1" applyFill="1" applyBorder="1" applyAlignment="1">
      <alignment horizontal="center" vertical="center" wrapText="1"/>
    </xf>
    <xf numFmtId="15" fontId="15" fillId="7" borderId="57" xfId="4" applyNumberFormat="1" applyFont="1" applyFill="1" applyBorder="1" applyAlignment="1">
      <alignment horizontal="center" vertical="center" wrapText="1"/>
    </xf>
    <xf numFmtId="0" fontId="22" fillId="0" borderId="27" xfId="4" applyFont="1" applyFill="1" applyBorder="1" applyAlignment="1">
      <alignment horizontal="center" vertical="center" wrapText="1"/>
    </xf>
    <xf numFmtId="0" fontId="22" fillId="0" borderId="0" xfId="4" applyFont="1" applyFill="1" applyBorder="1" applyAlignment="1">
      <alignment horizontal="center" vertical="center" wrapText="1"/>
    </xf>
    <xf numFmtId="15" fontId="22" fillId="2" borderId="0" xfId="4" applyNumberFormat="1" applyFont="1" applyBorder="1" applyAlignment="1">
      <alignment horizontal="center" vertical="center" wrapText="1"/>
    </xf>
    <xf numFmtId="15" fontId="22" fillId="0" borderId="30" xfId="4" applyNumberFormat="1" applyFont="1" applyFill="1" applyBorder="1" applyAlignment="1">
      <alignment horizontal="center" vertical="center" wrapText="1"/>
    </xf>
    <xf numFmtId="0" fontId="8" fillId="0" borderId="30" xfId="2" applyFont="1" applyBorder="1">
      <alignment vertical="center"/>
    </xf>
    <xf numFmtId="0" fontId="8" fillId="7" borderId="58" xfId="2" applyFont="1" applyFill="1" applyBorder="1" applyAlignment="1">
      <alignment vertical="center" wrapText="1"/>
    </xf>
    <xf numFmtId="0" fontId="8" fillId="7" borderId="59" xfId="2" applyFont="1" applyFill="1" applyBorder="1" applyAlignment="1">
      <alignment vertical="center" wrapText="1"/>
    </xf>
    <xf numFmtId="0" fontId="8" fillId="7" borderId="46" xfId="2" applyFont="1" applyFill="1" applyBorder="1" applyAlignment="1">
      <alignment vertical="center" wrapText="1"/>
    </xf>
    <xf numFmtId="15" fontId="22" fillId="2" borderId="51" xfId="4" applyNumberFormat="1" applyFont="1" applyBorder="1" applyAlignment="1">
      <alignment vertical="center" wrapText="1"/>
    </xf>
    <xf numFmtId="15" fontId="22" fillId="13" borderId="51" xfId="4" applyNumberFormat="1" applyFont="1" applyFill="1" applyBorder="1" applyAlignment="1">
      <alignment vertical="center" wrapText="1"/>
    </xf>
    <xf numFmtId="15" fontId="22" fillId="13" borderId="56" xfId="4" applyNumberFormat="1" applyFont="1" applyFill="1" applyBorder="1" applyAlignment="1">
      <alignment vertical="center" wrapText="1"/>
    </xf>
    <xf numFmtId="0" fontId="22" fillId="5" borderId="51" xfId="4" applyFont="1" applyFill="1" applyBorder="1" applyAlignment="1">
      <alignment horizontal="center" vertical="center" wrapText="1"/>
    </xf>
    <xf numFmtId="15" fontId="22" fillId="5" borderId="54" xfId="4" applyNumberFormat="1" applyFont="1" applyFill="1" applyBorder="1" applyAlignment="1">
      <alignment horizontal="center" vertical="center" wrapText="1"/>
    </xf>
    <xf numFmtId="15" fontId="22" fillId="5" borderId="51" xfId="4" applyNumberFormat="1" applyFont="1" applyFill="1" applyBorder="1" applyAlignment="1">
      <alignment horizontal="center" vertical="center" wrapText="1"/>
    </xf>
    <xf numFmtId="15" fontId="22" fillId="5" borderId="51" xfId="4" applyNumberFormat="1" applyFont="1" applyFill="1" applyBorder="1" applyAlignment="1">
      <alignment vertical="center" wrapText="1"/>
    </xf>
    <xf numFmtId="9" fontId="22" fillId="5" borderId="51" xfId="4" applyNumberFormat="1" applyFont="1" applyFill="1" applyBorder="1" applyAlignment="1">
      <alignment horizontal="center" vertical="center" wrapText="1"/>
    </xf>
    <xf numFmtId="15" fontId="15" fillId="5" borderId="53" xfId="4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28" fillId="0" borderId="0" xfId="0" applyFont="1"/>
    <xf numFmtId="0" fontId="28" fillId="0" borderId="0" xfId="0" applyFont="1" applyAlignment="1">
      <alignment vertical="top"/>
    </xf>
    <xf numFmtId="0" fontId="28" fillId="0" borderId="0" xfId="0" applyFont="1" applyFill="1" applyAlignment="1">
      <alignment vertical="top" wrapText="1"/>
    </xf>
    <xf numFmtId="0" fontId="28" fillId="0" borderId="0" xfId="0" applyFont="1" applyAlignment="1">
      <alignment horizontal="center" vertical="center" wrapText="1"/>
    </xf>
    <xf numFmtId="165" fontId="28" fillId="0" borderId="0" xfId="0" applyNumberFormat="1" applyFont="1" applyAlignment="1">
      <alignment horizontal="center" vertical="top"/>
    </xf>
    <xf numFmtId="16" fontId="28" fillId="0" borderId="0" xfId="0" applyNumberFormat="1" applyFont="1" applyFill="1" applyAlignment="1">
      <alignment vertical="top" wrapText="1"/>
    </xf>
    <xf numFmtId="16" fontId="30" fillId="0" borderId="0" xfId="9" applyNumberFormat="1"/>
    <xf numFmtId="0" fontId="30" fillId="0" borderId="0" xfId="9"/>
    <xf numFmtId="16" fontId="30" fillId="15" borderId="0" xfId="9" applyNumberFormat="1" applyFill="1"/>
    <xf numFmtId="0" fontId="23" fillId="0" borderId="0" xfId="9" applyFont="1"/>
    <xf numFmtId="0" fontId="30" fillId="0" borderId="0" xfId="9" applyAlignment="1">
      <alignment horizontal="center" vertical="center"/>
    </xf>
    <xf numFmtId="0" fontId="30" fillId="0" borderId="16" xfId="9" applyBorder="1" applyAlignment="1">
      <alignment horizontal="center" vertical="center"/>
    </xf>
    <xf numFmtId="16" fontId="0" fillId="0" borderId="0" xfId="0" applyNumberFormat="1"/>
    <xf numFmtId="14" fontId="28" fillId="0" borderId="0" xfId="0" applyNumberFormat="1" applyFont="1" applyAlignment="1">
      <alignment textRotation="90"/>
    </xf>
    <xf numFmtId="0" fontId="31" fillId="16" borderId="0" xfId="0" applyFont="1" applyFill="1" applyAlignment="1">
      <alignment horizontal="center" vertical="center"/>
    </xf>
    <xf numFmtId="0" fontId="32" fillId="16" borderId="0" xfId="0" applyFont="1" applyFill="1" applyAlignment="1">
      <alignment vertical="center"/>
    </xf>
    <xf numFmtId="0" fontId="32" fillId="16" borderId="0" xfId="0" applyFont="1" applyFill="1"/>
    <xf numFmtId="0" fontId="28" fillId="0" borderId="75" xfId="0" applyFont="1" applyBorder="1" applyAlignment="1">
      <alignment vertical="top"/>
    </xf>
    <xf numFmtId="0" fontId="28" fillId="0" borderId="51" xfId="0" applyFont="1" applyBorder="1" applyAlignment="1">
      <alignment vertical="top"/>
    </xf>
    <xf numFmtId="0" fontId="28" fillId="0" borderId="76" xfId="0" applyFont="1" applyBorder="1" applyAlignment="1">
      <alignment vertical="top"/>
    </xf>
    <xf numFmtId="0" fontId="28" fillId="0" borderId="77" xfId="0" applyFont="1" applyBorder="1" applyAlignment="1">
      <alignment vertical="top"/>
    </xf>
    <xf numFmtId="0" fontId="28" fillId="0" borderId="78" xfId="0" applyFont="1" applyBorder="1" applyAlignment="1">
      <alignment vertical="top"/>
    </xf>
    <xf numFmtId="0" fontId="28" fillId="0" borderId="79" xfId="0" applyFont="1" applyBorder="1" applyAlignment="1">
      <alignment vertical="top"/>
    </xf>
    <xf numFmtId="0" fontId="35" fillId="0" borderId="0" xfId="0" applyFont="1" applyAlignment="1">
      <alignment horizontal="center" vertical="center" wrapText="1"/>
    </xf>
    <xf numFmtId="0" fontId="28" fillId="18" borderId="72" xfId="0" applyFont="1" applyFill="1" applyBorder="1" applyAlignment="1">
      <alignment horizontal="center" vertical="center" wrapText="1"/>
    </xf>
    <xf numFmtId="0" fontId="28" fillId="18" borderId="73" xfId="0" applyFont="1" applyFill="1" applyBorder="1" applyAlignment="1">
      <alignment horizontal="center" vertical="center" wrapText="1"/>
    </xf>
    <xf numFmtId="0" fontId="28" fillId="18" borderId="74" xfId="0" applyFont="1" applyFill="1" applyBorder="1" applyAlignment="1">
      <alignment horizontal="center" vertical="center" wrapText="1"/>
    </xf>
    <xf numFmtId="0" fontId="37" fillId="16" borderId="70" xfId="0" applyFont="1" applyFill="1" applyBorder="1" applyAlignment="1">
      <alignment horizontal="center" vertical="center"/>
    </xf>
    <xf numFmtId="0" fontId="37" fillId="16" borderId="64" xfId="0" applyFont="1" applyFill="1" applyBorder="1" applyAlignment="1">
      <alignment horizontal="center" vertical="center"/>
    </xf>
    <xf numFmtId="0" fontId="37" fillId="16" borderId="71" xfId="0" applyFont="1" applyFill="1" applyBorder="1" applyAlignment="1">
      <alignment horizontal="center" vertical="center"/>
    </xf>
    <xf numFmtId="0" fontId="28" fillId="17" borderId="0" xfId="0" applyFont="1" applyFill="1"/>
    <xf numFmtId="0" fontId="28" fillId="14" borderId="0" xfId="0" applyFont="1" applyFill="1"/>
    <xf numFmtId="0" fontId="28" fillId="12" borderId="0" xfId="0" applyFont="1" applyFill="1"/>
    <xf numFmtId="0" fontId="28" fillId="6" borderId="0" xfId="0" applyFont="1" applyFill="1"/>
    <xf numFmtId="167" fontId="39" fillId="0" borderId="0" xfId="0" applyNumberFormat="1" applyFont="1" applyAlignment="1">
      <alignment vertical="center"/>
    </xf>
    <xf numFmtId="0" fontId="40" fillId="10" borderId="16" xfId="0" applyFont="1" applyFill="1" applyBorder="1" applyAlignment="1">
      <alignment horizontal="center"/>
    </xf>
    <xf numFmtId="0" fontId="40" fillId="0" borderId="0" xfId="0" applyFont="1"/>
    <xf numFmtId="0" fontId="46" fillId="0" borderId="0" xfId="0" applyFont="1" applyAlignment="1">
      <alignment horizontal="left" vertical="center"/>
    </xf>
    <xf numFmtId="164" fontId="47" fillId="0" borderId="0" xfId="0" applyNumberFormat="1" applyFont="1" applyAlignment="1">
      <alignment horizontal="left" vertical="center" wrapText="1"/>
    </xf>
    <xf numFmtId="164" fontId="48" fillId="0" borderId="0" xfId="0" applyNumberFormat="1" applyFont="1" applyAlignment="1">
      <alignment horizontal="left" vertical="center"/>
    </xf>
    <xf numFmtId="167" fontId="48" fillId="0" borderId="0" xfId="0" applyNumberFormat="1" applyFont="1" applyAlignment="1">
      <alignment horizontal="left" vertical="center"/>
    </xf>
    <xf numFmtId="0" fontId="49" fillId="0" borderId="80" xfId="2" applyFont="1" applyBorder="1" applyAlignment="1">
      <alignment horizontal="center" vertical="center"/>
    </xf>
    <xf numFmtId="0" fontId="50" fillId="0" borderId="80" xfId="0" applyFont="1" applyBorder="1" applyAlignment="1">
      <alignment horizontal="center"/>
    </xf>
    <xf numFmtId="0" fontId="49" fillId="0" borderId="16" xfId="2" applyFont="1" applyBorder="1" applyAlignment="1">
      <alignment horizontal="center" vertical="center"/>
    </xf>
    <xf numFmtId="0" fontId="50" fillId="0" borderId="16" xfId="0" applyFont="1" applyBorder="1" applyAlignment="1">
      <alignment horizontal="center"/>
    </xf>
    <xf numFmtId="16" fontId="49" fillId="0" borderId="16" xfId="2" applyNumberFormat="1" applyFont="1" applyBorder="1" applyAlignment="1">
      <alignment horizontal="center" vertical="center"/>
    </xf>
    <xf numFmtId="13" fontId="49" fillId="0" borderId="16" xfId="2" applyNumberFormat="1" applyFont="1" applyBorder="1" applyAlignment="1">
      <alignment horizontal="center" vertical="center"/>
    </xf>
    <xf numFmtId="0" fontId="50" fillId="0" borderId="16" xfId="0" applyFont="1" applyBorder="1" applyAlignment="1">
      <alignment horizontal="center" vertical="center" wrapText="1"/>
    </xf>
    <xf numFmtId="0" fontId="50" fillId="0" borderId="16" xfId="0" applyFont="1" applyBorder="1" applyAlignment="1">
      <alignment horizontal="center" vertical="center"/>
    </xf>
    <xf numFmtId="0" fontId="49" fillId="0" borderId="80" xfId="2" applyFont="1" applyBorder="1" applyAlignment="1">
      <alignment vertical="center"/>
    </xf>
    <xf numFmtId="0" fontId="49" fillId="0" borderId="16" xfId="2" applyFont="1" applyBorder="1" applyAlignment="1">
      <alignment vertical="center"/>
    </xf>
    <xf numFmtId="0" fontId="49" fillId="0" borderId="16" xfId="2" applyFont="1" applyBorder="1" applyAlignment="1">
      <alignment vertical="center" wrapText="1"/>
    </xf>
    <xf numFmtId="0" fontId="33" fillId="7" borderId="75" xfId="9" applyFont="1" applyFill="1" applyBorder="1" applyAlignment="1">
      <alignment horizontal="center" vertical="center"/>
    </xf>
    <xf numFmtId="0" fontId="33" fillId="7" borderId="51" xfId="0" applyFont="1" applyFill="1" applyBorder="1" applyAlignment="1">
      <alignment horizontal="left" vertical="center" wrapText="1"/>
    </xf>
    <xf numFmtId="0" fontId="33" fillId="7" borderId="51" xfId="0" applyFont="1" applyFill="1" applyBorder="1" applyAlignment="1">
      <alignment horizontal="center" vertical="center"/>
    </xf>
    <xf numFmtId="0" fontId="28" fillId="0" borderId="51" xfId="0" applyFont="1" applyBorder="1" applyAlignment="1">
      <alignment horizontal="center" vertical="center"/>
    </xf>
    <xf numFmtId="0" fontId="28" fillId="0" borderId="76" xfId="0" applyFont="1" applyBorder="1" applyAlignment="1">
      <alignment horizontal="center" vertical="center"/>
    </xf>
    <xf numFmtId="0" fontId="28" fillId="6" borderId="51" xfId="0" applyFont="1" applyFill="1" applyBorder="1" applyAlignment="1">
      <alignment horizontal="center" vertical="center"/>
    </xf>
    <xf numFmtId="0" fontId="28" fillId="6" borderId="51" xfId="0" applyFont="1" applyFill="1" applyBorder="1" applyAlignment="1">
      <alignment horizontal="left" vertical="center"/>
    </xf>
    <xf numFmtId="0" fontId="30" fillId="7" borderId="75" xfId="9" applyFill="1" applyBorder="1" applyAlignment="1">
      <alignment horizontal="center" vertical="center"/>
    </xf>
    <xf numFmtId="0" fontId="43" fillId="7" borderId="51" xfId="0" applyFont="1" applyFill="1" applyBorder="1" applyAlignment="1">
      <alignment horizontal="center" vertical="center" wrapText="1"/>
    </xf>
    <xf numFmtId="0" fontId="43" fillId="7" borderId="51" xfId="0" applyFont="1" applyFill="1" applyBorder="1" applyAlignment="1">
      <alignment horizontal="center" vertical="center"/>
    </xf>
    <xf numFmtId="0" fontId="8" fillId="0" borderId="51" xfId="0" applyFont="1" applyBorder="1" applyAlignment="1">
      <alignment horizontal="center" vertical="center"/>
    </xf>
    <xf numFmtId="0" fontId="8" fillId="0" borderId="51" xfId="0" applyFont="1" applyBorder="1" applyAlignment="1">
      <alignment horizontal="left" vertical="center"/>
    </xf>
    <xf numFmtId="0" fontId="8" fillId="0" borderId="76" xfId="0" applyFont="1" applyBorder="1" applyAlignment="1">
      <alignment horizontal="center" vertical="center"/>
    </xf>
    <xf numFmtId="0" fontId="42" fillId="7" borderId="82" xfId="0" applyFont="1" applyFill="1" applyBorder="1" applyAlignment="1">
      <alignment vertical="center"/>
    </xf>
    <xf numFmtId="0" fontId="42" fillId="7" borderId="65" xfId="0" applyFont="1" applyFill="1" applyBorder="1" applyAlignment="1">
      <alignment vertical="center"/>
    </xf>
    <xf numFmtId="0" fontId="42" fillId="7" borderId="65" xfId="0" applyFont="1" applyFill="1" applyBorder="1" applyAlignment="1">
      <alignment horizontal="center" vertical="center"/>
    </xf>
    <xf numFmtId="0" fontId="42" fillId="7" borderId="83" xfId="0" applyFont="1" applyFill="1" applyBorder="1" applyAlignment="1">
      <alignment vertical="center"/>
    </xf>
    <xf numFmtId="0" fontId="33" fillId="7" borderId="51" xfId="0" applyFont="1" applyFill="1" applyBorder="1" applyAlignment="1">
      <alignment horizontal="center" vertical="center" wrapText="1"/>
    </xf>
    <xf numFmtId="0" fontId="44" fillId="7" borderId="51" xfId="0" applyFont="1" applyFill="1" applyBorder="1" applyAlignment="1">
      <alignment horizontal="center" vertical="center" wrapText="1"/>
    </xf>
    <xf numFmtId="0" fontId="28" fillId="7" borderId="51" xfId="0" applyFont="1" applyFill="1" applyBorder="1" applyAlignment="1">
      <alignment horizontal="left" vertical="center" wrapText="1"/>
    </xf>
    <xf numFmtId="0" fontId="28" fillId="0" borderId="51" xfId="0" applyFont="1" applyBorder="1" applyAlignment="1">
      <alignment horizontal="left" vertical="center"/>
    </xf>
    <xf numFmtId="0" fontId="45" fillId="7" borderId="51" xfId="0" applyFont="1" applyFill="1" applyBorder="1" applyAlignment="1">
      <alignment horizontal="center" vertical="center" wrapText="1"/>
    </xf>
    <xf numFmtId="0" fontId="33" fillId="7" borderId="51" xfId="0" applyFont="1" applyFill="1" applyBorder="1" applyAlignment="1">
      <alignment horizontal="left" vertical="center"/>
    </xf>
    <xf numFmtId="0" fontId="44" fillId="7" borderId="51" xfId="0" applyFont="1" applyFill="1" applyBorder="1" applyAlignment="1">
      <alignment horizontal="center" vertical="center"/>
    </xf>
    <xf numFmtId="0" fontId="44" fillId="7" borderId="51" xfId="0" applyFont="1" applyFill="1" applyBorder="1" applyAlignment="1">
      <alignment horizontal="left" vertical="center" wrapText="1"/>
    </xf>
    <xf numFmtId="0" fontId="33" fillId="7" borderId="77" xfId="9" applyFont="1" applyFill="1" applyBorder="1" applyAlignment="1">
      <alignment horizontal="center" vertical="center"/>
    </xf>
    <xf numFmtId="0" fontId="33" fillId="7" borderId="78" xfId="0" applyFont="1" applyFill="1" applyBorder="1" applyAlignment="1">
      <alignment horizontal="left" vertical="center"/>
    </xf>
    <xf numFmtId="0" fontId="33" fillId="7" borderId="78" xfId="0" applyFont="1" applyFill="1" applyBorder="1" applyAlignment="1">
      <alignment horizontal="center" vertical="center"/>
    </xf>
    <xf numFmtId="0" fontId="28" fillId="0" borderId="78" xfId="0" applyFont="1" applyBorder="1" applyAlignment="1">
      <alignment horizontal="left" vertical="center"/>
    </xf>
    <xf numFmtId="0" fontId="28" fillId="0" borderId="78" xfId="0" applyFont="1" applyBorder="1" applyAlignment="1">
      <alignment horizontal="center" vertical="center"/>
    </xf>
    <xf numFmtId="0" fontId="28" fillId="0" borderId="79" xfId="0" applyFont="1" applyBorder="1" applyAlignment="1">
      <alignment horizontal="center" vertical="center"/>
    </xf>
    <xf numFmtId="0" fontId="41" fillId="8" borderId="84" xfId="0" applyFont="1" applyFill="1" applyBorder="1" applyAlignment="1">
      <alignment horizontal="center" vertical="center"/>
    </xf>
    <xf numFmtId="0" fontId="41" fillId="8" borderId="85" xfId="0" applyFont="1" applyFill="1" applyBorder="1" applyAlignment="1">
      <alignment horizontal="center" vertical="center" wrapText="1"/>
    </xf>
    <xf numFmtId="0" fontId="41" fillId="8" borderId="85" xfId="0" applyFont="1" applyFill="1" applyBorder="1" applyAlignment="1">
      <alignment horizontal="center" vertical="center"/>
    </xf>
    <xf numFmtId="0" fontId="41" fillId="8" borderId="86" xfId="0" applyFont="1" applyFill="1" applyBorder="1" applyAlignment="1">
      <alignment horizontal="center" vertical="center" wrapText="1"/>
    </xf>
    <xf numFmtId="0" fontId="42" fillId="7" borderId="87" xfId="0" applyFont="1" applyFill="1" applyBorder="1" applyAlignment="1">
      <alignment vertical="center"/>
    </xf>
    <xf numFmtId="0" fontId="42" fillId="7" borderId="88" xfId="0" applyFont="1" applyFill="1" applyBorder="1" applyAlignment="1">
      <alignment vertical="center"/>
    </xf>
    <xf numFmtId="0" fontId="42" fillId="7" borderId="89" xfId="0" applyFont="1" applyFill="1" applyBorder="1" applyAlignment="1">
      <alignment vertical="center"/>
    </xf>
    <xf numFmtId="165" fontId="28" fillId="0" borderId="0" xfId="0" applyNumberFormat="1" applyFont="1" applyAlignment="1">
      <alignment horizontal="center" vertical="center"/>
    </xf>
    <xf numFmtId="0" fontId="28" fillId="0" borderId="0" xfId="0" applyFont="1" applyFill="1" applyAlignment="1">
      <alignment vertical="center" wrapText="1"/>
    </xf>
    <xf numFmtId="0" fontId="28" fillId="0" borderId="0" xfId="0" applyFont="1" applyFill="1" applyAlignment="1">
      <alignment horizontal="center" vertical="center"/>
    </xf>
    <xf numFmtId="0" fontId="38" fillId="0" borderId="0" xfId="10" applyFill="1" applyAlignment="1">
      <alignment horizontal="center" vertical="center" wrapText="1"/>
    </xf>
    <xf numFmtId="0" fontId="38" fillId="0" borderId="0" xfId="10" applyAlignment="1">
      <alignment vertical="center" wrapText="1"/>
    </xf>
    <xf numFmtId="0" fontId="51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49" fillId="0" borderId="80" xfId="0" applyFont="1" applyBorder="1" applyAlignment="1">
      <alignment horizontal="center" vertical="center"/>
    </xf>
    <xf numFmtId="0" fontId="49" fillId="0" borderId="16" xfId="0" applyFont="1" applyBorder="1" applyAlignment="1">
      <alignment horizontal="center" vertical="center"/>
    </xf>
    <xf numFmtId="0" fontId="52" fillId="0" borderId="16" xfId="0" applyFont="1" applyBorder="1" applyAlignment="1">
      <alignment horizontal="center"/>
    </xf>
    <xf numFmtId="0" fontId="52" fillId="0" borderId="16" xfId="0" applyFont="1" applyBorder="1"/>
    <xf numFmtId="0" fontId="52" fillId="0" borderId="0" xfId="0" applyFont="1"/>
    <xf numFmtId="0" fontId="53" fillId="0" borderId="16" xfId="0" applyFont="1" applyBorder="1"/>
    <xf numFmtId="0" fontId="49" fillId="0" borderId="34" xfId="0" applyFont="1" applyBorder="1" applyAlignment="1">
      <alignment horizontal="center" vertical="center"/>
    </xf>
    <xf numFmtId="0" fontId="49" fillId="0" borderId="35" xfId="0" applyFont="1" applyBorder="1" applyAlignment="1">
      <alignment horizontal="center" vertical="center"/>
    </xf>
    <xf numFmtId="0" fontId="49" fillId="0" borderId="36" xfId="0" applyFont="1" applyBorder="1" applyAlignment="1">
      <alignment horizontal="center" vertical="center"/>
    </xf>
    <xf numFmtId="0" fontId="53" fillId="0" borderId="91" xfId="11" applyFont="1" applyBorder="1" applyAlignment="1">
      <alignment horizontal="center" vertical="center"/>
    </xf>
    <xf numFmtId="0" fontId="53" fillId="0" borderId="92" xfId="11" applyFont="1" applyBorder="1" applyAlignment="1">
      <alignment horizontal="center"/>
    </xf>
    <xf numFmtId="0" fontId="53" fillId="0" borderId="16" xfId="0" applyFont="1" applyBorder="1" applyAlignment="1">
      <alignment horizontal="center" vertical="center"/>
    </xf>
    <xf numFmtId="0" fontId="53" fillId="0" borderId="16" xfId="0" applyFont="1" applyBorder="1" applyAlignment="1">
      <alignment horizontal="center" vertical="center" wrapText="1"/>
    </xf>
    <xf numFmtId="0" fontId="52" fillId="0" borderId="16" xfId="0" applyFont="1" applyBorder="1" applyAlignment="1">
      <alignment horizontal="center" vertical="center"/>
    </xf>
    <xf numFmtId="0" fontId="49" fillId="0" borderId="80" xfId="0" applyFont="1" applyBorder="1" applyAlignment="1">
      <alignment horizontal="center"/>
    </xf>
    <xf numFmtId="0" fontId="49" fillId="0" borderId="60" xfId="0" applyFont="1" applyBorder="1" applyAlignment="1">
      <alignment horizontal="center" vertical="center"/>
    </xf>
    <xf numFmtId="0" fontId="49" fillId="0" borderId="90" xfId="11" applyFont="1" applyBorder="1"/>
    <xf numFmtId="0" fontId="49" fillId="0" borderId="90" xfId="11" applyFont="1" applyBorder="1" applyAlignment="1">
      <alignment horizontal="center" vertical="center"/>
    </xf>
    <xf numFmtId="0" fontId="49" fillId="0" borderId="90" xfId="11" applyFont="1" applyBorder="1" applyAlignment="1">
      <alignment horizontal="center"/>
    </xf>
    <xf numFmtId="0" fontId="49" fillId="0" borderId="7" xfId="11" applyFont="1" applyBorder="1" applyAlignment="1">
      <alignment horizontal="center"/>
    </xf>
    <xf numFmtId="0" fontId="49" fillId="0" borderId="16" xfId="0" applyFont="1" applyBorder="1" applyAlignment="1">
      <alignment horizontal="center"/>
    </xf>
    <xf numFmtId="0" fontId="49" fillId="0" borderId="62" xfId="0" applyFont="1" applyBorder="1" applyAlignment="1">
      <alignment horizontal="center" vertical="center"/>
    </xf>
    <xf numFmtId="0" fontId="49" fillId="0" borderId="12" xfId="11" applyFont="1" applyBorder="1"/>
    <xf numFmtId="0" fontId="49" fillId="0" borderId="12" xfId="11" applyFont="1" applyBorder="1" applyAlignment="1">
      <alignment horizontal="center" vertical="center"/>
    </xf>
    <xf numFmtId="0" fontId="49" fillId="0" borderId="12" xfId="11" applyFont="1" applyBorder="1" applyAlignment="1">
      <alignment horizontal="center"/>
    </xf>
    <xf numFmtId="0" fontId="49" fillId="0" borderId="0" xfId="11" applyFont="1"/>
    <xf numFmtId="0" fontId="49" fillId="0" borderId="29" xfId="0" applyFont="1" applyBorder="1" applyAlignment="1">
      <alignment vertical="center" wrapText="1"/>
    </xf>
    <xf numFmtId="0" fontId="49" fillId="0" borderId="12" xfId="11" applyFont="1" applyFill="1" applyBorder="1"/>
    <xf numFmtId="12" fontId="52" fillId="0" borderId="16" xfId="0" applyNumberFormat="1" applyFont="1" applyBorder="1" applyAlignment="1">
      <alignment horizontal="center"/>
    </xf>
    <xf numFmtId="16" fontId="52" fillId="0" borderId="16" xfId="0" quotePrefix="1" applyNumberFormat="1" applyFont="1" applyBorder="1" applyAlignment="1">
      <alignment horizontal="center"/>
    </xf>
    <xf numFmtId="0" fontId="52" fillId="0" borderId="61" xfId="0" applyFont="1" applyBorder="1"/>
    <xf numFmtId="0" fontId="49" fillId="0" borderId="81" xfId="11" applyFont="1" applyBorder="1"/>
    <xf numFmtId="0" fontId="35" fillId="0" borderId="0" xfId="0" applyFont="1"/>
    <xf numFmtId="0" fontId="8" fillId="0" borderId="0" xfId="0" applyFont="1"/>
    <xf numFmtId="170" fontId="0" fillId="0" borderId="0" xfId="0" applyNumberFormat="1"/>
    <xf numFmtId="0" fontId="55" fillId="0" borderId="0" xfId="0" applyFont="1" applyAlignment="1">
      <alignment horizontal="center" vertical="center"/>
    </xf>
    <xf numFmtId="0" fontId="15" fillId="0" borderId="0" xfId="0" applyFont="1"/>
    <xf numFmtId="0" fontId="0" fillId="0" borderId="0" xfId="0" applyAlignment="1">
      <alignment horizontal="left" wrapText="1"/>
    </xf>
    <xf numFmtId="0" fontId="57" fillId="16" borderId="0" xfId="0" applyFont="1" applyFill="1" applyAlignment="1">
      <alignment horizontal="center" vertical="top"/>
    </xf>
    <xf numFmtId="0" fontId="57" fillId="17" borderId="0" xfId="0" applyFont="1" applyFill="1" applyAlignment="1">
      <alignment horizontal="center" vertical="top"/>
    </xf>
    <xf numFmtId="0" fontId="37" fillId="16" borderId="17" xfId="0" applyFont="1" applyFill="1" applyBorder="1" applyAlignment="1">
      <alignment horizontal="center" vertical="center"/>
    </xf>
    <xf numFmtId="0" fontId="37" fillId="16" borderId="18" xfId="0" applyFont="1" applyFill="1" applyBorder="1" applyAlignment="1">
      <alignment horizontal="center" vertical="center"/>
    </xf>
    <xf numFmtId="0" fontId="37" fillId="16" borderId="93" xfId="0" applyFont="1" applyFill="1" applyBorder="1" applyAlignment="1">
      <alignment horizontal="center" vertical="center"/>
    </xf>
    <xf numFmtId="0" fontId="58" fillId="0" borderId="0" xfId="0" applyNumberFormat="1" applyFont="1" applyAlignment="1">
      <alignment vertical="center"/>
    </xf>
    <xf numFmtId="169" fontId="28" fillId="0" borderId="17" xfId="0" applyNumberFormat="1" applyFont="1" applyBorder="1" applyAlignment="1">
      <alignment horizontal="left" vertical="top" wrapText="1"/>
    </xf>
    <xf numFmtId="169" fontId="28" fillId="0" borderId="18" xfId="0" applyNumberFormat="1" applyFont="1" applyBorder="1" applyAlignment="1">
      <alignment horizontal="left" vertical="top" wrapText="1"/>
    </xf>
    <xf numFmtId="169" fontId="28" fillId="0" borderId="98" xfId="0" applyNumberFormat="1" applyFont="1" applyBorder="1" applyAlignment="1">
      <alignment horizontal="left" vertical="top" wrapText="1"/>
    </xf>
    <xf numFmtId="169" fontId="28" fillId="0" borderId="32" xfId="0" applyNumberFormat="1" applyFont="1" applyBorder="1" applyAlignment="1">
      <alignment horizontal="left" vertical="top" wrapText="1"/>
    </xf>
    <xf numFmtId="169" fontId="28" fillId="0" borderId="101" xfId="0" applyNumberFormat="1" applyFont="1" applyBorder="1" applyAlignment="1">
      <alignment horizontal="left" vertical="top" wrapText="1"/>
    </xf>
    <xf numFmtId="169" fontId="28" fillId="0" borderId="102" xfId="0" applyNumberFormat="1" applyFont="1" applyBorder="1" applyAlignment="1">
      <alignment horizontal="left" vertical="top" wrapText="1"/>
    </xf>
    <xf numFmtId="170" fontId="59" fillId="0" borderId="66" xfId="0" applyNumberFormat="1" applyFont="1" applyFill="1" applyBorder="1"/>
    <xf numFmtId="0" fontId="59" fillId="0" borderId="66" xfId="0" applyFont="1" applyFill="1" applyBorder="1"/>
    <xf numFmtId="170" fontId="59" fillId="0" borderId="105" xfId="0" applyNumberFormat="1" applyFont="1" applyFill="1" applyBorder="1"/>
    <xf numFmtId="0" fontId="59" fillId="0" borderId="105" xfId="0" applyFont="1" applyFill="1" applyBorder="1"/>
    <xf numFmtId="170" fontId="8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169" fontId="34" fillId="0" borderId="103" xfId="0" applyNumberFormat="1" applyFont="1" applyFill="1" applyBorder="1" applyAlignment="1">
      <alignment horizontal="left" vertical="top" wrapText="1"/>
    </xf>
    <xf numFmtId="169" fontId="34" fillId="0" borderId="93" xfId="0" applyNumberFormat="1" applyFont="1" applyFill="1" applyBorder="1" applyAlignment="1">
      <alignment horizontal="left" vertical="top" wrapText="1"/>
    </xf>
    <xf numFmtId="169" fontId="34" fillId="0" borderId="99" xfId="0" applyNumberFormat="1" applyFont="1" applyFill="1" applyBorder="1" applyAlignment="1">
      <alignment horizontal="left" vertical="top" wrapText="1"/>
    </xf>
    <xf numFmtId="170" fontId="0" fillId="0" borderId="0" xfId="0" applyNumberFormat="1" applyBorder="1"/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 wrapText="1"/>
    </xf>
    <xf numFmtId="170" fontId="8" fillId="0" borderId="0" xfId="0" applyNumberFormat="1" applyFont="1" applyBorder="1"/>
    <xf numFmtId="0" fontId="0" fillId="0" borderId="0" xfId="0" applyAlignment="1">
      <alignment vertical="center"/>
    </xf>
    <xf numFmtId="0" fontId="33" fillId="0" borderId="30" xfId="0" applyFont="1" applyBorder="1" applyAlignment="1">
      <alignment vertical="center" wrapText="1"/>
    </xf>
    <xf numFmtId="0" fontId="37" fillId="0" borderId="115" xfId="0" applyFont="1" applyFill="1" applyBorder="1" applyAlignment="1">
      <alignment horizontal="center" vertical="center" wrapText="1"/>
    </xf>
    <xf numFmtId="0" fontId="37" fillId="0" borderId="112" xfId="0" applyFont="1" applyFill="1" applyBorder="1" applyAlignment="1">
      <alignment horizontal="center" vertical="center" wrapText="1"/>
    </xf>
    <xf numFmtId="0" fontId="36" fillId="0" borderId="112" xfId="0" applyFont="1" applyFill="1" applyBorder="1" applyAlignment="1">
      <alignment horizontal="center" vertical="center" wrapText="1"/>
    </xf>
    <xf numFmtId="0" fontId="36" fillId="0" borderId="117" xfId="0" applyFont="1" applyFill="1" applyBorder="1" applyAlignment="1">
      <alignment horizontal="center" vertical="center" wrapText="1"/>
    </xf>
    <xf numFmtId="0" fontId="33" fillId="0" borderId="114" xfId="0" applyFont="1" applyFill="1" applyBorder="1" applyAlignment="1">
      <alignment vertical="center" wrapText="1"/>
    </xf>
    <xf numFmtId="0" fontId="33" fillId="0" borderId="110" xfId="0" applyFont="1" applyFill="1" applyBorder="1" applyAlignment="1">
      <alignment vertical="center"/>
    </xf>
    <xf numFmtId="0" fontId="33" fillId="0" borderId="110" xfId="0" applyFont="1" applyFill="1" applyBorder="1" applyAlignment="1">
      <alignment horizontal="center" vertical="center"/>
    </xf>
    <xf numFmtId="0" fontId="33" fillId="0" borderId="30" xfId="0" applyFont="1" applyFill="1" applyBorder="1" applyAlignment="1">
      <alignment vertical="center" wrapText="1"/>
    </xf>
    <xf numFmtId="0" fontId="33" fillId="0" borderId="111" xfId="0" applyFont="1" applyFill="1" applyBorder="1" applyAlignment="1">
      <alignment vertical="center"/>
    </xf>
    <xf numFmtId="0" fontId="33" fillId="0" borderId="111" xfId="0" applyFont="1" applyFill="1" applyBorder="1" applyAlignment="1">
      <alignment horizontal="center" vertical="center"/>
    </xf>
    <xf numFmtId="0" fontId="33" fillId="0" borderId="115" xfId="0" applyFont="1" applyFill="1" applyBorder="1" applyAlignment="1">
      <alignment vertical="center" wrapText="1"/>
    </xf>
    <xf numFmtId="0" fontId="33" fillId="0" borderId="112" xfId="0" applyFont="1" applyFill="1" applyBorder="1" applyAlignment="1">
      <alignment vertical="center"/>
    </xf>
    <xf numFmtId="0" fontId="33" fillId="0" borderId="112" xfId="0" applyFont="1" applyFill="1" applyBorder="1" applyAlignment="1">
      <alignment horizontal="center" vertical="center"/>
    </xf>
    <xf numFmtId="0" fontId="33" fillId="0" borderId="116" xfId="0" applyFont="1" applyFill="1" applyBorder="1" applyAlignment="1">
      <alignment vertical="center" wrapText="1"/>
    </xf>
    <xf numFmtId="0" fontId="33" fillId="0" borderId="113" xfId="0" applyFont="1" applyFill="1" applyBorder="1" applyAlignment="1">
      <alignment vertical="center"/>
    </xf>
    <xf numFmtId="0" fontId="33" fillId="0" borderId="113" xfId="0" applyFont="1" applyFill="1" applyBorder="1" applyAlignment="1">
      <alignment horizontal="center" vertical="center"/>
    </xf>
    <xf numFmtId="0" fontId="63" fillId="0" borderId="111" xfId="0" applyFont="1" applyBorder="1" applyAlignment="1">
      <alignment vertical="center"/>
    </xf>
    <xf numFmtId="171" fontId="62" fillId="0" borderId="111" xfId="0" applyNumberFormat="1" applyFont="1" applyBorder="1" applyAlignment="1">
      <alignment horizontal="center" vertical="center"/>
    </xf>
    <xf numFmtId="0" fontId="64" fillId="0" borderId="0" xfId="0" applyNumberFormat="1" applyFont="1" applyAlignment="1">
      <alignment horizontal="left" vertical="center" wrapText="1"/>
    </xf>
    <xf numFmtId="0" fontId="51" fillId="0" borderId="110" xfId="0" applyFont="1" applyFill="1" applyBorder="1" applyAlignment="1">
      <alignment horizontal="center" vertical="center"/>
    </xf>
    <xf numFmtId="0" fontId="51" fillId="0" borderId="111" xfId="0" applyFont="1" applyFill="1" applyBorder="1" applyAlignment="1">
      <alignment horizontal="center" vertical="center"/>
    </xf>
    <xf numFmtId="0" fontId="51" fillId="0" borderId="112" xfId="0" applyFont="1" applyFill="1" applyBorder="1" applyAlignment="1">
      <alignment horizontal="center" vertical="center"/>
    </xf>
    <xf numFmtId="0" fontId="51" fillId="0" borderId="111" xfId="0" applyFont="1" applyBorder="1" applyAlignment="1">
      <alignment horizontal="center" vertical="center"/>
    </xf>
    <xf numFmtId="0" fontId="51" fillId="0" borderId="110" xfId="0" applyFont="1" applyBorder="1" applyAlignment="1">
      <alignment horizontal="center" vertical="center"/>
    </xf>
    <xf numFmtId="0" fontId="51" fillId="0" borderId="112" xfId="0" applyFont="1" applyBorder="1" applyAlignment="1">
      <alignment horizontal="center" vertical="center"/>
    </xf>
    <xf numFmtId="0" fontId="51" fillId="0" borderId="113" xfId="0" applyFont="1" applyBorder="1" applyAlignment="1">
      <alignment horizontal="center" vertical="center"/>
    </xf>
    <xf numFmtId="0" fontId="52" fillId="0" borderId="110" xfId="0" applyFont="1" applyFill="1" applyBorder="1" applyAlignment="1">
      <alignment vertical="center"/>
    </xf>
    <xf numFmtId="0" fontId="52" fillId="0" borderId="110" xfId="0" applyFont="1" applyFill="1" applyBorder="1" applyAlignment="1">
      <alignment vertical="center" wrapText="1"/>
    </xf>
    <xf numFmtId="0" fontId="52" fillId="0" borderId="111" xfId="0" applyFont="1" applyFill="1" applyBorder="1" applyAlignment="1">
      <alignment vertical="center"/>
    </xf>
    <xf numFmtId="0" fontId="52" fillId="0" borderId="27" xfId="0" applyFont="1" applyFill="1" applyBorder="1" applyAlignment="1">
      <alignment vertical="center" wrapText="1"/>
    </xf>
    <xf numFmtId="0" fontId="52" fillId="0" borderId="112" xfId="0" applyFont="1" applyFill="1" applyBorder="1" applyAlignment="1">
      <alignment vertical="center"/>
    </xf>
    <xf numFmtId="0" fontId="52" fillId="0" borderId="111" xfId="0" applyFont="1" applyBorder="1" applyAlignment="1">
      <alignment vertical="center"/>
    </xf>
    <xf numFmtId="0" fontId="52" fillId="0" borderId="110" xfId="0" applyFont="1" applyBorder="1" applyAlignment="1">
      <alignment vertical="center"/>
    </xf>
    <xf numFmtId="0" fontId="52" fillId="0" borderId="112" xfId="0" applyFont="1" applyBorder="1" applyAlignment="1">
      <alignment vertical="center"/>
    </xf>
    <xf numFmtId="0" fontId="52" fillId="0" borderId="113" xfId="0" applyFont="1" applyBorder="1" applyAlignment="1">
      <alignment vertical="center"/>
    </xf>
    <xf numFmtId="0" fontId="52" fillId="0" borderId="24" xfId="0" applyFont="1" applyFill="1" applyBorder="1" applyAlignment="1">
      <alignment vertical="center" wrapText="1"/>
    </xf>
    <xf numFmtId="0" fontId="52" fillId="0" borderId="117" xfId="0" applyFont="1" applyFill="1" applyBorder="1" applyAlignment="1">
      <alignment vertical="center" wrapText="1"/>
    </xf>
    <xf numFmtId="0" fontId="52" fillId="0" borderId="27" xfId="0" applyFont="1" applyBorder="1" applyAlignment="1">
      <alignment vertical="center"/>
    </xf>
    <xf numFmtId="0" fontId="52" fillId="0" borderId="24" xfId="0" applyFont="1" applyBorder="1" applyAlignment="1">
      <alignment vertical="center" wrapText="1"/>
    </xf>
    <xf numFmtId="0" fontId="52" fillId="0" borderId="27" xfId="0" applyFont="1" applyBorder="1" applyAlignment="1">
      <alignment vertical="center" wrapText="1"/>
    </xf>
    <xf numFmtId="0" fontId="52" fillId="0" borderId="117" xfId="0" applyFont="1" applyBorder="1" applyAlignment="1">
      <alignment vertical="center" wrapText="1"/>
    </xf>
    <xf numFmtId="0" fontId="52" fillId="0" borderId="117" xfId="0" applyFont="1" applyBorder="1" applyAlignment="1">
      <alignment vertical="center"/>
    </xf>
    <xf numFmtId="0" fontId="52" fillId="0" borderId="118" xfId="0" applyFont="1" applyBorder="1" applyAlignment="1">
      <alignment vertical="center" wrapText="1"/>
    </xf>
    <xf numFmtId="0" fontId="52" fillId="0" borderId="111" xfId="0" applyFont="1" applyFill="1" applyBorder="1" applyAlignment="1">
      <alignment vertical="center" wrapText="1"/>
    </xf>
    <xf numFmtId="0" fontId="52" fillId="0" borderId="112" xfId="0" applyFont="1" applyFill="1" applyBorder="1" applyAlignment="1">
      <alignment vertical="center" wrapText="1"/>
    </xf>
    <xf numFmtId="0" fontId="52" fillId="0" borderId="111" xfId="0" applyFont="1" applyBorder="1" applyAlignment="1">
      <alignment vertical="center" wrapText="1"/>
    </xf>
    <xf numFmtId="0" fontId="52" fillId="0" borderId="110" xfId="0" applyFont="1" applyBorder="1" applyAlignment="1">
      <alignment vertical="center" wrapText="1"/>
    </xf>
    <xf numFmtId="0" fontId="52" fillId="0" borderId="112" xfId="0" applyFont="1" applyBorder="1" applyAlignment="1">
      <alignment vertical="center" wrapText="1"/>
    </xf>
    <xf numFmtId="0" fontId="52" fillId="0" borderId="113" xfId="0" applyFont="1" applyBorder="1" applyAlignment="1">
      <alignment vertical="center" wrapText="1"/>
    </xf>
    <xf numFmtId="0" fontId="65" fillId="0" borderId="0" xfId="0" applyFont="1" applyAlignment="1">
      <alignment vertical="center"/>
    </xf>
    <xf numFmtId="0" fontId="3" fillId="0" borderId="0" xfId="12"/>
    <xf numFmtId="0" fontId="68" fillId="0" borderId="0" xfId="12" applyFont="1" applyAlignment="1">
      <alignment horizontal="center" vertical="center"/>
    </xf>
    <xf numFmtId="0" fontId="3" fillId="0" borderId="0" xfId="12" applyAlignment="1">
      <alignment horizontal="right" vertical="center"/>
    </xf>
    <xf numFmtId="0" fontId="70" fillId="20" borderId="119" xfId="12" applyFont="1" applyFill="1" applyBorder="1" applyAlignment="1">
      <alignment horizontal="center" vertical="center"/>
    </xf>
    <xf numFmtId="0" fontId="70" fillId="20" borderId="120" xfId="12" applyFont="1" applyFill="1" applyBorder="1" applyAlignment="1">
      <alignment horizontal="center" vertical="center"/>
    </xf>
    <xf numFmtId="0" fontId="70" fillId="20" borderId="121" xfId="12" applyFont="1" applyFill="1" applyBorder="1" applyAlignment="1">
      <alignment horizontal="center" vertical="center"/>
    </xf>
    <xf numFmtId="0" fontId="3" fillId="0" borderId="122" xfId="12" applyBorder="1" applyAlignment="1">
      <alignment horizontal="center"/>
    </xf>
    <xf numFmtId="0" fontId="3" fillId="0" borderId="123" xfId="12" applyBorder="1"/>
    <xf numFmtId="0" fontId="3" fillId="0" borderId="123" xfId="12" applyBorder="1" applyAlignment="1">
      <alignment horizontal="center"/>
    </xf>
    <xf numFmtId="0" fontId="3" fillId="0" borderId="124" xfId="12" applyBorder="1" applyAlignment="1">
      <alignment horizontal="center"/>
    </xf>
    <xf numFmtId="0" fontId="3" fillId="0" borderId="125" xfId="12" applyBorder="1" applyAlignment="1">
      <alignment horizontal="center"/>
    </xf>
    <xf numFmtId="0" fontId="3" fillId="0" borderId="126" xfId="12" applyBorder="1"/>
    <xf numFmtId="0" fontId="3" fillId="0" borderId="126" xfId="12" applyBorder="1" applyAlignment="1">
      <alignment horizontal="center"/>
    </xf>
    <xf numFmtId="0" fontId="3" fillId="0" borderId="127" xfId="12" applyBorder="1" applyAlignment="1">
      <alignment horizontal="center"/>
    </xf>
    <xf numFmtId="0" fontId="3" fillId="0" borderId="130" xfId="12" applyBorder="1" applyAlignment="1">
      <alignment horizontal="center"/>
    </xf>
    <xf numFmtId="0" fontId="3" fillId="0" borderId="34" xfId="12" applyBorder="1"/>
    <xf numFmtId="0" fontId="3" fillId="0" borderId="34" xfId="12" applyBorder="1" applyAlignment="1">
      <alignment horizontal="center"/>
    </xf>
    <xf numFmtId="0" fontId="3" fillId="0" borderId="36" xfId="12" applyBorder="1" applyAlignment="1">
      <alignment horizontal="center"/>
    </xf>
    <xf numFmtId="0" fontId="3" fillId="0" borderId="27" xfId="12" applyBorder="1" applyAlignment="1">
      <alignment horizontal="center"/>
    </xf>
    <xf numFmtId="0" fontId="3" fillId="0" borderId="0" xfId="12" applyAlignment="1">
      <alignment horizontal="center"/>
    </xf>
    <xf numFmtId="0" fontId="3" fillId="0" borderId="30" xfId="12" applyBorder="1" applyAlignment="1">
      <alignment horizontal="center"/>
    </xf>
    <xf numFmtId="0" fontId="3" fillId="21" borderId="27" xfId="12" applyFill="1" applyBorder="1"/>
    <xf numFmtId="0" fontId="3" fillId="0" borderId="27" xfId="12" applyBorder="1"/>
    <xf numFmtId="0" fontId="3" fillId="0" borderId="30" xfId="12" applyBorder="1"/>
    <xf numFmtId="0" fontId="3" fillId="0" borderId="0" xfId="12" applyAlignment="1">
      <alignment horizontal="right"/>
    </xf>
    <xf numFmtId="0" fontId="3" fillId="0" borderId="58" xfId="12" applyBorder="1"/>
    <xf numFmtId="0" fontId="3" fillId="0" borderId="59" xfId="12" applyBorder="1" applyAlignment="1">
      <alignment horizontal="right"/>
    </xf>
    <xf numFmtId="0" fontId="3" fillId="0" borderId="59" xfId="12" applyBorder="1"/>
    <xf numFmtId="0" fontId="3" fillId="0" borderId="59" xfId="12" applyBorder="1" applyAlignment="1">
      <alignment horizontal="center"/>
    </xf>
    <xf numFmtId="0" fontId="3" fillId="0" borderId="46" xfId="12" applyBorder="1" applyAlignment="1">
      <alignment horizontal="center"/>
    </xf>
    <xf numFmtId="0" fontId="71" fillId="0" borderId="0" xfId="12" applyFont="1" applyAlignment="1">
      <alignment horizontal="center"/>
    </xf>
    <xf numFmtId="0" fontId="72" fillId="0" borderId="0" xfId="12" applyFont="1"/>
    <xf numFmtId="0" fontId="67" fillId="0" borderId="0" xfId="12" applyFont="1" applyAlignment="1">
      <alignment horizontal="center"/>
    </xf>
    <xf numFmtId="0" fontId="73" fillId="0" borderId="131" xfId="12" applyFont="1" applyBorder="1" applyAlignment="1">
      <alignment horizontal="center" vertical="center" wrapText="1"/>
    </xf>
    <xf numFmtId="0" fontId="3" fillId="0" borderId="0" xfId="12" applyAlignment="1">
      <alignment vertical="center"/>
    </xf>
    <xf numFmtId="0" fontId="3" fillId="0" borderId="0" xfId="12" applyAlignment="1">
      <alignment horizontal="center" vertical="center"/>
    </xf>
    <xf numFmtId="0" fontId="67" fillId="0" borderId="131" xfId="12" applyFont="1" applyBorder="1" applyAlignment="1">
      <alignment horizontal="center"/>
    </xf>
    <xf numFmtId="0" fontId="3" fillId="0" borderId="132" xfId="12" applyBorder="1" applyAlignment="1">
      <alignment horizontal="center"/>
    </xf>
    <xf numFmtId="0" fontId="8" fillId="0" borderId="133" xfId="13" applyBorder="1"/>
    <xf numFmtId="0" fontId="8" fillId="0" borderId="133" xfId="13" applyBorder="1" applyAlignment="1">
      <alignment horizontal="center" vertical="center"/>
    </xf>
    <xf numFmtId="0" fontId="3" fillId="0" borderId="133" xfId="12" applyBorder="1" applyAlignment="1">
      <alignment horizontal="center"/>
    </xf>
    <xf numFmtId="0" fontId="3" fillId="0" borderId="133" xfId="12" quotePrefix="1" applyBorder="1" applyAlignment="1">
      <alignment horizontal="center"/>
    </xf>
    <xf numFmtId="0" fontId="3" fillId="0" borderId="134" xfId="12" applyBorder="1" applyAlignment="1">
      <alignment horizontal="center"/>
    </xf>
    <xf numFmtId="0" fontId="8" fillId="0" borderId="51" xfId="13" applyBorder="1"/>
    <xf numFmtId="0" fontId="8" fillId="0" borderId="51" xfId="13" applyBorder="1" applyAlignment="1">
      <alignment horizontal="center" vertical="center"/>
    </xf>
    <xf numFmtId="0" fontId="3" fillId="0" borderId="51" xfId="12" applyBorder="1" applyAlignment="1">
      <alignment horizontal="center" vertical="center" wrapText="1"/>
    </xf>
    <xf numFmtId="0" fontId="3" fillId="0" borderId="51" xfId="12" quotePrefix="1" applyBorder="1" applyAlignment="1">
      <alignment horizontal="center"/>
    </xf>
    <xf numFmtId="0" fontId="3" fillId="0" borderId="51" xfId="12" applyBorder="1" applyAlignment="1">
      <alignment horizontal="center"/>
    </xf>
    <xf numFmtId="0" fontId="3" fillId="0" borderId="135" xfId="12" applyBorder="1" applyAlignment="1">
      <alignment horizontal="center"/>
    </xf>
    <xf numFmtId="0" fontId="74" fillId="0" borderId="51" xfId="13" applyFont="1" applyBorder="1" applyAlignment="1">
      <alignment horizontal="center"/>
    </xf>
    <xf numFmtId="0" fontId="66" fillId="0" borderId="135" xfId="12" applyFont="1" applyBorder="1" applyAlignment="1">
      <alignment horizontal="center"/>
    </xf>
    <xf numFmtId="14" fontId="3" fillId="0" borderId="51" xfId="12" quotePrefix="1" applyNumberFormat="1" applyBorder="1" applyAlignment="1">
      <alignment horizontal="center"/>
    </xf>
    <xf numFmtId="0" fontId="74" fillId="0" borderId="51" xfId="13" applyFont="1" applyBorder="1"/>
    <xf numFmtId="0" fontId="8" fillId="0" borderId="51" xfId="13" applyBorder="1" applyAlignment="1">
      <alignment horizontal="center"/>
    </xf>
    <xf numFmtId="0" fontId="66" fillId="0" borderId="51" xfId="12" applyFont="1" applyBorder="1" applyAlignment="1">
      <alignment horizontal="center"/>
    </xf>
    <xf numFmtId="0" fontId="7" fillId="0" borderId="135" xfId="12" applyFont="1" applyBorder="1" applyAlignment="1">
      <alignment horizontal="center"/>
    </xf>
    <xf numFmtId="0" fontId="3" fillId="0" borderId="136" xfId="12" applyBorder="1" applyAlignment="1">
      <alignment horizontal="center"/>
    </xf>
    <xf numFmtId="0" fontId="8" fillId="0" borderId="52" xfId="13" applyBorder="1"/>
    <xf numFmtId="0" fontId="8" fillId="0" borderId="52" xfId="13" applyBorder="1" applyAlignment="1">
      <alignment horizontal="center"/>
    </xf>
    <xf numFmtId="0" fontId="3" fillId="0" borderId="52" xfId="12" applyBorder="1" applyAlignment="1">
      <alignment horizontal="center"/>
    </xf>
    <xf numFmtId="0" fontId="66" fillId="0" borderId="137" xfId="12" applyFont="1" applyBorder="1" applyAlignment="1">
      <alignment horizontal="center"/>
    </xf>
    <xf numFmtId="0" fontId="3" fillId="0" borderId="52" xfId="12" quotePrefix="1" applyBorder="1" applyAlignment="1">
      <alignment horizontal="center"/>
    </xf>
    <xf numFmtId="167" fontId="75" fillId="0" borderId="52" xfId="12" quotePrefix="1" applyNumberFormat="1" applyFont="1" applyBorder="1" applyAlignment="1">
      <alignment horizontal="center"/>
    </xf>
    <xf numFmtId="0" fontId="66" fillId="0" borderId="52" xfId="12" applyFont="1" applyBorder="1" applyAlignment="1">
      <alignment horizontal="center"/>
    </xf>
    <xf numFmtId="0" fontId="3" fillId="0" borderId="52" xfId="12" applyBorder="1" applyAlignment="1">
      <alignment horizontal="center" vertical="center"/>
    </xf>
    <xf numFmtId="0" fontId="66" fillId="0" borderId="137" xfId="12" applyFont="1" applyBorder="1" applyAlignment="1">
      <alignment horizontal="center" vertical="center"/>
    </xf>
    <xf numFmtId="167" fontId="75" fillId="0" borderId="51" xfId="12" quotePrefix="1" applyNumberFormat="1" applyFont="1" applyBorder="1" applyAlignment="1">
      <alignment horizontal="center"/>
    </xf>
    <xf numFmtId="0" fontId="3" fillId="0" borderId="138" xfId="12" applyBorder="1" applyAlignment="1">
      <alignment horizontal="center"/>
    </xf>
    <xf numFmtId="0" fontId="8" fillId="0" borderId="139" xfId="13" applyBorder="1"/>
    <xf numFmtId="0" fontId="8" fillId="0" borderId="139" xfId="13" applyBorder="1" applyAlignment="1">
      <alignment horizontal="center"/>
    </xf>
    <xf numFmtId="0" fontId="3" fillId="0" borderId="139" xfId="12" quotePrefix="1" applyBorder="1" applyAlignment="1">
      <alignment horizontal="center"/>
    </xf>
    <xf numFmtId="167" fontId="75" fillId="0" borderId="139" xfId="12" quotePrefix="1" applyNumberFormat="1" applyFont="1" applyBorder="1" applyAlignment="1">
      <alignment horizontal="center"/>
    </xf>
    <xf numFmtId="0" fontId="66" fillId="0" borderId="139" xfId="12" applyFont="1" applyBorder="1" applyAlignment="1">
      <alignment horizontal="center"/>
    </xf>
    <xf numFmtId="0" fontId="3" fillId="0" borderId="139" xfId="12" applyBorder="1" applyAlignment="1">
      <alignment horizontal="center" vertical="center"/>
    </xf>
    <xf numFmtId="0" fontId="3" fillId="0" borderId="139" xfId="12" applyBorder="1" applyAlignment="1">
      <alignment horizontal="center"/>
    </xf>
    <xf numFmtId="0" fontId="66" fillId="0" borderId="140" xfId="12" applyFont="1" applyBorder="1" applyAlignment="1">
      <alignment horizontal="center" vertical="center"/>
    </xf>
    <xf numFmtId="0" fontId="76" fillId="0" borderId="34" xfId="12" applyFont="1" applyBorder="1"/>
    <xf numFmtId="0" fontId="8" fillId="0" borderId="0" xfId="13" applyAlignment="1">
      <alignment horizontal="center"/>
    </xf>
    <xf numFmtId="0" fontId="3" fillId="0" borderId="0" xfId="12" quotePrefix="1" applyAlignment="1">
      <alignment horizontal="center"/>
    </xf>
    <xf numFmtId="167" fontId="3" fillId="0" borderId="128" xfId="12" quotePrefix="1" applyNumberFormat="1" applyBorder="1" applyAlignment="1">
      <alignment horizontal="center"/>
    </xf>
    <xf numFmtId="0" fontId="3" fillId="0" borderId="0" xfId="12" quotePrefix="1" applyAlignment="1">
      <alignment horizontal="center" vertical="center"/>
    </xf>
    <xf numFmtId="0" fontId="33" fillId="0" borderId="0" xfId="12" applyFont="1"/>
    <xf numFmtId="167" fontId="3" fillId="0" borderId="0" xfId="12" quotePrefix="1" applyNumberFormat="1" applyAlignment="1">
      <alignment horizontal="center"/>
    </xf>
    <xf numFmtId="0" fontId="29" fillId="0" borderId="0" xfId="13" applyFont="1"/>
    <xf numFmtId="0" fontId="63" fillId="0" borderId="111" xfId="0" applyFont="1" applyFill="1" applyBorder="1" applyAlignment="1">
      <alignment vertical="center"/>
    </xf>
    <xf numFmtId="171" fontId="62" fillId="0" borderId="111" xfId="0" applyNumberFormat="1" applyFont="1" applyFill="1" applyBorder="1" applyAlignment="1">
      <alignment horizontal="center" vertical="center"/>
    </xf>
    <xf numFmtId="0" fontId="3" fillId="0" borderId="125" xfId="12" applyBorder="1" applyAlignment="1">
      <alignment horizontal="center" vertical="center"/>
    </xf>
    <xf numFmtId="0" fontId="3" fillId="0" borderId="126" xfId="12" applyFill="1" applyBorder="1"/>
    <xf numFmtId="0" fontId="3" fillId="0" borderId="126" xfId="12" applyFill="1" applyBorder="1" applyAlignment="1">
      <alignment horizontal="center"/>
    </xf>
    <xf numFmtId="0" fontId="3" fillId="0" borderId="127" xfId="12" applyFill="1" applyBorder="1" applyAlignment="1">
      <alignment horizontal="center"/>
    </xf>
    <xf numFmtId="0" fontId="2" fillId="0" borderId="126" xfId="12" applyFont="1" applyFill="1" applyBorder="1"/>
    <xf numFmtId="0" fontId="2" fillId="0" borderId="126" xfId="12" applyFont="1" applyFill="1" applyBorder="1" applyAlignment="1">
      <alignment horizontal="center"/>
    </xf>
    <xf numFmtId="0" fontId="3" fillId="0" borderId="128" xfId="12" applyFill="1" applyBorder="1"/>
    <xf numFmtId="0" fontId="3" fillId="0" borderId="128" xfId="12" applyFill="1" applyBorder="1" applyAlignment="1">
      <alignment horizontal="center"/>
    </xf>
    <xf numFmtId="0" fontId="3" fillId="0" borderId="129" xfId="12" applyFill="1" applyBorder="1" applyAlignment="1">
      <alignment horizontal="center"/>
    </xf>
    <xf numFmtId="0" fontId="2" fillId="0" borderId="128" xfId="12" applyFont="1" applyFill="1" applyBorder="1" applyAlignment="1">
      <alignment wrapText="1"/>
    </xf>
    <xf numFmtId="0" fontId="2" fillId="0" borderId="128" xfId="12" applyFont="1" applyFill="1" applyBorder="1" applyAlignment="1">
      <alignment horizontal="center" vertical="center"/>
    </xf>
    <xf numFmtId="0" fontId="3" fillId="0" borderId="128" xfId="12" applyFill="1" applyBorder="1" applyAlignment="1">
      <alignment horizontal="center" vertical="center"/>
    </xf>
    <xf numFmtId="0" fontId="3" fillId="0" borderId="129" xfId="12" applyFill="1" applyBorder="1" applyAlignment="1">
      <alignment horizontal="center" vertical="center"/>
    </xf>
    <xf numFmtId="0" fontId="2" fillId="0" borderId="128" xfId="12" applyFont="1" applyFill="1" applyBorder="1"/>
    <xf numFmtId="0" fontId="2" fillId="0" borderId="128" xfId="12" applyFont="1" applyFill="1" applyBorder="1" applyAlignment="1">
      <alignment horizontal="center"/>
    </xf>
    <xf numFmtId="172" fontId="3" fillId="0" borderId="0" xfId="12" applyNumberFormat="1" applyAlignment="1">
      <alignment horizontal="center" vertical="center"/>
    </xf>
    <xf numFmtId="0" fontId="33" fillId="5" borderId="75" xfId="9" applyFont="1" applyFill="1" applyBorder="1" applyAlignment="1">
      <alignment horizontal="center" vertical="center"/>
    </xf>
    <xf numFmtId="0" fontId="33" fillId="5" borderId="51" xfId="0" applyFont="1" applyFill="1" applyBorder="1" applyAlignment="1">
      <alignment horizontal="left" vertical="center" wrapText="1"/>
    </xf>
    <xf numFmtId="0" fontId="33" fillId="5" borderId="51" xfId="0" applyFont="1" applyFill="1" applyBorder="1" applyAlignment="1">
      <alignment horizontal="center" vertical="center"/>
    </xf>
    <xf numFmtId="0" fontId="28" fillId="5" borderId="51" xfId="0" applyFont="1" applyFill="1" applyBorder="1" applyAlignment="1">
      <alignment horizontal="center" vertical="center"/>
    </xf>
    <xf numFmtId="0" fontId="28" fillId="5" borderId="76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" fontId="8" fillId="0" borderId="0" xfId="0" applyNumberFormat="1" applyFont="1" applyBorder="1"/>
    <xf numFmtId="0" fontId="0" fillId="0" borderId="0" xfId="0" applyAlignment="1">
      <alignment horizontal="center" vertical="center"/>
    </xf>
    <xf numFmtId="0" fontId="0" fillId="0" borderId="0" xfId="0" applyAlignment="1"/>
    <xf numFmtId="169" fontId="28" fillId="0" borderId="20" xfId="0" applyNumberFormat="1" applyFont="1" applyBorder="1" applyAlignment="1">
      <alignment horizontal="left" vertical="top" wrapText="1"/>
    </xf>
    <xf numFmtId="169" fontId="28" fillId="0" borderId="21" xfId="0" applyNumberFormat="1" applyFont="1" applyBorder="1" applyAlignment="1">
      <alignment horizontal="left" vertical="top" wrapText="1"/>
    </xf>
    <xf numFmtId="169" fontId="6" fillId="6" borderId="94" xfId="0" applyNumberFormat="1" applyFont="1" applyFill="1" applyBorder="1" applyAlignment="1">
      <alignment horizontal="left" vertical="top"/>
    </xf>
    <xf numFmtId="169" fontId="6" fillId="6" borderId="95" xfId="0" applyNumberFormat="1" applyFont="1" applyFill="1" applyBorder="1" applyAlignment="1">
      <alignment horizontal="left" vertical="top"/>
    </xf>
    <xf numFmtId="169" fontId="78" fillId="17" borderId="96" xfId="0" applyNumberFormat="1" applyFont="1" applyFill="1" applyBorder="1" applyAlignment="1">
      <alignment horizontal="left" vertical="top"/>
    </xf>
    <xf numFmtId="169" fontId="6" fillId="20" borderId="146" xfId="0" applyNumberFormat="1" applyFont="1" applyFill="1" applyBorder="1" applyAlignment="1">
      <alignment horizontal="left" vertical="top"/>
    </xf>
    <xf numFmtId="169" fontId="6" fillId="20" borderId="147" xfId="0" applyNumberFormat="1" applyFont="1" applyFill="1" applyBorder="1" applyAlignment="1">
      <alignment horizontal="left" vertical="top"/>
    </xf>
    <xf numFmtId="169" fontId="6" fillId="20" borderId="148" xfId="0" applyNumberFormat="1" applyFont="1" applyFill="1" applyBorder="1" applyAlignment="1">
      <alignment horizontal="left" vertical="top"/>
    </xf>
    <xf numFmtId="173" fontId="56" fillId="14" borderId="0" xfId="0" applyNumberFormat="1" applyFont="1" applyFill="1" applyAlignment="1">
      <alignment horizontal="center" vertical="center"/>
    </xf>
    <xf numFmtId="170" fontId="0" fillId="0" borderId="0" xfId="0" applyNumberFormat="1" applyAlignment="1">
      <alignment horizontal="center"/>
    </xf>
    <xf numFmtId="170" fontId="0" fillId="0" borderId="0" xfId="0" applyNumberFormat="1" applyAlignment="1">
      <alignment vertical="center"/>
    </xf>
    <xf numFmtId="170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70" fontId="8" fillId="0" borderId="0" xfId="0" applyNumberFormat="1" applyFont="1" applyAlignment="1">
      <alignment horizontal="center" vertical="center" wrapText="1"/>
    </xf>
    <xf numFmtId="170" fontId="8" fillId="0" borderId="0" xfId="0" applyNumberFormat="1" applyFont="1" applyAlignment="1">
      <alignment horizontal="center" vertical="center"/>
    </xf>
    <xf numFmtId="169" fontId="28" fillId="0" borderId="101" xfId="0" quotePrefix="1" applyNumberFormat="1" applyFont="1" applyBorder="1" applyAlignment="1">
      <alignment horizontal="left" vertical="top" wrapText="1"/>
    </xf>
    <xf numFmtId="169" fontId="78" fillId="17" borderId="149" xfId="0" applyNumberFormat="1" applyFont="1" applyFill="1" applyBorder="1" applyAlignment="1">
      <alignment horizontal="left" vertical="top"/>
    </xf>
    <xf numFmtId="169" fontId="6" fillId="20" borderId="150" xfId="0" applyNumberFormat="1" applyFont="1" applyFill="1" applyBorder="1" applyAlignment="1">
      <alignment horizontal="left" vertical="top"/>
    </xf>
    <xf numFmtId="169" fontId="34" fillId="0" borderId="35" xfId="0" applyNumberFormat="1" applyFont="1" applyFill="1" applyBorder="1" applyAlignment="1">
      <alignment horizontal="left" vertical="top" wrapText="1"/>
    </xf>
    <xf numFmtId="169" fontId="34" fillId="0" borderId="38" xfId="0" applyNumberFormat="1" applyFont="1" applyFill="1" applyBorder="1" applyAlignment="1">
      <alignment horizontal="left" vertical="top" wrapText="1"/>
    </xf>
    <xf numFmtId="169" fontId="34" fillId="0" borderId="151" xfId="0" applyNumberFormat="1" applyFont="1" applyFill="1" applyBorder="1" applyAlignment="1">
      <alignment horizontal="left" vertical="top" wrapText="1"/>
    </xf>
    <xf numFmtId="169" fontId="6" fillId="6" borderId="96" xfId="0" applyNumberFormat="1" applyFont="1" applyFill="1" applyBorder="1" applyAlignment="1">
      <alignment horizontal="left" vertical="top"/>
    </xf>
    <xf numFmtId="169" fontId="28" fillId="0" borderId="99" xfId="0" applyNumberFormat="1" applyFont="1" applyBorder="1" applyAlignment="1">
      <alignment horizontal="left" vertical="top" wrapText="1"/>
    </xf>
    <xf numFmtId="169" fontId="28" fillId="0" borderId="93" xfId="0" applyNumberFormat="1" applyFont="1" applyBorder="1" applyAlignment="1">
      <alignment horizontal="left" vertical="top" wrapText="1"/>
    </xf>
    <xf numFmtId="169" fontId="28" fillId="0" borderId="103" xfId="0" applyNumberFormat="1" applyFont="1" applyBorder="1" applyAlignment="1">
      <alignment horizontal="left" vertical="top" wrapText="1"/>
    </xf>
    <xf numFmtId="169" fontId="28" fillId="0" borderId="145" xfId="0" applyNumberFormat="1" applyFont="1" applyBorder="1" applyAlignment="1">
      <alignment horizontal="left" vertical="top" wrapText="1"/>
    </xf>
    <xf numFmtId="169" fontId="12" fillId="20" borderId="141" xfId="0" applyNumberFormat="1" applyFont="1" applyFill="1" applyBorder="1" applyAlignment="1">
      <alignment horizontal="left" vertical="top"/>
    </xf>
    <xf numFmtId="169" fontId="12" fillId="20" borderId="142" xfId="0" applyNumberFormat="1" applyFont="1" applyFill="1" applyBorder="1" applyAlignment="1">
      <alignment horizontal="left" vertical="top"/>
    </xf>
    <xf numFmtId="169" fontId="12" fillId="20" borderId="143" xfId="0" applyNumberFormat="1" applyFont="1" applyFill="1" applyBorder="1" applyAlignment="1">
      <alignment horizontal="left" vertical="top"/>
    </xf>
    <xf numFmtId="169" fontId="12" fillId="20" borderId="153" xfId="0" applyNumberFormat="1" applyFont="1" applyFill="1" applyBorder="1" applyAlignment="1">
      <alignment horizontal="left" vertical="top"/>
    </xf>
    <xf numFmtId="0" fontId="8" fillId="0" borderId="0" xfId="0" applyFont="1" applyAlignment="1">
      <alignment horizontal="center" vertical="center" wrapText="1"/>
    </xf>
    <xf numFmtId="170" fontId="61" fillId="19" borderId="0" xfId="0" applyNumberFormat="1" applyFont="1" applyFill="1" applyBorder="1" applyAlignment="1">
      <alignment horizontal="center" vertical="center" wrapText="1"/>
    </xf>
    <xf numFmtId="0" fontId="61" fillId="19" borderId="0" xfId="0" applyFont="1" applyFill="1" applyBorder="1" applyAlignment="1">
      <alignment horizontal="center" vertical="center" wrapText="1"/>
    </xf>
    <xf numFmtId="170" fontId="61" fillId="0" borderId="104" xfId="0" applyNumberFormat="1" applyFont="1" applyFill="1" applyBorder="1" applyAlignment="1">
      <alignment horizontal="center" vertical="center" wrapText="1"/>
    </xf>
    <xf numFmtId="0" fontId="61" fillId="0" borderId="104" xfId="0" applyFont="1" applyFill="1" applyBorder="1" applyAlignment="1">
      <alignment horizontal="center" vertical="center" wrapText="1"/>
    </xf>
    <xf numFmtId="169" fontId="28" fillId="0" borderId="35" xfId="0" applyNumberFormat="1" applyFont="1" applyFill="1" applyBorder="1" applyAlignment="1">
      <alignment horizontal="left" vertical="top" wrapText="1"/>
    </xf>
    <xf numFmtId="169" fontId="28" fillId="0" borderId="99" xfId="0" applyNumberFormat="1" applyFont="1" applyFill="1" applyBorder="1" applyAlignment="1">
      <alignment horizontal="left" vertical="top" wrapText="1"/>
    </xf>
    <xf numFmtId="169" fontId="28" fillId="0" borderId="151" xfId="0" applyNumberFormat="1" applyFont="1" applyFill="1" applyBorder="1" applyAlignment="1">
      <alignment horizontal="left" vertical="top" wrapText="1"/>
    </xf>
    <xf numFmtId="169" fontId="28" fillId="0" borderId="103" xfId="0" applyNumberFormat="1" applyFont="1" applyFill="1" applyBorder="1" applyAlignment="1">
      <alignment horizontal="left" vertical="top" wrapText="1"/>
    </xf>
    <xf numFmtId="169" fontId="28" fillId="0" borderId="38" xfId="0" applyNumberFormat="1" applyFont="1" applyFill="1" applyBorder="1" applyAlignment="1">
      <alignment horizontal="left" vertical="top" wrapText="1"/>
    </xf>
    <xf numFmtId="169" fontId="28" fillId="0" borderId="93" xfId="0" applyNumberFormat="1" applyFont="1" applyFill="1" applyBorder="1" applyAlignment="1">
      <alignment horizontal="left" vertical="top" wrapText="1"/>
    </xf>
    <xf numFmtId="169" fontId="28" fillId="0" borderId="152" xfId="0" applyNumberFormat="1" applyFont="1" applyFill="1" applyBorder="1" applyAlignment="1">
      <alignment horizontal="left" vertical="top" wrapText="1"/>
    </xf>
    <xf numFmtId="169" fontId="28" fillId="0" borderId="145" xfId="0" applyNumberFormat="1" applyFont="1" applyFill="1" applyBorder="1" applyAlignment="1">
      <alignment horizontal="left" vertical="top" wrapText="1"/>
    </xf>
    <xf numFmtId="170" fontId="0" fillId="0" borderId="0" xfId="0" applyNumberFormat="1" applyBorder="1" applyAlignment="1">
      <alignment horizontal="center" vertical="center"/>
    </xf>
    <xf numFmtId="170" fontId="8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8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65" fontId="28" fillId="0" borderId="0" xfId="0" applyNumberFormat="1" applyFont="1" applyFill="1" applyAlignment="1">
      <alignment horizontal="center" vertical="center"/>
    </xf>
    <xf numFmtId="0" fontId="79" fillId="0" borderId="0" xfId="0" applyNumberFormat="1" applyFont="1" applyFill="1" applyAlignment="1">
      <alignment horizontal="center" vertical="center"/>
    </xf>
    <xf numFmtId="0" fontId="79" fillId="0" borderId="0" xfId="0" applyFont="1" applyFill="1" applyAlignment="1">
      <alignment horizontal="center" vertical="center"/>
    </xf>
    <xf numFmtId="165" fontId="79" fillId="0" borderId="0" xfId="0" applyNumberFormat="1" applyFont="1" applyAlignment="1">
      <alignment horizontal="center" vertical="top"/>
    </xf>
    <xf numFmtId="15" fontId="22" fillId="13" borderId="52" xfId="4" applyNumberFormat="1" applyFont="1" applyFill="1" applyBorder="1" applyAlignment="1">
      <alignment horizontal="center" vertical="center" wrapText="1"/>
    </xf>
    <xf numFmtId="0" fontId="1" fillId="0" borderId="0" xfId="14"/>
    <xf numFmtId="0" fontId="1" fillId="0" borderId="0" xfId="14" applyAlignment="1">
      <alignment horizontal="center"/>
    </xf>
    <xf numFmtId="0" fontId="62" fillId="0" borderId="0" xfId="14" applyFont="1" applyAlignment="1">
      <alignment vertical="center"/>
    </xf>
    <xf numFmtId="0" fontId="1" fillId="0" borderId="39" xfId="14" applyBorder="1"/>
    <xf numFmtId="0" fontId="1" fillId="0" borderId="39" xfId="14" applyBorder="1" applyAlignment="1">
      <alignment horizontal="center"/>
    </xf>
    <xf numFmtId="0" fontId="62" fillId="0" borderId="39" xfId="14" applyFont="1" applyBorder="1" applyAlignment="1">
      <alignment vertical="center"/>
    </xf>
    <xf numFmtId="0" fontId="1" fillId="24" borderId="18" xfId="14" applyFill="1" applyBorder="1" applyAlignment="1">
      <alignment horizontal="center"/>
    </xf>
    <xf numFmtId="0" fontId="1" fillId="24" borderId="38" xfId="14" applyFill="1" applyBorder="1" applyAlignment="1">
      <alignment horizontal="center"/>
    </xf>
    <xf numFmtId="0" fontId="1" fillId="0" borderId="16" xfId="14" applyBorder="1"/>
    <xf numFmtId="0" fontId="1" fillId="6" borderId="16" xfId="14" applyFill="1" applyBorder="1"/>
    <xf numFmtId="2" fontId="1" fillId="0" borderId="16" xfId="14" applyNumberFormat="1" applyBorder="1"/>
    <xf numFmtId="0" fontId="1" fillId="5" borderId="18" xfId="14" applyFill="1" applyBorder="1"/>
    <xf numFmtId="0" fontId="1" fillId="5" borderId="0" xfId="14" applyFill="1"/>
    <xf numFmtId="0" fontId="1" fillId="17" borderId="16" xfId="14" applyFill="1" applyBorder="1"/>
    <xf numFmtId="0" fontId="1" fillId="24" borderId="16" xfId="14" applyFill="1" applyBorder="1" applyAlignment="1">
      <alignment horizontal="center"/>
    </xf>
    <xf numFmtId="0" fontId="1" fillId="24" borderId="156" xfId="14" applyFill="1" applyBorder="1" applyAlignment="1">
      <alignment horizontal="center" vertical="center"/>
    </xf>
    <xf numFmtId="0" fontId="67" fillId="0" borderId="156" xfId="14" applyFont="1" applyBorder="1" applyAlignment="1">
      <alignment horizontal="center" vertical="center"/>
    </xf>
    <xf numFmtId="0" fontId="80" fillId="3" borderId="19" xfId="14" applyFont="1" applyFill="1" applyBorder="1" applyAlignment="1">
      <alignment horizontal="center" vertical="center"/>
    </xf>
    <xf numFmtId="0" fontId="1" fillId="5" borderId="0" xfId="14" applyFill="1" applyAlignment="1">
      <alignment horizontal="center" vertical="center"/>
    </xf>
    <xf numFmtId="0" fontId="1" fillId="24" borderId="162" xfId="14" applyFill="1" applyBorder="1" applyAlignment="1">
      <alignment horizontal="center" vertical="center"/>
    </xf>
    <xf numFmtId="0" fontId="67" fillId="0" borderId="162" xfId="14" applyFont="1" applyBorder="1" applyAlignment="1">
      <alignment horizontal="center" vertical="center"/>
    </xf>
    <xf numFmtId="0" fontId="80" fillId="3" borderId="40" xfId="14" applyFont="1" applyFill="1" applyBorder="1" applyAlignment="1">
      <alignment horizontal="center" vertical="center"/>
    </xf>
    <xf numFmtId="0" fontId="1" fillId="5" borderId="39" xfId="14" applyFill="1" applyBorder="1" applyAlignment="1">
      <alignment horizontal="center" vertical="center"/>
    </xf>
    <xf numFmtId="0" fontId="1" fillId="0" borderId="16" xfId="14" applyBorder="1" applyAlignment="1">
      <alignment horizontal="center"/>
    </xf>
    <xf numFmtId="0" fontId="1" fillId="0" borderId="162" xfId="14" applyBorder="1"/>
    <xf numFmtId="174" fontId="1" fillId="0" borderId="16" xfId="14" applyNumberFormat="1" applyBorder="1"/>
    <xf numFmtId="0" fontId="0" fillId="26" borderId="163" xfId="0" applyFill="1" applyBorder="1"/>
    <xf numFmtId="0" fontId="77" fillId="26" borderId="163" xfId="0" applyFont="1" applyFill="1" applyBorder="1"/>
    <xf numFmtId="175" fontId="0" fillId="0" borderId="0" xfId="0" applyNumberFormat="1"/>
    <xf numFmtId="174" fontId="77" fillId="26" borderId="163" xfId="0" applyNumberFormat="1" applyFont="1" applyFill="1" applyBorder="1"/>
    <xf numFmtId="175" fontId="77" fillId="26" borderId="163" xfId="0" applyNumberFormat="1" applyFont="1" applyFill="1" applyBorder="1"/>
    <xf numFmtId="0" fontId="84" fillId="25" borderId="0" xfId="0" applyFont="1" applyFill="1" applyAlignment="1">
      <alignment horizontal="center" vertical="center" wrapText="1"/>
    </xf>
    <xf numFmtId="165" fontId="0" fillId="0" borderId="0" xfId="0" applyNumberFormat="1"/>
    <xf numFmtId="0" fontId="74" fillId="0" borderId="163" xfId="0" applyFont="1" applyBorder="1"/>
    <xf numFmtId="0" fontId="85" fillId="27" borderId="163" xfId="0" applyFont="1" applyFill="1" applyBorder="1" applyAlignment="1">
      <alignment horizontal="center" vertical="top" wrapText="1"/>
    </xf>
    <xf numFmtId="0" fontId="0" fillId="0" borderId="0" xfId="0" applyAlignment="1">
      <alignment vertical="top"/>
    </xf>
    <xf numFmtId="175" fontId="74" fillId="0" borderId="163" xfId="0" applyNumberFormat="1" applyFont="1" applyBorder="1"/>
    <xf numFmtId="0" fontId="22" fillId="2" borderId="51" xfId="4" applyNumberFormat="1" applyFont="1" applyBorder="1" applyAlignment="1">
      <alignment horizontal="center" vertical="center" wrapText="1"/>
    </xf>
    <xf numFmtId="0" fontId="84" fillId="25" borderId="163" xfId="0" applyFont="1" applyFill="1" applyBorder="1" applyAlignment="1">
      <alignment horizontal="center" vertical="center" wrapText="1"/>
    </xf>
    <xf numFmtId="0" fontId="0" fillId="0" borderId="163" xfId="0" applyBorder="1"/>
    <xf numFmtId="0" fontId="0" fillId="0" borderId="163" xfId="0" applyBorder="1" applyAlignment="1">
      <alignment horizontal="center" vertical="center"/>
    </xf>
    <xf numFmtId="2" fontId="0" fillId="0" borderId="163" xfId="0" applyNumberFormat="1" applyBorder="1"/>
    <xf numFmtId="0" fontId="89" fillId="0" borderId="163" xfId="0" applyFont="1" applyBorder="1" applyAlignment="1">
      <alignment horizontal="center" vertical="center"/>
    </xf>
    <xf numFmtId="0" fontId="89" fillId="0" borderId="163" xfId="0" applyFont="1" applyBorder="1"/>
    <xf numFmtId="0" fontId="0" fillId="28" borderId="163" xfId="0" applyFill="1" applyBorder="1"/>
    <xf numFmtId="0" fontId="0" fillId="28" borderId="163" xfId="0" applyFill="1" applyBorder="1" applyAlignment="1">
      <alignment horizontal="center" vertical="center"/>
    </xf>
    <xf numFmtId="2" fontId="0" fillId="28" borderId="163" xfId="0" applyNumberFormat="1" applyFill="1" applyBorder="1"/>
    <xf numFmtId="0" fontId="90" fillId="28" borderId="163" xfId="0" applyFont="1" applyFill="1" applyBorder="1"/>
    <xf numFmtId="0" fontId="91" fillId="0" borderId="0" xfId="0" applyFont="1"/>
    <xf numFmtId="174" fontId="0" fillId="0" borderId="163" xfId="0" applyNumberFormat="1" applyBorder="1" applyAlignment="1">
      <alignment horizontal="center" vertical="center"/>
    </xf>
    <xf numFmtId="0" fontId="0" fillId="0" borderId="163" xfId="0" applyBorder="1" applyAlignment="1">
      <alignment wrapText="1"/>
    </xf>
    <xf numFmtId="2" fontId="0" fillId="0" borderId="163" xfId="0" applyNumberFormat="1" applyBorder="1" applyAlignment="1">
      <alignment horizontal="center" vertical="center"/>
    </xf>
    <xf numFmtId="3" fontId="94" fillId="29" borderId="164" xfId="0" applyNumberFormat="1" applyFont="1" applyFill="1" applyBorder="1" applyAlignment="1">
      <alignment horizontal="center" vertical="center"/>
    </xf>
    <xf numFmtId="176" fontId="94" fillId="29" borderId="164" xfId="0" applyNumberFormat="1" applyFont="1" applyFill="1" applyBorder="1" applyAlignment="1">
      <alignment horizontal="center" vertical="center"/>
    </xf>
    <xf numFmtId="0" fontId="95" fillId="0" borderId="0" xfId="0" applyFont="1"/>
    <xf numFmtId="0" fontId="84" fillId="25" borderId="163" xfId="0" applyFont="1" applyFill="1" applyBorder="1" applyAlignment="1">
      <alignment horizontal="center" vertical="center"/>
    </xf>
    <xf numFmtId="176" fontId="0" fillId="0" borderId="163" xfId="0" applyNumberFormat="1" applyBorder="1" applyAlignment="1">
      <alignment horizontal="center" vertical="center"/>
    </xf>
    <xf numFmtId="0" fontId="0" fillId="31" borderId="163" xfId="0" applyFill="1" applyBorder="1" applyAlignment="1">
      <alignment horizontal="center" vertical="center"/>
    </xf>
    <xf numFmtId="176" fontId="0" fillId="31" borderId="163" xfId="0" applyNumberFormat="1" applyFill="1" applyBorder="1" applyAlignment="1">
      <alignment horizontal="center" vertical="center"/>
    </xf>
    <xf numFmtId="0" fontId="96" fillId="25" borderId="0" xfId="10" applyFont="1" applyFill="1" applyAlignment="1"/>
    <xf numFmtId="0" fontId="96" fillId="25" borderId="0" xfId="10" applyFont="1" applyFill="1" applyAlignment="1">
      <alignment vertical="center"/>
    </xf>
    <xf numFmtId="0" fontId="38" fillId="0" borderId="163" xfId="10" applyBorder="1" applyAlignment="1">
      <alignment vertical="top"/>
    </xf>
    <xf numFmtId="0" fontId="38" fillId="31" borderId="163" xfId="10" applyFill="1" applyBorder="1" applyAlignment="1">
      <alignment vertical="top" wrapText="1"/>
    </xf>
    <xf numFmtId="0" fontId="38" fillId="0" borderId="163" xfId="10" applyBorder="1" applyAlignment="1">
      <alignment vertical="top" wrapText="1"/>
    </xf>
    <xf numFmtId="165" fontId="79" fillId="0" borderId="0" xfId="0" applyNumberFormat="1" applyFont="1" applyFill="1" applyAlignment="1">
      <alignment horizontal="center" vertical="top"/>
    </xf>
    <xf numFmtId="0" fontId="0" fillId="0" borderId="0" xfId="0" applyAlignment="1">
      <alignment wrapText="1"/>
    </xf>
    <xf numFmtId="0" fontId="97" fillId="29" borderId="164" xfId="0" applyFont="1" applyFill="1" applyBorder="1" applyAlignment="1">
      <alignment horizontal="center" vertical="center" wrapText="1"/>
    </xf>
    <xf numFmtId="0" fontId="77" fillId="0" borderId="0" xfId="0" applyFont="1" applyAlignment="1">
      <alignment wrapText="1"/>
    </xf>
    <xf numFmtId="1" fontId="35" fillId="0" borderId="0" xfId="0" applyNumberFormat="1" applyFont="1" applyAlignment="1">
      <alignment horizontal="center" vertical="center" wrapText="1"/>
    </xf>
    <xf numFmtId="1" fontId="79" fillId="0" borderId="0" xfId="0" applyNumberFormat="1" applyFont="1" applyAlignment="1">
      <alignment horizontal="center" vertical="top"/>
    </xf>
    <xf numFmtId="0" fontId="74" fillId="0" borderId="0" xfId="0" applyFont="1" applyBorder="1"/>
    <xf numFmtId="175" fontId="74" fillId="0" borderId="0" xfId="0" applyNumberFormat="1" applyFont="1" applyBorder="1"/>
    <xf numFmtId="0" fontId="8" fillId="0" borderId="163" xfId="0" applyFont="1" applyBorder="1" applyAlignment="1">
      <alignment horizontal="center" vertical="center"/>
    </xf>
    <xf numFmtId="15" fontId="22" fillId="0" borderId="0" xfId="4" applyNumberFormat="1" applyFont="1" applyFill="1" applyBorder="1" applyAlignment="1">
      <alignment horizontal="center" vertical="center" wrapText="1"/>
    </xf>
    <xf numFmtId="0" fontId="15" fillId="8" borderId="34" xfId="2" applyFont="1" applyFill="1" applyBorder="1" applyAlignment="1">
      <alignment horizontal="center" vertical="center" wrapText="1"/>
    </xf>
    <xf numFmtId="0" fontId="15" fillId="8" borderId="0" xfId="2" applyFont="1" applyFill="1" applyAlignment="1">
      <alignment horizontal="center" vertical="center" wrapText="1"/>
    </xf>
    <xf numFmtId="0" fontId="15" fillId="0" borderId="25" xfId="2" applyFont="1" applyBorder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6" fillId="25" borderId="0" xfId="10" applyFont="1" applyFill="1" applyAlignment="1">
      <alignment vertical="center"/>
    </xf>
    <xf numFmtId="1" fontId="79" fillId="0" borderId="0" xfId="0" applyNumberFormat="1" applyFont="1" applyFill="1" applyAlignment="1">
      <alignment horizontal="center" vertical="top"/>
    </xf>
    <xf numFmtId="0" fontId="98" fillId="0" borderId="0" xfId="0" applyFont="1"/>
    <xf numFmtId="164" fontId="99" fillId="0" borderId="0" xfId="0" applyNumberFormat="1" applyFont="1" applyAlignment="1">
      <alignment horizontal="left" vertical="center"/>
    </xf>
    <xf numFmtId="0" fontId="100" fillId="0" borderId="0" xfId="0" applyFont="1" applyAlignment="1">
      <alignment vertical="center"/>
    </xf>
    <xf numFmtId="166" fontId="99" fillId="0" borderId="0" xfId="0" applyNumberFormat="1" applyFont="1" applyAlignment="1">
      <alignment horizontal="left" vertical="center"/>
    </xf>
    <xf numFmtId="0" fontId="98" fillId="0" borderId="0" xfId="0" applyFont="1" applyAlignment="1">
      <alignment vertical="center"/>
    </xf>
    <xf numFmtId="0" fontId="101" fillId="0" borderId="66" xfId="0" applyFont="1" applyFill="1" applyBorder="1" applyAlignment="1">
      <alignment horizontal="center" vertical="center" wrapText="1"/>
    </xf>
    <xf numFmtId="14" fontId="98" fillId="0" borderId="0" xfId="0" applyNumberFormat="1" applyFont="1" applyAlignment="1">
      <alignment textRotation="90"/>
    </xf>
    <xf numFmtId="168" fontId="101" fillId="16" borderId="67" xfId="0" applyNumberFormat="1" applyFont="1" applyFill="1" applyBorder="1" applyAlignment="1">
      <alignment horizontal="center" vertical="center" textRotation="90"/>
    </xf>
    <xf numFmtId="168" fontId="101" fillId="16" borderId="68" xfId="0" applyNumberFormat="1" applyFont="1" applyFill="1" applyBorder="1" applyAlignment="1">
      <alignment horizontal="center" vertical="center" textRotation="90"/>
    </xf>
    <xf numFmtId="168" fontId="101" fillId="16" borderId="69" xfId="0" applyNumberFormat="1" applyFont="1" applyFill="1" applyBorder="1" applyAlignment="1">
      <alignment horizontal="center" vertical="center" textRotation="90"/>
    </xf>
    <xf numFmtId="0" fontId="28" fillId="0" borderId="165" xfId="0" applyFont="1" applyBorder="1" applyAlignment="1">
      <alignment vertical="top"/>
    </xf>
    <xf numFmtId="0" fontId="28" fillId="0" borderId="52" xfId="0" applyFont="1" applyBorder="1" applyAlignment="1">
      <alignment vertical="top"/>
    </xf>
    <xf numFmtId="0" fontId="28" fillId="0" borderId="166" xfId="0" applyFont="1" applyBorder="1" applyAlignment="1">
      <alignment vertical="top"/>
    </xf>
    <xf numFmtId="1" fontId="0" fillId="0" borderId="0" xfId="0" applyNumberFormat="1"/>
    <xf numFmtId="1" fontId="0" fillId="0" borderId="163" xfId="0" applyNumberFormat="1" applyBorder="1" applyAlignment="1">
      <alignment horizontal="center" vertical="center"/>
    </xf>
    <xf numFmtId="3" fontId="84" fillId="25" borderId="163" xfId="15" applyNumberFormat="1" applyFont="1" applyFill="1" applyBorder="1" applyAlignment="1">
      <alignment horizontal="center" vertical="center" wrapText="1"/>
    </xf>
    <xf numFmtId="4" fontId="84" fillId="25" borderId="163" xfId="15" applyNumberFormat="1" applyFont="1" applyFill="1" applyBorder="1" applyAlignment="1">
      <alignment horizontal="center" vertical="center" wrapText="1"/>
    </xf>
    <xf numFmtId="3" fontId="0" fillId="0" borderId="163" xfId="15" applyNumberFormat="1" applyFont="1" applyBorder="1" applyAlignment="1">
      <alignment horizontal="center" vertical="center"/>
    </xf>
    <xf numFmtId="3" fontId="0" fillId="0" borderId="163" xfId="0" applyNumberFormat="1" applyBorder="1" applyAlignment="1">
      <alignment horizontal="center" vertical="center"/>
    </xf>
    <xf numFmtId="4" fontId="74" fillId="0" borderId="163" xfId="0" applyNumberFormat="1" applyFont="1" applyBorder="1"/>
    <xf numFmtId="0" fontId="8" fillId="7" borderId="0" xfId="2" applyFont="1" applyFill="1" applyBorder="1" applyAlignment="1">
      <alignment vertical="center" wrapText="1"/>
    </xf>
    <xf numFmtId="0" fontId="8" fillId="0" borderId="0" xfId="2" applyFont="1" applyBorder="1" applyAlignment="1"/>
    <xf numFmtId="0" fontId="8" fillId="0" borderId="0" xfId="2" applyFont="1" applyBorder="1">
      <alignment vertical="center"/>
    </xf>
    <xf numFmtId="0" fontId="38" fillId="30" borderId="163" xfId="10" applyFill="1" applyBorder="1" applyAlignment="1">
      <alignment vertical="center" indent="1"/>
    </xf>
    <xf numFmtId="0" fontId="92" fillId="0" borderId="0" xfId="0" applyFont="1" applyAlignment="1">
      <alignment vertical="top"/>
    </xf>
    <xf numFmtId="0" fontId="93" fillId="0" borderId="0" xfId="0" applyFont="1" applyAlignment="1">
      <alignment vertical="top" wrapText="1"/>
    </xf>
    <xf numFmtId="0" fontId="93" fillId="0" borderId="0" xfId="0" applyFont="1" applyAlignment="1">
      <alignment vertical="top"/>
    </xf>
    <xf numFmtId="0" fontId="96" fillId="25" borderId="0" xfId="10" applyFont="1" applyFill="1" applyAlignment="1">
      <alignment horizontal="left" vertical="center"/>
    </xf>
    <xf numFmtId="0" fontId="83" fillId="25" borderId="0" xfId="0" applyFont="1" applyFill="1"/>
    <xf numFmtId="0" fontId="81" fillId="0" borderId="0" xfId="0" applyFont="1"/>
    <xf numFmtId="0" fontId="82" fillId="0" borderId="0" xfId="0" applyFont="1" applyAlignment="1">
      <alignment vertical="top" wrapText="1"/>
    </xf>
    <xf numFmtId="0" fontId="82" fillId="0" borderId="0" xfId="0" applyFont="1" applyAlignment="1">
      <alignment vertical="top"/>
    </xf>
    <xf numFmtId="0" fontId="88" fillId="0" borderId="0" xfId="0" applyFont="1" applyAlignment="1">
      <alignment horizontal="left" vertical="top" wrapText="1" indent="2"/>
    </xf>
    <xf numFmtId="0" fontId="87" fillId="0" borderId="0" xfId="0" applyFont="1" applyAlignment="1">
      <alignment vertical="top" wrapText="1"/>
    </xf>
    <xf numFmtId="0" fontId="15" fillId="0" borderId="25" xfId="2" applyFont="1" applyBorder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15" fillId="7" borderId="26" xfId="2" applyFont="1" applyFill="1" applyBorder="1" applyAlignment="1">
      <alignment horizontal="center" vertical="center" wrapText="1"/>
    </xf>
    <xf numFmtId="0" fontId="15" fillId="7" borderId="28" xfId="2" applyFont="1" applyFill="1" applyBorder="1" applyAlignment="1">
      <alignment horizontal="center" vertical="center" wrapText="1"/>
    </xf>
    <xf numFmtId="0" fontId="15" fillId="7" borderId="29" xfId="2" applyFont="1" applyFill="1" applyBorder="1" applyAlignment="1">
      <alignment horizontal="center" vertical="center" wrapText="1"/>
    </xf>
    <xf numFmtId="0" fontId="15" fillId="0" borderId="27" xfId="2" applyFont="1" applyBorder="1" applyAlignment="1">
      <alignment horizontal="center" vertical="center"/>
    </xf>
    <xf numFmtId="0" fontId="15" fillId="0" borderId="31" xfId="2" applyFont="1" applyBorder="1" applyAlignment="1">
      <alignment horizontal="center" vertical="center" wrapText="1"/>
    </xf>
    <xf numFmtId="0" fontId="15" fillId="0" borderId="37" xfId="2" applyFont="1" applyBorder="1" applyAlignment="1">
      <alignment horizontal="center" vertical="center" wrapText="1"/>
    </xf>
    <xf numFmtId="0" fontId="15" fillId="0" borderId="42" xfId="2" applyFont="1" applyBorder="1" applyAlignment="1">
      <alignment horizontal="center" vertical="center" wrapText="1"/>
    </xf>
    <xf numFmtId="0" fontId="15" fillId="0" borderId="32" xfId="2" applyFont="1" applyBorder="1" applyAlignment="1">
      <alignment horizontal="center" vertical="center" wrapText="1"/>
    </xf>
    <xf numFmtId="0" fontId="15" fillId="0" borderId="18" xfId="2" applyFont="1" applyBorder="1" applyAlignment="1">
      <alignment horizontal="center" vertical="center" wrapText="1"/>
    </xf>
    <xf numFmtId="0" fontId="15" fillId="0" borderId="43" xfId="2" applyFont="1" applyBorder="1" applyAlignment="1">
      <alignment horizontal="center" vertical="center" wrapText="1"/>
    </xf>
    <xf numFmtId="0" fontId="15" fillId="8" borderId="33" xfId="2" applyFont="1" applyFill="1" applyBorder="1" applyAlignment="1">
      <alignment horizontal="center" vertical="center" wrapText="1"/>
    </xf>
    <xf numFmtId="0" fontId="15" fillId="8" borderId="34" xfId="2" applyFont="1" applyFill="1" applyBorder="1" applyAlignment="1">
      <alignment horizontal="center" vertical="center" wrapText="1"/>
    </xf>
    <xf numFmtId="0" fontId="15" fillId="8" borderId="35" xfId="2" applyFont="1" applyFill="1" applyBorder="1" applyAlignment="1">
      <alignment horizontal="center" vertical="center" wrapText="1"/>
    </xf>
    <xf numFmtId="0" fontId="15" fillId="8" borderId="19" xfId="2" applyFont="1" applyFill="1" applyBorder="1" applyAlignment="1">
      <alignment horizontal="center" vertical="center" wrapText="1"/>
    </xf>
    <xf numFmtId="0" fontId="15" fillId="8" borderId="0" xfId="2" applyFont="1" applyFill="1" applyAlignment="1">
      <alignment horizontal="center" vertical="center" wrapText="1"/>
    </xf>
    <xf numFmtId="0" fontId="15" fillId="8" borderId="38" xfId="2" applyFont="1" applyFill="1" applyBorder="1" applyAlignment="1">
      <alignment horizontal="center" vertical="center" wrapText="1"/>
    </xf>
    <xf numFmtId="0" fontId="20" fillId="8" borderId="16" xfId="2" applyFont="1" applyFill="1" applyBorder="1" applyAlignment="1">
      <alignment horizontal="center" vertical="center" wrapText="1"/>
    </xf>
    <xf numFmtId="0" fontId="15" fillId="8" borderId="39" xfId="2" applyFont="1" applyFill="1" applyBorder="1" applyAlignment="1">
      <alignment horizontal="center" vertical="center" wrapText="1"/>
    </xf>
    <xf numFmtId="0" fontId="15" fillId="8" borderId="41" xfId="2" applyFont="1" applyFill="1" applyBorder="1" applyAlignment="1">
      <alignment horizontal="center" vertical="center" wrapText="1"/>
    </xf>
    <xf numFmtId="0" fontId="15" fillId="9" borderId="18" xfId="2" applyFont="1" applyFill="1" applyBorder="1" applyAlignment="1">
      <alignment horizontal="center" vertical="center" wrapText="1"/>
    </xf>
    <xf numFmtId="0" fontId="22" fillId="12" borderId="47" xfId="4" applyFont="1" applyFill="1" applyBorder="1" applyAlignment="1">
      <alignment horizontal="center" vertical="center" wrapText="1"/>
    </xf>
    <xf numFmtId="0" fontId="22" fillId="12" borderId="48" xfId="4" applyFont="1" applyFill="1" applyBorder="1" applyAlignment="1">
      <alignment horizontal="center" vertical="center" wrapText="1"/>
    </xf>
    <xf numFmtId="0" fontId="22" fillId="12" borderId="49" xfId="4" applyFont="1" applyFill="1" applyBorder="1" applyAlignment="1">
      <alignment horizontal="center" vertical="center" wrapText="1"/>
    </xf>
    <xf numFmtId="15" fontId="22" fillId="0" borderId="0" xfId="4" applyNumberFormat="1" applyFont="1" applyFill="1" applyBorder="1" applyAlignment="1">
      <alignment horizontal="center" vertical="center" wrapText="1"/>
    </xf>
    <xf numFmtId="0" fontId="15" fillId="8" borderId="36" xfId="2" applyFont="1" applyFill="1" applyBorder="1" applyAlignment="1">
      <alignment horizontal="center" vertical="center" wrapText="1"/>
    </xf>
    <xf numFmtId="0" fontId="15" fillId="8" borderId="30" xfId="2" applyFont="1" applyFill="1" applyBorder="1" applyAlignment="1">
      <alignment horizontal="center" vertical="center" wrapText="1"/>
    </xf>
    <xf numFmtId="0" fontId="15" fillId="8" borderId="46" xfId="2" applyFont="1" applyFill="1" applyBorder="1" applyAlignment="1">
      <alignment horizontal="center" vertical="center" wrapText="1"/>
    </xf>
    <xf numFmtId="0" fontId="15" fillId="8" borderId="40" xfId="2" applyFont="1" applyFill="1" applyBorder="1" applyAlignment="1">
      <alignment horizontal="center" vertical="center" wrapText="1"/>
    </xf>
    <xf numFmtId="0" fontId="96" fillId="25" borderId="0" xfId="10" applyFont="1" applyFill="1"/>
    <xf numFmtId="0" fontId="41" fillId="12" borderId="92" xfId="0" applyFont="1" applyFill="1" applyBorder="1" applyAlignment="1">
      <alignment horizontal="center" vertical="center" wrapText="1"/>
    </xf>
    <xf numFmtId="0" fontId="41" fillId="12" borderId="91" xfId="0" applyFont="1" applyFill="1" applyBorder="1" applyAlignment="1">
      <alignment horizontal="center" vertical="center" wrapText="1"/>
    </xf>
    <xf numFmtId="0" fontId="41" fillId="12" borderId="144" xfId="0" applyFont="1" applyFill="1" applyBorder="1" applyAlignment="1">
      <alignment horizontal="center" vertical="center" wrapText="1"/>
    </xf>
    <xf numFmtId="0" fontId="56" fillId="14" borderId="0" xfId="0" applyFont="1" applyFill="1" applyAlignment="1">
      <alignment horizontal="center" vertical="center"/>
    </xf>
    <xf numFmtId="0" fontId="60" fillId="6" borderId="97" xfId="0" applyFont="1" applyFill="1" applyBorder="1" applyAlignment="1">
      <alignment horizontal="center" vertical="center" wrapText="1"/>
    </xf>
    <xf numFmtId="0" fontId="60" fillId="6" borderId="91" xfId="0" applyFont="1" applyFill="1" applyBorder="1" applyAlignment="1">
      <alignment horizontal="center" vertical="center" wrapText="1"/>
    </xf>
    <xf numFmtId="0" fontId="77" fillId="6" borderId="97" xfId="0" applyFont="1" applyFill="1" applyBorder="1" applyAlignment="1">
      <alignment horizontal="center" vertical="center" wrapText="1"/>
    </xf>
    <xf numFmtId="0" fontId="77" fillId="6" borderId="91" xfId="0" applyFont="1" applyFill="1" applyBorder="1" applyAlignment="1">
      <alignment horizontal="center" vertical="center" wrapText="1"/>
    </xf>
    <xf numFmtId="0" fontId="77" fillId="6" borderId="100" xfId="0" applyFont="1" applyFill="1" applyBorder="1" applyAlignment="1">
      <alignment horizontal="center" vertical="center" wrapText="1"/>
    </xf>
    <xf numFmtId="0" fontId="60" fillId="12" borderId="106" xfId="0" applyFont="1" applyFill="1" applyBorder="1" applyAlignment="1">
      <alignment vertical="center" wrapText="1"/>
    </xf>
    <xf numFmtId="0" fontId="60" fillId="12" borderId="108" xfId="0" applyFont="1" applyFill="1" applyBorder="1" applyAlignment="1">
      <alignment vertical="center" wrapText="1"/>
    </xf>
    <xf numFmtId="0" fontId="60" fillId="12" borderId="154" xfId="0" applyFont="1" applyFill="1" applyBorder="1" applyAlignment="1">
      <alignment vertical="center" wrapText="1"/>
    </xf>
    <xf numFmtId="0" fontId="60" fillId="12" borderId="155" xfId="0" applyFont="1" applyFill="1" applyBorder="1" applyAlignment="1">
      <alignment vertical="center" wrapText="1"/>
    </xf>
    <xf numFmtId="0" fontId="60" fillId="12" borderId="107" xfId="0" applyFont="1" applyFill="1" applyBorder="1" applyAlignment="1">
      <alignment vertical="center" wrapText="1"/>
    </xf>
    <xf numFmtId="0" fontId="60" fillId="12" borderId="109" xfId="0" applyFont="1" applyFill="1" applyBorder="1" applyAlignment="1">
      <alignment vertical="center" wrapText="1"/>
    </xf>
    <xf numFmtId="0" fontId="41" fillId="22" borderId="92" xfId="0" applyFont="1" applyFill="1" applyBorder="1" applyAlignment="1">
      <alignment horizontal="center" vertical="center" wrapText="1"/>
    </xf>
    <xf numFmtId="0" fontId="41" fillId="22" borderId="91" xfId="0" applyFont="1" applyFill="1" applyBorder="1" applyAlignment="1">
      <alignment horizontal="center" vertical="center" wrapText="1"/>
    </xf>
    <xf numFmtId="0" fontId="41" fillId="22" borderId="144" xfId="0" applyFont="1" applyFill="1" applyBorder="1" applyAlignment="1">
      <alignment horizontal="center" vertical="center" wrapText="1"/>
    </xf>
    <xf numFmtId="0" fontId="41" fillId="23" borderId="92" xfId="0" applyFont="1" applyFill="1" applyBorder="1" applyAlignment="1">
      <alignment horizontal="center" vertical="center" wrapText="1"/>
    </xf>
    <xf numFmtId="0" fontId="41" fillId="23" borderId="91" xfId="0" applyFont="1" applyFill="1" applyBorder="1" applyAlignment="1">
      <alignment horizontal="center" vertical="center" wrapText="1"/>
    </xf>
    <xf numFmtId="0" fontId="41" fillId="23" borderId="144" xfId="0" applyFont="1" applyFill="1" applyBorder="1" applyAlignment="1">
      <alignment horizontal="center" vertical="center" wrapText="1"/>
    </xf>
    <xf numFmtId="0" fontId="96" fillId="25" borderId="0" xfId="10" applyFont="1" applyFill="1" applyAlignment="1">
      <alignment horizontal="center" vertical="center" wrapText="1"/>
    </xf>
    <xf numFmtId="0" fontId="41" fillId="5" borderId="97" xfId="0" applyFont="1" applyFill="1" applyBorder="1" applyAlignment="1">
      <alignment horizontal="center" vertical="center" wrapText="1"/>
    </xf>
    <xf numFmtId="0" fontId="41" fillId="5" borderId="91" xfId="0" applyFont="1" applyFill="1" applyBorder="1" applyAlignment="1">
      <alignment horizontal="center" vertical="center" wrapText="1"/>
    </xf>
    <xf numFmtId="0" fontId="41" fillId="5" borderId="14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center"/>
    </xf>
    <xf numFmtId="0" fontId="9" fillId="3" borderId="2" xfId="1" applyFont="1" applyFill="1" applyBorder="1" applyAlignment="1">
      <alignment horizontal="center" vertical="center"/>
    </xf>
    <xf numFmtId="0" fontId="9" fillId="3" borderId="9" xfId="1" applyFont="1" applyFill="1" applyBorder="1" applyAlignment="1">
      <alignment horizontal="center" vertical="center"/>
    </xf>
    <xf numFmtId="0" fontId="9" fillId="3" borderId="13" xfId="1" applyFont="1" applyFill="1" applyBorder="1" applyAlignment="1">
      <alignment horizontal="center" vertical="center"/>
    </xf>
    <xf numFmtId="0" fontId="9" fillId="3" borderId="3" xfId="1" applyFont="1" applyFill="1" applyBorder="1" applyAlignment="1">
      <alignment horizontal="center" vertical="center" wrapText="1"/>
    </xf>
    <xf numFmtId="0" fontId="9" fillId="3" borderId="10" xfId="1" applyFont="1" applyFill="1" applyBorder="1" applyAlignment="1">
      <alignment horizontal="center" vertical="center" wrapText="1"/>
    </xf>
    <xf numFmtId="0" fontId="9" fillId="3" borderId="14" xfId="1" applyFont="1" applyFill="1" applyBorder="1" applyAlignment="1">
      <alignment horizontal="center" vertical="center" wrapText="1"/>
    </xf>
    <xf numFmtId="0" fontId="9" fillId="3" borderId="3" xfId="1" applyFont="1" applyFill="1" applyBorder="1" applyAlignment="1">
      <alignment horizontal="center" vertical="center"/>
    </xf>
    <xf numFmtId="0" fontId="9" fillId="3" borderId="10" xfId="1" applyFont="1" applyFill="1" applyBorder="1" applyAlignment="1">
      <alignment horizontal="center" vertical="center"/>
    </xf>
    <xf numFmtId="0" fontId="9" fillId="3" borderId="14" xfId="1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4" borderId="8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16" fontId="9" fillId="3" borderId="11" xfId="0" applyNumberFormat="1" applyFont="1" applyFill="1" applyBorder="1" applyAlignment="1">
      <alignment horizontal="center"/>
    </xf>
    <xf numFmtId="16" fontId="9" fillId="3" borderId="12" xfId="0" applyNumberFormat="1" applyFont="1" applyFill="1" applyBorder="1" applyAlignment="1">
      <alignment horizontal="center"/>
    </xf>
    <xf numFmtId="0" fontId="69" fillId="0" borderId="0" xfId="12" applyFont="1" applyAlignment="1">
      <alignment horizontal="center" vertical="center"/>
    </xf>
    <xf numFmtId="0" fontId="67" fillId="0" borderId="38" xfId="14" applyFont="1" applyBorder="1" applyAlignment="1">
      <alignment horizontal="center" vertical="center"/>
    </xf>
    <xf numFmtId="0" fontId="80" fillId="3" borderId="19" xfId="14" applyFont="1" applyFill="1" applyBorder="1" applyAlignment="1">
      <alignment horizontal="center" vertical="center"/>
    </xf>
    <xf numFmtId="0" fontId="1" fillId="5" borderId="0" xfId="14" applyFill="1" applyAlignment="1">
      <alignment horizontal="center" vertical="center"/>
    </xf>
    <xf numFmtId="0" fontId="1" fillId="5" borderId="39" xfId="14" applyFill="1" applyBorder="1" applyAlignment="1">
      <alignment horizontal="center" vertical="center"/>
    </xf>
    <xf numFmtId="0" fontId="1" fillId="0" borderId="16" xfId="14" applyBorder="1" applyAlignment="1">
      <alignment horizontal="center" vertical="center"/>
    </xf>
    <xf numFmtId="0" fontId="62" fillId="6" borderId="16" xfId="14" applyFont="1" applyFill="1" applyBorder="1" applyAlignment="1">
      <alignment horizontal="center" vertical="center"/>
    </xf>
    <xf numFmtId="0" fontId="1" fillId="24" borderId="156" xfId="14" applyFill="1" applyBorder="1" applyAlignment="1">
      <alignment horizontal="center" vertical="center"/>
    </xf>
    <xf numFmtId="0" fontId="1" fillId="24" borderId="18" xfId="14" applyFill="1" applyBorder="1" applyAlignment="1">
      <alignment horizontal="center" vertical="center"/>
    </xf>
    <xf numFmtId="0" fontId="1" fillId="24" borderId="38" xfId="14" applyFill="1" applyBorder="1" applyAlignment="1">
      <alignment horizontal="center" vertical="center"/>
    </xf>
    <xf numFmtId="0" fontId="62" fillId="12" borderId="157" xfId="14" applyFont="1" applyFill="1" applyBorder="1" applyAlignment="1">
      <alignment horizontal="center"/>
    </xf>
    <xf numFmtId="0" fontId="62" fillId="12" borderId="61" xfId="14" applyFont="1" applyFill="1" applyBorder="1" applyAlignment="1">
      <alignment horizontal="center"/>
    </xf>
    <xf numFmtId="0" fontId="62" fillId="12" borderId="158" xfId="14" applyFont="1" applyFill="1" applyBorder="1" applyAlignment="1">
      <alignment horizontal="center"/>
    </xf>
    <xf numFmtId="0" fontId="67" fillId="0" borderId="16" xfId="14" applyFont="1" applyBorder="1" applyAlignment="1">
      <alignment horizontal="center" vertical="center"/>
    </xf>
    <xf numFmtId="0" fontId="80" fillId="3" borderId="16" xfId="14" applyFont="1" applyFill="1" applyBorder="1" applyAlignment="1">
      <alignment horizontal="center" vertical="center"/>
    </xf>
    <xf numFmtId="0" fontId="62" fillId="6" borderId="0" xfId="14" applyFont="1" applyFill="1" applyAlignment="1">
      <alignment horizontal="center" vertical="center"/>
    </xf>
    <xf numFmtId="0" fontId="1" fillId="24" borderId="16" xfId="14" applyFill="1" applyBorder="1" applyAlignment="1">
      <alignment horizontal="center" vertical="center"/>
    </xf>
    <xf numFmtId="0" fontId="62" fillId="12" borderId="16" xfId="14" applyFont="1" applyFill="1" applyBorder="1" applyAlignment="1">
      <alignment horizontal="center"/>
    </xf>
    <xf numFmtId="0" fontId="62" fillId="6" borderId="159" xfId="14" applyFont="1" applyFill="1" applyBorder="1" applyAlignment="1">
      <alignment horizontal="center" vertical="center"/>
    </xf>
    <xf numFmtId="0" fontId="62" fillId="6" borderId="160" xfId="14" applyFont="1" applyFill="1" applyBorder="1" applyAlignment="1">
      <alignment horizontal="center" vertical="center"/>
    </xf>
    <xf numFmtId="0" fontId="62" fillId="6" borderId="161" xfId="14" applyFont="1" applyFill="1" applyBorder="1" applyAlignment="1">
      <alignment horizontal="center" vertical="center"/>
    </xf>
    <xf numFmtId="0" fontId="62" fillId="6" borderId="40" xfId="14" applyFont="1" applyFill="1" applyBorder="1" applyAlignment="1">
      <alignment horizontal="center" vertical="center"/>
    </xf>
    <xf numFmtId="0" fontId="62" fillId="6" borderId="39" xfId="14" applyFont="1" applyFill="1" applyBorder="1" applyAlignment="1">
      <alignment horizontal="center" vertical="center"/>
    </xf>
    <xf numFmtId="0" fontId="62" fillId="6" borderId="41" xfId="14" applyFont="1" applyFill="1" applyBorder="1" applyAlignment="1">
      <alignment horizontal="center" vertical="center"/>
    </xf>
    <xf numFmtId="0" fontId="1" fillId="0" borderId="0" xfId="14" applyAlignment="1">
      <alignment horizontal="center" vertical="center"/>
    </xf>
    <xf numFmtId="0" fontId="1" fillId="24" borderId="162" xfId="14" applyFill="1" applyBorder="1" applyAlignment="1">
      <alignment horizontal="center" vertical="center"/>
    </xf>
    <xf numFmtId="0" fontId="1" fillId="0" borderId="156" xfId="14" applyBorder="1" applyAlignment="1">
      <alignment horizontal="center" vertical="center"/>
    </xf>
    <xf numFmtId="0" fontId="1" fillId="0" borderId="18" xfId="14" applyBorder="1" applyAlignment="1">
      <alignment horizontal="center" vertical="center"/>
    </xf>
    <xf numFmtId="0" fontId="1" fillId="0" borderId="162" xfId="14" applyBorder="1" applyAlignment="1">
      <alignment horizontal="center" vertical="center"/>
    </xf>
    <xf numFmtId="0" fontId="3" fillId="0" borderId="0" xfId="12" applyAlignment="1">
      <alignment horizontal="center"/>
    </xf>
    <xf numFmtId="0" fontId="71" fillId="0" borderId="0" xfId="12" applyFont="1" applyAlignment="1">
      <alignment horizontal="center"/>
    </xf>
    <xf numFmtId="0" fontId="67" fillId="0" borderId="0" xfId="12" applyFont="1" applyAlignment="1">
      <alignment horizontal="center"/>
    </xf>
    <xf numFmtId="0" fontId="67" fillId="0" borderId="59" xfId="12" applyFont="1" applyBorder="1" applyAlignment="1">
      <alignment horizontal="center"/>
    </xf>
    <xf numFmtId="0" fontId="67" fillId="0" borderId="131" xfId="12" applyFont="1" applyBorder="1" applyAlignment="1">
      <alignment horizontal="center" vertical="center"/>
    </xf>
    <xf numFmtId="0" fontId="67" fillId="0" borderId="131" xfId="12" applyFont="1" applyBorder="1" applyAlignment="1">
      <alignment horizontal="center" vertical="center" wrapText="1"/>
    </xf>
  </cellXfs>
  <cellStyles count="16">
    <cellStyle name="Activity" xfId="7" xr:uid="{5B537F3B-F8E1-4604-887C-B88F7A19D188}"/>
    <cellStyle name="Comma" xfId="15" builtinId="3"/>
    <cellStyle name="Hyperlink" xfId="10" builtinId="8"/>
    <cellStyle name="Normal" xfId="0" builtinId="0"/>
    <cellStyle name="Normal 2" xfId="2" xr:uid="{F6EA4314-5B71-4A73-B1E2-55E54CF018B9}"/>
    <cellStyle name="Normal 2 2" xfId="3" xr:uid="{79497FF2-80D4-4787-B1B2-EAC1C4F58EC8}"/>
    <cellStyle name="Normal 2 3" xfId="13" xr:uid="{9D5FB021-D830-4EF2-A600-6E9A74C0A802}"/>
    <cellStyle name="Normal 3" xfId="9" xr:uid="{8A2C70A4-63BE-413B-BD7E-42E3DF66E79D}"/>
    <cellStyle name="Normal 4" xfId="11" xr:uid="{8E245BB3-C27A-42A1-9363-FAA28C0BB722}"/>
    <cellStyle name="Normal 5" xfId="12" xr:uid="{75D28158-878C-4452-9FF4-AA5A193C460A}"/>
    <cellStyle name="Normal 6" xfId="14" xr:uid="{DBED01C7-C9D2-48A4-BC87-78981F19345A}"/>
    <cellStyle name="Normal 8" xfId="1" xr:uid="{6F38732E-DC59-4C4D-AE61-6559C83C3313}"/>
    <cellStyle name="Output 2" xfId="4" xr:uid="{DA3FF9FD-0F25-46B1-B699-7E8349EB2E88}"/>
    <cellStyle name="Percent Complete" xfId="8" xr:uid="{7CF987FB-12D9-4141-AA3B-71BEC83CEB39}"/>
    <cellStyle name="Period Headers" xfId="6" xr:uid="{B689E1D8-6CB2-487F-B849-F394E2A415C1}"/>
    <cellStyle name="Project Headers" xfId="5" xr:uid="{FF6219DA-7B22-4D10-BEE4-3CE25F8224AB}"/>
  </cellStyles>
  <dxfs count="98">
    <dxf>
      <font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medium">
          <color auto="1"/>
        </left>
        <right/>
        <top/>
        <bottom style="double">
          <color indexed="64"/>
        </bottom>
      </border>
    </dxf>
    <dxf>
      <font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indexed="64"/>
        </right>
        <top/>
        <bottom style="double">
          <color indexed="64"/>
        </bottom>
      </border>
    </dxf>
    <dxf>
      <font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 style="double">
          <color indexed="64"/>
        </bottom>
      </border>
    </dxf>
    <dxf>
      <font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 style="double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 style="double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border outline="0">
        <right style="medium">
          <color auto="1"/>
        </right>
      </border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border outline="0"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0" formatCode="[$-409]d\-mmm;@"/>
      <alignment horizontal="center" vertical="center" textRotation="0" wrapText="0" indent="0" justifyLastLine="0" shrinkToFit="0" readingOrder="0"/>
    </dxf>
    <dxf>
      <numFmt numFmtId="170" formatCode="[$-409]d\-mmm;@"/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0" formatCode="[$-409]d\-mmm;@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170" formatCode="[$-409]d\-mmm;@"/>
    </dxf>
    <dxf>
      <alignment horizontal="center" vertical="center" textRotation="0" wrapText="1" indent="0" justifyLastLine="0" shrinkToFit="0" readingOrder="0"/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  <color theme="5"/>
      </font>
    </dxf>
    <dxf>
      <font>
        <b/>
        <i val="0"/>
        <color rgb="FF0070C0"/>
      </font>
    </dxf>
    <dxf>
      <font>
        <b/>
        <i val="0"/>
        <color rgb="FF7030A0"/>
      </font>
    </dxf>
    <dxf>
      <font>
        <b/>
        <i val="0"/>
        <color auto="1"/>
      </font>
      <fill>
        <patternFill>
          <bgColor theme="7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5"/>
      </font>
    </dxf>
    <dxf>
      <fill>
        <patternFill>
          <bgColor theme="9" tint="0.39994506668294322"/>
        </patternFill>
      </fill>
    </dxf>
    <dxf>
      <font>
        <b/>
        <i val="0"/>
        <color theme="5"/>
      </font>
    </dxf>
    <dxf>
      <font>
        <b/>
        <i val="0"/>
        <color rgb="FF0070C0"/>
      </font>
    </dxf>
    <dxf>
      <font>
        <b/>
        <i val="0"/>
        <color rgb="FF7030A0"/>
      </font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  <color theme="5"/>
      </font>
    </dxf>
    <dxf>
      <font>
        <b/>
        <i val="0"/>
        <color rgb="FF0070C0"/>
      </font>
    </dxf>
    <dxf>
      <font>
        <b/>
        <i val="0"/>
        <color rgb="FF7030A0"/>
      </font>
    </dxf>
    <dxf>
      <font>
        <b/>
        <i val="0"/>
        <color rgb="FF0070C0"/>
      </font>
    </dxf>
    <dxf>
      <font>
        <b/>
        <i val="0"/>
        <color rgb="FF7030A0"/>
      </font>
    </dxf>
    <dxf>
      <font>
        <b/>
        <i val="0"/>
        <color auto="1"/>
      </font>
      <fill>
        <patternFill>
          <bgColor theme="7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[$-409]d\-mmm\-yy;@"/>
      <alignment horizontal="center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[$-409]d\-mmm\-yy;@"/>
      <alignment horizontal="center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[$-409]d\-mmm\-yy;@"/>
      <alignment horizontal="center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[$-409]d\-mmm\-yy;@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[$-409]d\-mmm\-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[$-409]d\-mmm\-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[$-409]d\-mmm\-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[$-409]d\-mmm\-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[$-409]d\-mmm\-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[$-409]d\-mmm\-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[$-409]d\-mmm\-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[$-409]d\-mmm\-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[$-409]d\-mmm\-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[$-409]d\-mmm\-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[$-409]d\-mmm\-yy;@"/>
      <alignment horizontal="center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[$-409]d\-mmm\-yy;@"/>
      <alignment horizontal="center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[$-409]d\-mmm\-yy;@"/>
      <alignment horizontal="center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[$-409]d\-mmm\-yy;@"/>
      <alignment horizontal="center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[$-409]d\-mmm\-yy;@"/>
      <alignment horizontal="center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[$-409]d\-mmm\-yy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rgb="FFFF0000"/>
        </left>
        <right style="thin">
          <color rgb="FFFF0000"/>
        </right>
        <top/>
        <bottom/>
        <vertical/>
        <horizontal/>
      </border>
    </dxf>
    <dxf>
      <fill>
        <patternFill patternType="darkUp">
          <f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4472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RichValue" Target="richData/rdrichvalue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17/06/relationships/rdRichValueStructure" Target="richData/rdrichvaluestructure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Estimasi Durasi (Jam) per Type Valve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[1]Dashboard!$D$16</c:f>
              <c:strCache>
                <c:ptCount val="1"/>
                <c:pt idx="0">
                  <c:v>Total Durasi (Jam)</c:v>
                </c:pt>
              </c:strCache>
            </c:strRef>
          </c:tx>
          <c:spPr>
            <a:solidFill>
              <a:srgbClr val="4472C4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[1]Dashboard!$B$17:$B$23</c:f>
              <c:strCache>
                <c:ptCount val="7"/>
                <c:pt idx="0">
                  <c:v>BALL VALVES</c:v>
                </c:pt>
                <c:pt idx="1">
                  <c:v>GATE VALVES</c:v>
                </c:pt>
                <c:pt idx="2">
                  <c:v>GLOBE VALVES</c:v>
                </c:pt>
                <c:pt idx="3">
                  <c:v>CHECK VALVES</c:v>
                </c:pt>
                <c:pt idx="4">
                  <c:v>BUTTERFLY VALVES</c:v>
                </c:pt>
                <c:pt idx="5">
                  <c:v>PLUG VALVES</c:v>
                </c:pt>
                <c:pt idx="6">
                  <c:v>STRAINER</c:v>
                </c:pt>
              </c:strCache>
            </c:strRef>
          </c:cat>
          <c:val>
            <c:numRef>
              <c:f>[1]Dashboard!$D$17:$D$23</c:f>
              <c:numCache>
                <c:formatCode>General</c:formatCode>
                <c:ptCount val="7"/>
                <c:pt idx="0">
                  <c:v>1240.06666666667</c:v>
                </c:pt>
                <c:pt idx="1">
                  <c:v>1235.3</c:v>
                </c:pt>
                <c:pt idx="2">
                  <c:v>138.48333333333301</c:v>
                </c:pt>
                <c:pt idx="3">
                  <c:v>186.666666666667</c:v>
                </c:pt>
                <c:pt idx="4">
                  <c:v>3.4</c:v>
                </c:pt>
                <c:pt idx="5">
                  <c:v>0</c:v>
                </c:pt>
                <c:pt idx="6">
                  <c:v>366.6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40-40F2-A9E0-0C552A2F7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709844"/>
        <c:axId val="71382481"/>
      </c:barChart>
      <c:catAx>
        <c:axId val="70709844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strike="noStrike" spc="-1">
                    <a:solidFill>
                      <a:srgbClr val="000000"/>
                    </a:solidFill>
                    <a:latin typeface="Calibri"/>
                  </a:rPr>
                  <a:t>Type Valve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71382481"/>
        <c:crosses val="autoZero"/>
        <c:auto val="1"/>
        <c:lblAlgn val="ctr"/>
        <c:lblOffset val="100"/>
        <c:noMultiLvlLbl val="0"/>
      </c:catAx>
      <c:valAx>
        <c:axId val="71382481"/>
        <c:scaling>
          <c:orientation val="minMax"/>
        </c:scaling>
        <c:delete val="0"/>
        <c:axPos val="l"/>
        <c:majorGridlines>
          <c:spPr>
            <a:ln w="6480">
              <a:solidFill>
                <a:srgbClr val="8B8B8B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strike="noStrike" spc="-1">
                    <a:solidFill>
                      <a:srgbClr val="000000"/>
                    </a:solidFill>
                    <a:latin typeface="Calibri"/>
                  </a:rPr>
                  <a:t>Jam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#,##0.0" sourceLinked="0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70709844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croll" dx="26" fmlaLink="$G$4" horiz="1" max="53" min="1" page="0" val="22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cid:image001.jpg@01DC3127.AFA6EBF0" TargetMode="External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5218.E91064A0" TargetMode="External"/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5218.E91064A0" TargetMode="External"/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15</xdr:row>
      <xdr:rowOff>0</xdr:rowOff>
    </xdr:from>
    <xdr:to>
      <xdr:col>14</xdr:col>
      <xdr:colOff>374260</xdr:colOff>
      <xdr:row>30</xdr:row>
      <xdr:rowOff>21240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38100</xdr:colOff>
          <xdr:row>2</xdr:row>
          <xdr:rowOff>0</xdr:rowOff>
        </xdr:from>
        <xdr:to>
          <xdr:col>44</xdr:col>
          <xdr:colOff>165100</xdr:colOff>
          <xdr:row>2</xdr:row>
          <xdr:rowOff>260350</xdr:rowOff>
        </xdr:to>
        <xdr:sp macro="" textlink="">
          <xdr:nvSpPr>
            <xdr:cNvPr id="2052" name="Scroll Bar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22</xdr:col>
      <xdr:colOff>677332</xdr:colOff>
      <xdr:row>0</xdr:row>
      <xdr:rowOff>1</xdr:rowOff>
    </xdr:from>
    <xdr:ext cx="1268359" cy="803094"/>
    <xdr:pic>
      <xdr:nvPicPr>
        <xdr:cNvPr id="5" name="Picture 12" descr="WQA LOGO.JPG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8749" y="1"/>
          <a:ext cx="1268359" cy="803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0</xdr:col>
      <xdr:colOff>1</xdr:colOff>
      <xdr:row>0</xdr:row>
      <xdr:rowOff>52917</xdr:rowOff>
    </xdr:from>
    <xdr:to>
      <xdr:col>6</xdr:col>
      <xdr:colOff>798285</xdr:colOff>
      <xdr:row>1</xdr:row>
      <xdr:rowOff>287041</xdr:rowOff>
    </xdr:to>
    <xdr:pic>
      <xdr:nvPicPr>
        <xdr:cNvPr id="6" name="Picture 4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52917"/>
          <a:ext cx="4599213" cy="3974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0</xdr:rowOff>
    </xdr:from>
    <xdr:to>
      <xdr:col>6</xdr:col>
      <xdr:colOff>393700</xdr:colOff>
      <xdr:row>2</xdr:row>
      <xdr:rowOff>48452</xdr:rowOff>
    </xdr:to>
    <xdr:pic>
      <xdr:nvPicPr>
        <xdr:cNvPr id="2" name="Picture 1" descr="cid:image001.jpg@01DB5218.E91064A0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0"/>
          <a:ext cx="3089088" cy="3622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1422026</xdr:colOff>
      <xdr:row>2</xdr:row>
      <xdr:rowOff>52187</xdr:rowOff>
    </xdr:to>
    <xdr:pic>
      <xdr:nvPicPr>
        <xdr:cNvPr id="2" name="Picture 1" descr="cid:image001.jpg@01DB5218.E91064A0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33850" cy="3659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83655</xdr:colOff>
      <xdr:row>0</xdr:row>
      <xdr:rowOff>40863</xdr:rowOff>
    </xdr:from>
    <xdr:to>
      <xdr:col>1</xdr:col>
      <xdr:colOff>44265</xdr:colOff>
      <xdr:row>0</xdr:row>
      <xdr:rowOff>273051</xdr:rowOff>
    </xdr:to>
    <xdr:pic>
      <xdr:nvPicPr>
        <xdr:cNvPr id="2" name="Picture 19" descr="logo alfa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655" y="40863"/>
          <a:ext cx="436860" cy="2321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110490</xdr:colOff>
      <xdr:row>0</xdr:row>
      <xdr:rowOff>97155</xdr:rowOff>
    </xdr:from>
    <xdr:to>
      <xdr:col>1</xdr:col>
      <xdr:colOff>480632</xdr:colOff>
      <xdr:row>2</xdr:row>
      <xdr:rowOff>170166</xdr:rowOff>
    </xdr:to>
    <xdr:pic>
      <xdr:nvPicPr>
        <xdr:cNvPr id="2" name="Picture 1" descr="logo alfa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10490" y="97155"/>
          <a:ext cx="808292" cy="45401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51396</xdr:colOff>
      <xdr:row>1</xdr:row>
      <xdr:rowOff>53340</xdr:rowOff>
    </xdr:from>
    <xdr:to>
      <xdr:col>1</xdr:col>
      <xdr:colOff>561976</xdr:colOff>
      <xdr:row>3</xdr:row>
      <xdr:rowOff>145032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pSpPr>
          <a:grpSpLocks/>
        </xdr:cNvGrpSpPr>
      </xdr:nvGrpSpPr>
      <xdr:grpSpPr bwMode="auto">
        <a:xfrm>
          <a:off x="51396" y="243840"/>
          <a:ext cx="948730" cy="466342"/>
          <a:chOff x="3870" y="1710"/>
          <a:chExt cx="2775" cy="978"/>
        </a:xfrm>
      </xdr:grpSpPr>
      <xdr:sp macro="" textlink="">
        <xdr:nvSpPr>
          <xdr:cNvPr id="4" name="WordArt 4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745" y="1710"/>
            <a:ext cx="120" cy="75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id-ID" sz="3600" kern="10" spc="0">
                <a:ln w="9525">
                  <a:solidFill>
                    <a:srgbClr val="FFFFFF"/>
                  </a:solidFill>
                  <a:round/>
                  <a:headEnd/>
                  <a:tailEnd/>
                </a:ln>
                <a:solidFill>
                  <a:srgbClr val="FFFFFF"/>
                </a:solidFill>
                <a:effectLst/>
                <a:latin typeface="Arial Unicode MS"/>
                <a:ea typeface="Arial Unicode MS"/>
                <a:cs typeface="Arial Unicode MS"/>
              </a:rPr>
              <a:t>TM</a:t>
            </a:r>
          </a:p>
        </xdr:txBody>
      </xdr:sp>
      <xdr:sp macro="" textlink="">
        <xdr:nvSpPr>
          <xdr:cNvPr id="5" name="WordArt 5">
            <a:extLst>
              <a:ext uri="{FF2B5EF4-FFF2-40B4-BE49-F238E27FC236}">
                <a16:creationId xmlns:a16="http://schemas.microsoft.com/office/drawing/2014/main" id="{00000000-0008-0000-1100-000005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3870" y="2538"/>
            <a:ext cx="2775" cy="150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id-ID" sz="3600" kern="10" spc="0">
                <a:ln w="9525">
                  <a:solidFill>
                    <a:srgbClr val="0070C0"/>
                  </a:solidFill>
                  <a:round/>
                  <a:headEnd/>
                  <a:tailEnd/>
                </a:ln>
                <a:solidFill>
                  <a:srgbClr val="002060"/>
                </a:solidFill>
                <a:effectLst/>
                <a:latin typeface="Arial Unicode MS"/>
                <a:ea typeface="Arial Unicode MS"/>
                <a:cs typeface="Arial Unicode MS"/>
              </a:rPr>
              <a:t>PT ALFA VALVES INDONESIA</a:t>
            </a:r>
          </a:p>
        </xdr:txBody>
      </xdr:sp>
    </xdr:grpSp>
    <xdr:clientData/>
  </xdr:twoCellAnchor>
  <xdr:twoCellAnchor editAs="oneCell">
    <xdr:from>
      <xdr:col>7</xdr:col>
      <xdr:colOff>397454</xdr:colOff>
      <xdr:row>0</xdr:row>
      <xdr:rowOff>98613</xdr:rowOff>
    </xdr:from>
    <xdr:to>
      <xdr:col>8</xdr:col>
      <xdr:colOff>504825</xdr:colOff>
      <xdr:row>3</xdr:row>
      <xdr:rowOff>26223</xdr:rowOff>
    </xdr:to>
    <xdr:pic>
      <xdr:nvPicPr>
        <xdr:cNvPr id="6" name="Picture 12" descr="WQA LOGO.JPG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42804" y="98613"/>
          <a:ext cx="945571" cy="492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51396</xdr:colOff>
      <xdr:row>1</xdr:row>
      <xdr:rowOff>53340</xdr:rowOff>
    </xdr:from>
    <xdr:to>
      <xdr:col>1</xdr:col>
      <xdr:colOff>561976</xdr:colOff>
      <xdr:row>3</xdr:row>
      <xdr:rowOff>145032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pSpPr>
          <a:grpSpLocks/>
        </xdr:cNvGrpSpPr>
      </xdr:nvGrpSpPr>
      <xdr:grpSpPr bwMode="auto">
        <a:xfrm>
          <a:off x="51396" y="243840"/>
          <a:ext cx="948730" cy="466342"/>
          <a:chOff x="3870" y="1710"/>
          <a:chExt cx="2775" cy="978"/>
        </a:xfrm>
      </xdr:grpSpPr>
      <xdr:sp macro="" textlink="">
        <xdr:nvSpPr>
          <xdr:cNvPr id="8" name="WordArt 4">
            <a:extLst>
              <a:ext uri="{FF2B5EF4-FFF2-40B4-BE49-F238E27FC236}">
                <a16:creationId xmlns:a16="http://schemas.microsoft.com/office/drawing/2014/main" id="{00000000-0008-0000-1100-000008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745" y="1710"/>
            <a:ext cx="120" cy="75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id-ID" sz="3600" kern="10" spc="0">
                <a:ln w="9525">
                  <a:solidFill>
                    <a:srgbClr val="FFFFFF"/>
                  </a:solidFill>
                  <a:round/>
                  <a:headEnd/>
                  <a:tailEnd/>
                </a:ln>
                <a:solidFill>
                  <a:srgbClr val="FFFFFF"/>
                </a:solidFill>
                <a:effectLst/>
                <a:latin typeface="Arial Unicode MS"/>
                <a:ea typeface="Arial Unicode MS"/>
                <a:cs typeface="Arial Unicode MS"/>
              </a:rPr>
              <a:t>TM</a:t>
            </a:r>
          </a:p>
        </xdr:txBody>
      </xdr:sp>
      <xdr:sp macro="" textlink="">
        <xdr:nvSpPr>
          <xdr:cNvPr id="9" name="WordArt 5">
            <a:extLst>
              <a:ext uri="{FF2B5EF4-FFF2-40B4-BE49-F238E27FC236}">
                <a16:creationId xmlns:a16="http://schemas.microsoft.com/office/drawing/2014/main" id="{00000000-0008-0000-1100-000009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3870" y="2538"/>
            <a:ext cx="2775" cy="150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id-ID" sz="3600" kern="10" spc="0">
                <a:ln w="9525">
                  <a:solidFill>
                    <a:srgbClr val="0070C0"/>
                  </a:solidFill>
                  <a:round/>
                  <a:headEnd/>
                  <a:tailEnd/>
                </a:ln>
                <a:solidFill>
                  <a:srgbClr val="002060"/>
                </a:solidFill>
                <a:effectLst/>
                <a:latin typeface="Arial Unicode MS"/>
                <a:ea typeface="Arial Unicode MS"/>
                <a:cs typeface="Arial Unicode MS"/>
              </a:rPr>
              <a:t>PT ALFA VALVES INDONESIA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ODUCTION_PLANNING_CONTROL%20-%20Capacity%20Estim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README - Metodologi Estimasi"/>
      <sheetName val="Variance Dashboard"/>
      <sheetName val="Variance Data"/>
      <sheetName val="Ref Dashboard"/>
      <sheetName val="PLAN PRODUCTION"/>
      <sheetName val="Detail Project"/>
      <sheetName val="SCHEDULE CALENDAR"/>
      <sheetName val="JOB CALENDAR"/>
      <sheetName val="Schedule"/>
      <sheetName val="Plan Vs Actual"/>
      <sheetName val="MR List"/>
      <sheetName val="Tools"/>
      <sheetName val="Machining"/>
      <sheetName val="Consumable"/>
      <sheetName val="Capacity"/>
      <sheetName val="COSUMABLE-JUNE (3)"/>
      <sheetName val="National Holiday"/>
      <sheetName val="Setting"/>
      <sheetName val="Capacity Summary"/>
      <sheetName val="Resume SO per Valve"/>
      <sheetName val="Input Data Valve"/>
    </sheetNames>
    <sheetDataSet>
      <sheetData sheetId="0">
        <row r="16">
          <cell r="D16" t="str">
            <v>Total Durasi (Jam)</v>
          </cell>
        </row>
        <row r="17">
          <cell r="B17" t="str">
            <v>BALL VALVES</v>
          </cell>
          <cell r="D17">
            <v>1240.06666666667</v>
          </cell>
        </row>
        <row r="18">
          <cell r="B18" t="str">
            <v>GATE VALVES</v>
          </cell>
          <cell r="D18">
            <v>1235.3</v>
          </cell>
        </row>
        <row r="19">
          <cell r="B19" t="str">
            <v>GLOBE VALVES</v>
          </cell>
          <cell r="D19">
            <v>138.48333333333301</v>
          </cell>
        </row>
        <row r="20">
          <cell r="B20" t="str">
            <v>CHECK VALVES</v>
          </cell>
          <cell r="D20">
            <v>186.666666666667</v>
          </cell>
        </row>
        <row r="21">
          <cell r="B21" t="str">
            <v>BUTTERFLY VALVES</v>
          </cell>
          <cell r="D21">
            <v>3.4</v>
          </cell>
        </row>
        <row r="22">
          <cell r="B22" t="str">
            <v>PLUG VALVES</v>
          </cell>
          <cell r="D22">
            <v>0</v>
          </cell>
        </row>
        <row r="23">
          <cell r="B23" t="str">
            <v>STRAINER</v>
          </cell>
          <cell r="D23">
            <v>366.6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3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EACFA4-61F3-4487-903E-B5D407AA168B}" name="TableData" displayName="TableData" ref="A6:AD367" totalsRowShown="0" headerRowDxfId="84" dataDxfId="83">
  <autoFilter ref="A6:AD367" xr:uid="{DCEACFA4-61F3-4487-903E-B5D407AA168B}"/>
  <tableColumns count="30">
    <tableColumn id="25" xr3:uid="{64570310-DE75-44DF-AFCF-CC0108EFED43}" name="PART NAME" dataDxfId="82"/>
    <tableColumn id="26" xr3:uid="{17DDB376-611C-49A6-99DD-FD0E3EEFCA68}" name="SIZE (INCH)" dataDxfId="81"/>
    <tableColumn id="27" xr3:uid="{ED879E2F-1AC1-4FB2-936A-0604D2908334}" name="ANSI CLASS" dataDxfId="80"/>
    <tableColumn id="28" xr3:uid="{23F464DA-D8F1-49E5-9B0D-E049D285868A}" name="END CONN." dataDxfId="79"/>
    <tableColumn id="29" xr3:uid="{FA208FB8-3F25-4D84-BF03-7E02C90A29D8}" name="BODY CONST." dataDxfId="78"/>
    <tableColumn id="30" xr3:uid="{3012F2EF-A6D8-4C7A-A584-1F16B247ECDC}" name="BODY MAT'L" dataDxfId="77"/>
    <tableColumn id="7" xr3:uid="{65F5A87D-AB12-4A75-8453-6F842DA60A87}" name="ORDER DATE" dataDxfId="76"/>
    <tableColumn id="1" xr3:uid="{BAFCB78D-EAD9-411B-8A37-7E2387E9C22D}" name="SO. NO" dataDxfId="75"/>
    <tableColumn id="2" xr3:uid="{639BFB3D-8008-4199-BB27-8B8503305C71}" name="PO. CUSTOMER" dataDxfId="74"/>
    <tableColumn id="3" xr3:uid="{404AC52D-AC9D-47BA-971E-A39D4E1ACC8B}" name="CUSTOMER" dataDxfId="73"/>
    <tableColumn id="6" xr3:uid="{6D8CF3C8-C6D8-4765-9B3C-1B943E8CDC69}" name="FIGURE NUMBER" dataDxfId="72"/>
    <tableColumn id="4" xr3:uid="{D343A7D5-D1EE-4D26-837F-C0259B5C2F37}" name="TYPE VALVE" dataDxfId="71">
      <calculatedColumnFormula>IF(A7="","",A7&amp;" VALVE "&amp;B7&amp;" "&amp;C7&amp;"# "&amp;D7&amp;", "&amp;E7&amp;", "&amp;F7)</calculatedColumnFormula>
    </tableColumn>
    <tableColumn id="5" xr3:uid="{01C9D698-85B5-4B1B-88BA-9FC6F8346F60}" name="QTY" dataDxfId="70"/>
    <tableColumn id="10" xr3:uid="{2DABF0D5-2FF6-410B-A8BB-2BC2E91A208F}" name="VDRL" dataDxfId="69"/>
    <tableColumn id="14" xr3:uid="{EA9D8B41-1329-484F-BD21-7073566D6035}" name="IOM" dataDxfId="68"/>
    <tableColumn id="15" xr3:uid="{65562292-A2FD-474C-868B-5B9F45C3B464}" name="PAINTING PROCEDURE" dataDxfId="67"/>
    <tableColumn id="16" xr3:uid="{39E30AB4-6AB2-419E-9E01-8F9D8289BEA6}" name="FABRICATION SCHEDULE" dataDxfId="66"/>
    <tableColumn id="9" xr3:uid="{54208550-50B4-4136-85F7-838983747312}" name="DUE DATE ESTIMATION" dataDxfId="65"/>
    <tableColumn id="8" xr3:uid="{4081959F-62B2-4291-9089-4CDA529C73D9}" name="DATE INCOMING MATERIAL" dataDxfId="64"/>
    <tableColumn id="13" xr3:uid="{5DFC3AF7-C976-418A-80D0-024ED5A48663}" name="START TESTING" dataDxfId="63"/>
    <tableColumn id="12" xr3:uid="{DD81406D-9CE0-4472-BB0F-074C8BA45B02}" name="END TESTING" dataDxfId="62"/>
    <tableColumn id="11" xr3:uid="{4F70BCC9-3494-42F5-920D-07D6B9346ED9}" name="START BLASTING" dataDxfId="61"/>
    <tableColumn id="22" xr3:uid="{29341E05-5A03-4E27-9C00-F7B96C140C68}" name="END BLASTING" dataDxfId="60"/>
    <tableColumn id="21" xr3:uid="{807D6FDF-39CA-4873-A87F-50A050FA899A}" name="START PAINTING" dataDxfId="59"/>
    <tableColumn id="20" xr3:uid="{2C28EDB9-4D8D-422F-8839-71C58AA8AA60}" name="END PAINTING" dataDxfId="58"/>
    <tableColumn id="24" xr3:uid="{807C5EDB-327E-4016-AF27-D8D8B56D9CA3}" name="VALVE STOCK" dataDxfId="57"/>
    <tableColumn id="17" xr3:uid="{EE70D001-B189-4BF2-8FA7-D98B764398F2}" name="MACHINE" dataDxfId="56"/>
    <tableColumn id="18" xr3:uid="{E96B017C-A0FB-4C58-9F4E-FE90FB6A6BAA}" name="EQUIPMENT" dataDxfId="55"/>
    <tableColumn id="23" xr3:uid="{C9B7929D-B86D-49B3-A38F-A5180FF65417}" name="CONSUMABLE" dataDxfId="54"/>
    <tableColumn id="19" xr3:uid="{54BA0593-A5FE-4DFF-B0F3-B13890D1D63D}" name="Column7" dataDxfId="5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9EE7805-6C05-46EF-8D5B-FBD8FEEEED14}" name="Table2" displayName="Table2" ref="B3:D216" totalsRowShown="0" headerRowDxfId="32">
  <autoFilter ref="B3:D216" xr:uid="{99EE7805-6C05-46EF-8D5B-FBD8FEEEED14}"/>
  <tableColumns count="3">
    <tableColumn id="1" xr3:uid="{2A48FAEB-3E0A-4525-A7C7-D4A0D5B81F4A}" name="Date" dataDxfId="31"/>
    <tableColumn id="2" xr3:uid="{42C090EE-FF7F-4E65-B5A3-255CC27EC984}" name="Event Name"/>
    <tableColumn id="3" xr3:uid="{0F12E5BE-B783-4472-A277-9B99A1F7AB6D}" name="SHIF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E1BE617-55A0-42DE-97FF-DF9F3753954D}" name="Table3" displayName="Table3" ref="T3:U29" totalsRowShown="0" headerRowDxfId="30" dataDxfId="28" headerRowBorderDxfId="29" tableBorderDxfId="27" totalsRowBorderDxfId="26">
  <autoFilter ref="T3:U29" xr:uid="{3E1BE617-55A0-42DE-97FF-DF9F3753954D}"/>
  <tableColumns count="2">
    <tableColumn id="1" xr3:uid="{8999F35F-60C7-4F68-A49C-16EE1167B01C}" name="Date" dataDxfId="25"/>
    <tableColumn id="2" xr3:uid="{D57C0495-95CB-4FFA-B337-D4FB01CBB3E2}" name="Event Name" dataDxfId="24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00AC86F-DF6B-443A-9496-CB7D743B02FC}" name="Table4" displayName="Table4" ref="F3:G57" totalsRowShown="0" headerRowDxfId="23">
  <autoFilter ref="F3:G57" xr:uid="{B00AC86F-DF6B-443A-9496-CB7D743B02FC}"/>
  <tableColumns count="2">
    <tableColumn id="1" xr3:uid="{1E4793F9-BB14-4196-9983-CF0553D24D31}" name="Date"/>
    <tableColumn id="2" xr3:uid="{ECD366F6-D269-489E-9C5B-5302EAE572B8}" name="Event Nam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5885C1B-E917-413B-8524-B3DE97958033}" name="Table11" displayName="Table11" ref="I3:R366" totalsRowShown="0" headerRowDxfId="22">
  <autoFilter ref="I3:R366" xr:uid="{15885C1B-E917-413B-8524-B3DE97958033}"/>
  <tableColumns count="10">
    <tableColumn id="1" xr3:uid="{78150787-E32A-47AB-9548-0906C69188C6}" name="DATE" dataDxfId="21"/>
    <tableColumn id="10" xr3:uid="{3922AFA0-8081-41DE-9389-751CDA38F2D9}" name="SHIFT" dataDxfId="20"/>
    <tableColumn id="2" xr3:uid="{3C435151-2FDE-41C1-B217-260C7682AF30}" name="CUSTOMER" dataDxfId="19"/>
    <tableColumn id="3" xr3:uid="{633AEEEE-5165-496F-BEBA-23D620AFF2C7}" name="TYPE" dataDxfId="18"/>
    <tableColumn id="4" xr3:uid="{6E50E311-AE98-405F-BA01-806D8DEB80C0}" name="ITEM" dataDxfId="17"/>
    <tableColumn id="5" xr3:uid="{33DF8181-C601-4289-A49E-50E6C88F3600}" name="SIZE" dataDxfId="16"/>
    <tableColumn id="6" xr3:uid="{C6928C4A-1D5D-4E60-9436-66DEDECFDE35}" name="CLASS" dataDxfId="15"/>
    <tableColumn id="7" xr3:uid="{D37280ED-8FCD-43E1-A448-8E9EA6AB97F9}" name="QTY" dataDxfId="14"/>
    <tableColumn id="8" xr3:uid="{A661D137-D68F-459C-B157-708112BDDC33}" name="SALES ORDER" dataDxfId="13"/>
    <tableColumn id="9" xr3:uid="{0FE9EB3D-3700-4487-9F90-F88F485EC52A}" name="MACHINE / PROCESS" dataDxfId="12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F78DF31-0BFB-4991-968C-C31A9F295B3A}" name="Table6" displayName="Table6" ref="A2:H96" totalsRowShown="0" headerRowDxfId="11" dataDxfId="9" headerRowBorderDxfId="10" tableBorderDxfId="8">
  <autoFilter ref="A2:H96" xr:uid="{9F78DF31-0BFB-4991-968C-C31A9F295B3A}"/>
  <tableColumns count="8">
    <tableColumn id="1" xr3:uid="{2EE8B889-FFF3-4EC8-AD7C-9FF8E3FB4EDD}" name="SO. NO" dataDxfId="7"/>
    <tableColumn id="2" xr3:uid="{E8304113-0147-4824-B4CD-C1759C1CB279}" name="TYPE VALVE" dataDxfId="6"/>
    <tableColumn id="3" xr3:uid="{8D0EC0B7-AE38-4952-AFC8-11066FD4F930}" name="QTY" dataDxfId="5"/>
    <tableColumn id="4" xr3:uid="{D4CFE9AF-6C38-485C-80B9-EA24CB35A2A0}" name="MACHINE" dataDxfId="4"/>
    <tableColumn id="5" xr3:uid="{2B4CB940-206B-4269-99FC-FBDFA5980B9F}" name="TOOLS" dataDxfId="3"/>
    <tableColumn id="6" xr3:uid="{17C963D5-C6CD-4E68-89A8-B3D3A3D6F9BE}" name="BLASTING MATERIAL" dataDxfId="2"/>
    <tableColumn id="7" xr3:uid="{B691FDE9-7B57-4AA2-B6F6-75CF8AD94D15}" name="PAINTING MATERIAL" dataDxfId="1"/>
    <tableColumn id="8" xr3:uid="{9000DBE1-DDE3-4C49-890D-E104CB2C52EE}" name="CONSUMABLE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5">
    <wetp:webextensionref xmlns:r="http://schemas.openxmlformats.org/officeDocument/2006/relationships" r:id="rId1"/>
  </wetp:taskpane>
  <wetp:taskpane dockstate="right" visibility="0" width="525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F2464621-8986-4E1E-982A-834379E59D9B}">
  <we:reference id="wa200010215" version="2.0.0.0" store="en-US" storeType="OMEX"/>
  <we:alternateReferences>
    <we:reference id="WA200010215" version="2.0.0.0" store="" storeType="OMEX"/>
  </we:alternateReferences>
  <we:properties>
    <we:property name="bps.codex_control.document_id" value="&quot;990f5538-b31d-433b-9db5-4adf321e45ec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31ADEC2-F063-4C5D-9AF4-F0C4FEB01090}">
  <we:reference id="wa200010725" version="1.0.0.1" store="en-US" storeType="OMEX"/>
  <we:alternateReferences>
    <we:reference id="wa200010725" version="1.0.0.1" store="en-US" storeType="OMEX"/>
  </we:alternateReferences>
  <we:properties>
    <we:property name="claude.fileId" value="&quot;e0e5678e-7d3e-46a0-b707-e78533b98ec9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../../../../DEPT.%20PRODUCTION/15.%20PRODUCTION%20PLANNING%20CONTROL%20(PPC)/PRODUCTION_PLANNING_CONTROL%20-%20Capacity%20Estimation.xlsm" TargetMode="External"/><Relationship Id="rId3" Type="http://schemas.openxmlformats.org/officeDocument/2006/relationships/hyperlink" Target="../../../../../../../../DEPT.%20PRODUCTION/15.%20PRODUCTION%20PLANNING%20CONTROL%20(PPC)/PRODUCTION_PLANNING_CONTROL%20-%20Capacity%20Estimation.xlsm" TargetMode="External"/><Relationship Id="rId7" Type="http://schemas.openxmlformats.org/officeDocument/2006/relationships/hyperlink" Target="../../../../../../../../DEPT.%20PRODUCTION/15.%20PRODUCTION%20PLANNING%20CONTROL%20(PPC)/PRODUCTION_PLANNING_CONTROL%20-%20Capacity%20Estimation.xlsm" TargetMode="External"/><Relationship Id="rId2" Type="http://schemas.openxmlformats.org/officeDocument/2006/relationships/hyperlink" Target="../../../../../../../../DEPT.%20PRODUCTION/15.%20PRODUCTION%20PLANNING%20CONTROL%20(PPC)/PRODUCTION_PLANNING_CONTROL%20-%20Capacity%20Estimation.xlsm" TargetMode="External"/><Relationship Id="rId1" Type="http://schemas.openxmlformats.org/officeDocument/2006/relationships/hyperlink" Target="../../../../../../../../DEPT.%20PRODUCTION/15.%20PRODUCTION%20PLANNING%20CONTROL%20(PPC)/PRODUCTION_PLANNING_CONTROL%20-%20Capacity%20Estimation.xlsm" TargetMode="External"/><Relationship Id="rId6" Type="http://schemas.openxmlformats.org/officeDocument/2006/relationships/hyperlink" Target="../../../../../../../../DEPT.%20PRODUCTION/15.%20PRODUCTION%20PLANNING%20CONTROL%20(PPC)/PRODUCTION_PLANNING_CONTROL%20-%20Capacity%20Estimation.xlsm" TargetMode="External"/><Relationship Id="rId5" Type="http://schemas.openxmlformats.org/officeDocument/2006/relationships/hyperlink" Target="../../../../../../../../DEPT.%20PRODUCTION/15.%20PRODUCTION%20PLANNING%20CONTROL%20(PPC)/PRODUCTION_PLANNING_CONTROL%20-%20Capacity%20Estimation.xlsm" TargetMode="External"/><Relationship Id="rId4" Type="http://schemas.openxmlformats.org/officeDocument/2006/relationships/hyperlink" Target="../../../../../../../../DEPT.%20PRODUCTION/15.%20PRODUCTION%20PLANNING%20CONTROL%20(PPC)/PRODUCTION_PLANNING_CONTROL%20-%20Capacity%20Estimation.xlsm" TargetMode="External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../../../DEPT.%20PRODUCTION/15.%20PRODUCTION%20PLANNING%20CONTROL%20(PPC)/PRODUCTION_PLANNING_CONTROL%20-%20Capacity%20Estimation.xls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../../../DEPT.%20PRODUCTION/15.%20PRODUCTION%20PLANNING%20CONTROL%20(PPC)/PRODUCTION_PLANNING_CONTROL%20-%20Capacity%20Estimation.xlsm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81F83-D7FD-482F-9925-B7E63083A538}">
  <sheetPr codeName="Sheet5"/>
  <dimension ref="B2:I67"/>
  <sheetViews>
    <sheetView topLeftCell="A55" zoomScale="85" zoomScaleNormal="85" workbookViewId="0">
      <selection activeCell="E9" sqref="E9"/>
    </sheetView>
  </sheetViews>
  <sheetFormatPr defaultColWidth="8.6328125" defaultRowHeight="12.5" x14ac:dyDescent="0.25"/>
  <cols>
    <col min="1" max="1" width="3" customWidth="1"/>
    <col min="2" max="2" width="26" customWidth="1"/>
    <col min="3" max="3" width="30.36328125" bestFit="1" customWidth="1"/>
    <col min="4" max="5" width="15.26953125" customWidth="1"/>
    <col min="6" max="6" width="19" bestFit="1" customWidth="1"/>
    <col min="7" max="9" width="16" customWidth="1"/>
    <col min="10" max="10" width="3" customWidth="1"/>
  </cols>
  <sheetData>
    <row r="2" spans="2:9" ht="27.75" customHeight="1" x14ac:dyDescent="0.25">
      <c r="B2" s="566" t="s">
        <v>1715</v>
      </c>
      <c r="C2" s="566"/>
      <c r="D2" s="566"/>
      <c r="E2" s="566"/>
      <c r="F2" s="566"/>
      <c r="G2" s="566"/>
      <c r="H2" s="566"/>
      <c r="I2" s="566"/>
    </row>
    <row r="3" spans="2:9" ht="25.5" customHeight="1" x14ac:dyDescent="0.25">
      <c r="B3" s="567" t="s">
        <v>1714</v>
      </c>
      <c r="C3" s="568"/>
      <c r="D3" s="568"/>
      <c r="E3" s="568"/>
      <c r="F3" s="568"/>
      <c r="G3" s="568"/>
      <c r="H3" s="568"/>
      <c r="I3" s="568"/>
    </row>
    <row r="4" spans="2:9" ht="13" thickBot="1" x14ac:dyDescent="0.3"/>
    <row r="5" spans="2:9" s="527" customFormat="1" ht="28.5" thickBot="1" x14ac:dyDescent="0.35">
      <c r="B5" s="528" t="s">
        <v>1696</v>
      </c>
      <c r="C5" s="529"/>
      <c r="D5" s="528" t="s">
        <v>1697</v>
      </c>
      <c r="E5" s="529"/>
      <c r="F5" s="528" t="s">
        <v>1716</v>
      </c>
      <c r="G5" s="529"/>
      <c r="H5" s="528" t="s">
        <v>1717</v>
      </c>
    </row>
    <row r="6" spans="2:9" ht="30" customHeight="1" thickBot="1" x14ac:dyDescent="0.3">
      <c r="B6" s="514">
        <f>COUNTA('Resume SO per Valve'!A5:A37)</f>
        <v>32</v>
      </c>
      <c r="D6" s="514">
        <f>'Resume SO per Valve'!D38</f>
        <v>1438</v>
      </c>
      <c r="F6" s="515">
        <f>'Resume SO per Valve'!F38</f>
        <v>4104.2166666666672</v>
      </c>
      <c r="H6" s="515">
        <f>'Resume SO per Valve'!G38</f>
        <v>513.02708333333339</v>
      </c>
    </row>
    <row r="8" spans="2:9" ht="15" customHeight="1" x14ac:dyDescent="0.35">
      <c r="B8" s="516" t="s">
        <v>1698</v>
      </c>
    </row>
    <row r="9" spans="2:9" ht="19.5" customHeight="1" x14ac:dyDescent="0.25">
      <c r="B9" s="565" t="s">
        <v>1699</v>
      </c>
      <c r="C9" s="565"/>
      <c r="D9" s="565"/>
      <c r="F9" s="565" t="s">
        <v>1700</v>
      </c>
      <c r="G9" s="565"/>
      <c r="H9" s="565"/>
    </row>
    <row r="10" spans="2:9" ht="19.5" customHeight="1" x14ac:dyDescent="0.25">
      <c r="B10" s="565" t="s">
        <v>1701</v>
      </c>
      <c r="C10" s="565"/>
      <c r="D10" s="565"/>
      <c r="F10" s="565" t="s">
        <v>1702</v>
      </c>
      <c r="G10" s="565"/>
      <c r="H10" s="565"/>
    </row>
    <row r="11" spans="2:9" ht="19.5" customHeight="1" x14ac:dyDescent="0.25">
      <c r="B11" s="565" t="s">
        <v>1703</v>
      </c>
      <c r="C11" s="565"/>
      <c r="D11" s="565"/>
      <c r="F11" s="565" t="s">
        <v>1704</v>
      </c>
      <c r="G11" s="565"/>
      <c r="H11" s="565"/>
    </row>
    <row r="12" spans="2:9" ht="19.5" customHeight="1" x14ac:dyDescent="0.25">
      <c r="B12" s="565" t="s">
        <v>1705</v>
      </c>
      <c r="C12" s="565"/>
      <c r="D12" s="565"/>
      <c r="F12" s="565" t="s">
        <v>1712</v>
      </c>
      <c r="G12" s="565"/>
      <c r="H12" s="565"/>
    </row>
    <row r="14" spans="2:9" ht="15" customHeight="1" x14ac:dyDescent="0.35">
      <c r="B14" s="516" t="s">
        <v>1706</v>
      </c>
    </row>
    <row r="15" spans="2:9" ht="26" x14ac:dyDescent="0.25">
      <c r="B15" s="517" t="s">
        <v>1518</v>
      </c>
      <c r="C15" s="517" t="s">
        <v>1697</v>
      </c>
      <c r="D15" s="500" t="s">
        <v>1707</v>
      </c>
      <c r="E15" s="517" t="s">
        <v>1708</v>
      </c>
    </row>
    <row r="16" spans="2:9" ht="15" customHeight="1" x14ac:dyDescent="0.25">
      <c r="B16" s="501" t="s">
        <v>1529</v>
      </c>
      <c r="C16" s="502">
        <f>SUMIF('Resume SO per Valve'!$D$42:$D$501,B16,'Resume SO per Valve'!$H$42:$H$501)</f>
        <v>709</v>
      </c>
      <c r="D16" s="518">
        <f>SUMIF('Resume SO per Valve'!$D$42:$D$501,B16,'Resume SO per Valve'!$J$42:$J$501)/60</f>
        <v>1536.8166666666666</v>
      </c>
      <c r="E16" s="502">
        <f>COUNTIF('Resume SO per Valve'!$D$42:$D$501,B16)</f>
        <v>103</v>
      </c>
    </row>
    <row r="17" spans="2:5" ht="15" customHeight="1" x14ac:dyDescent="0.25">
      <c r="B17" s="501" t="s">
        <v>1534</v>
      </c>
      <c r="C17" s="502">
        <f>SUMIF('Resume SO per Valve'!$D$42:$D$501,B17,'Resume SO per Valve'!$H$42:$H$501)</f>
        <v>461</v>
      </c>
      <c r="D17" s="518">
        <f>SUMIF('Resume SO per Valve'!$D$42:$D$501,B17,'Resume SO per Valve'!$J$42:$J$501)/60</f>
        <v>1741.4666666666667</v>
      </c>
      <c r="E17" s="502">
        <f>COUNTIF('Resume SO per Valve'!$D$42:$D$501,B17)</f>
        <v>96</v>
      </c>
    </row>
    <row r="18" spans="2:5" ht="15" customHeight="1" x14ac:dyDescent="0.25">
      <c r="B18" s="501" t="s">
        <v>1536</v>
      </c>
      <c r="C18" s="502">
        <f>SUMIF('Resume SO per Valve'!$D$42:$D$501,B18,'Resume SO per Valve'!$H$42:$H$501)</f>
        <v>46</v>
      </c>
      <c r="D18" s="518">
        <f>SUMIF('Resume SO per Valve'!$D$42:$D$501,B18,'Resume SO per Valve'!$J$42:$J$501)/60</f>
        <v>138.48333333333332</v>
      </c>
      <c r="E18" s="502">
        <f>COUNTIF('Resume SO per Valve'!$D$42:$D$501,B18)</f>
        <v>9</v>
      </c>
    </row>
    <row r="19" spans="2:5" ht="15" customHeight="1" x14ac:dyDescent="0.25">
      <c r="B19" s="501" t="s">
        <v>1538</v>
      </c>
      <c r="C19" s="502">
        <f>SUMIF('Resume SO per Valve'!$D$42:$D$501,B19,'Resume SO per Valve'!$H$42:$H$501)</f>
        <v>95</v>
      </c>
      <c r="D19" s="518">
        <f>SUMIF('Resume SO per Valve'!$D$42:$D$501,B19,'Resume SO per Valve'!$J$42:$J$501)/60</f>
        <v>275.66666666666669</v>
      </c>
      <c r="E19" s="502">
        <f>COUNTIF('Resume SO per Valve'!$D$42:$D$501,B19)</f>
        <v>45</v>
      </c>
    </row>
    <row r="20" spans="2:5" ht="15" customHeight="1" x14ac:dyDescent="0.25">
      <c r="B20" s="501" t="s">
        <v>1541</v>
      </c>
      <c r="C20" s="502">
        <f>SUMIF('Resume SO per Valve'!$D$42:$D$501,B20,'Resume SO per Valve'!$H$42:$H$501)</f>
        <v>20</v>
      </c>
      <c r="D20" s="518">
        <f>SUMIF('Resume SO per Valve'!$D$42:$D$501,B20,'Resume SO per Valve'!$J$42:$J$501)/60</f>
        <v>71.183333333333337</v>
      </c>
      <c r="E20" s="502">
        <f>COUNTIF('Resume SO per Valve'!$D$42:$D$501,B20)</f>
        <v>6</v>
      </c>
    </row>
    <row r="21" spans="2:5" ht="15" customHeight="1" x14ac:dyDescent="0.25">
      <c r="B21" s="501" t="s">
        <v>1544</v>
      </c>
      <c r="C21" s="502">
        <f>SUMIF('Resume SO per Valve'!$D$42:$D$501,B21,'Resume SO per Valve'!$H$42:$H$501)</f>
        <v>0</v>
      </c>
      <c r="D21" s="518">
        <f>SUMIF('Resume SO per Valve'!$D$42:$D$501,B21,'Resume SO per Valve'!$J$42:$J$501)/60</f>
        <v>0</v>
      </c>
      <c r="E21" s="502">
        <f>COUNTIF('Resume SO per Valve'!$D$42:$D$501,B21)</f>
        <v>0</v>
      </c>
    </row>
    <row r="22" spans="2:5" ht="15" customHeight="1" x14ac:dyDescent="0.25">
      <c r="B22" s="501" t="s">
        <v>1547</v>
      </c>
      <c r="C22" s="502">
        <f>SUMIF('Resume SO per Valve'!$D$42:$D$501,B22,'Resume SO per Valve'!$H$42:$H$501)</f>
        <v>107</v>
      </c>
      <c r="D22" s="518">
        <f>SUMIF('Resume SO per Valve'!$D$42:$D$501,B22,'Resume SO per Valve'!$J$42:$J$501)/60</f>
        <v>340.6</v>
      </c>
      <c r="E22" s="502">
        <f>COUNTIF('Resume SO per Valve'!$D$42:$D$501,B22)</f>
        <v>89</v>
      </c>
    </row>
    <row r="34" spans="2:5" ht="15" customHeight="1" x14ac:dyDescent="0.35">
      <c r="B34" s="516" t="s">
        <v>1709</v>
      </c>
    </row>
    <row r="35" spans="2:5" ht="15" customHeight="1" x14ac:dyDescent="0.25">
      <c r="B35" s="517" t="s">
        <v>1710</v>
      </c>
      <c r="C35" s="517" t="s">
        <v>1551</v>
      </c>
      <c r="D35" s="517" t="s">
        <v>73</v>
      </c>
      <c r="E35" s="517" t="s">
        <v>1711</v>
      </c>
    </row>
    <row r="36" spans="2:5" ht="15" customHeight="1" x14ac:dyDescent="0.25">
      <c r="B36" s="523" t="s">
        <v>75</v>
      </c>
      <c r="C36" s="502" t="str">
        <f>'Resume SO per Valve'!B5</f>
        <v>PT AZYMUTH CITRA PERKASA</v>
      </c>
      <c r="D36" s="502">
        <f>'Resume SO per Valve'!D5</f>
        <v>88</v>
      </c>
      <c r="E36" s="518">
        <f>'Resume SO per Valve'!F5</f>
        <v>209.2</v>
      </c>
    </row>
    <row r="37" spans="2:5" ht="25" x14ac:dyDescent="0.25">
      <c r="B37" s="524" t="s">
        <v>264</v>
      </c>
      <c r="C37" s="519" t="str">
        <f>'Resume SO per Valve'!B6</f>
        <v>PT. WIJAYA KARYA (Persero) Tbk.</v>
      </c>
      <c r="D37" s="519">
        <f>'Resume SO per Valve'!D6</f>
        <v>72</v>
      </c>
      <c r="E37" s="520">
        <f>'Resume SO per Valve'!F6</f>
        <v>122.41666666666667</v>
      </c>
    </row>
    <row r="38" spans="2:5" ht="25" x14ac:dyDescent="0.25">
      <c r="B38" s="525" t="s">
        <v>263</v>
      </c>
      <c r="C38" s="502" t="str">
        <f>'Resume SO per Valve'!B7</f>
        <v>PT. WIJAYA KARYA (Persero) Tbk.</v>
      </c>
      <c r="D38" s="502">
        <f>'Resume SO per Valve'!D7</f>
        <v>54</v>
      </c>
      <c r="E38" s="518">
        <f>'Resume SO per Valve'!F7</f>
        <v>273.5</v>
      </c>
    </row>
    <row r="39" spans="2:5" ht="15" customHeight="1" x14ac:dyDescent="0.25">
      <c r="B39" s="524" t="s">
        <v>139</v>
      </c>
      <c r="C39" s="519" t="str">
        <f>'Resume SO per Valve'!B8</f>
        <v>PT. FIS Sejahtera Bersama</v>
      </c>
      <c r="D39" s="519">
        <f>'Resume SO per Valve'!D8</f>
        <v>62</v>
      </c>
      <c r="E39" s="520">
        <f>'Resume SO per Valve'!F8</f>
        <v>76.566666666666663</v>
      </c>
    </row>
    <row r="40" spans="2:5" ht="15" customHeight="1" x14ac:dyDescent="0.25">
      <c r="B40" s="523" t="s">
        <v>157</v>
      </c>
      <c r="C40" s="502" t="str">
        <f>'Resume SO per Valve'!B9</f>
        <v>PT. PP PERSERO Tbk.</v>
      </c>
      <c r="D40" s="502">
        <f>'Resume SO per Valve'!D9</f>
        <v>162</v>
      </c>
      <c r="E40" s="518">
        <f>'Resume SO per Valve'!F9</f>
        <v>575.75</v>
      </c>
    </row>
    <row r="41" spans="2:5" ht="15" customHeight="1" x14ac:dyDescent="0.25">
      <c r="B41" s="524" t="s">
        <v>186</v>
      </c>
      <c r="C41" s="519" t="str">
        <f>'Resume SO per Valve'!B10</f>
        <v>PT. DENSON PRIMA UTAMA</v>
      </c>
      <c r="D41" s="519">
        <f>'Resume SO per Valve'!D10</f>
        <v>4</v>
      </c>
      <c r="E41" s="520">
        <f>'Resume SO per Valve'!F10</f>
        <v>22.416666666666668</v>
      </c>
    </row>
    <row r="42" spans="2:5" ht="15" customHeight="1" x14ac:dyDescent="0.25">
      <c r="B42" s="523" t="s">
        <v>202</v>
      </c>
      <c r="C42" s="502" t="str">
        <f>'Resume SO per Valve'!B11</f>
        <v>PT. REKAYASA INDUSTRI</v>
      </c>
      <c r="D42" s="502">
        <f>'Resume SO per Valve'!D11</f>
        <v>76</v>
      </c>
      <c r="E42" s="518">
        <f>'Resume SO per Valve'!F11</f>
        <v>289.39999999999998</v>
      </c>
    </row>
    <row r="43" spans="2:5" ht="15" customHeight="1" x14ac:dyDescent="0.25">
      <c r="B43" s="524" t="s">
        <v>196</v>
      </c>
      <c r="C43" s="519" t="str">
        <f>'Resume SO per Valve'!B12</f>
        <v>PT. KOMALASARI</v>
      </c>
      <c r="D43" s="519">
        <f>'Resume SO per Valve'!D12</f>
        <v>2</v>
      </c>
      <c r="E43" s="520">
        <f>'Resume SO per Valve'!F12</f>
        <v>23.5</v>
      </c>
    </row>
    <row r="44" spans="2:5" ht="15" customHeight="1" x14ac:dyDescent="0.25">
      <c r="B44" s="523" t="s">
        <v>206</v>
      </c>
      <c r="C44" s="502" t="str">
        <f>'Resume SO per Valve'!B13</f>
        <v>PT. ANUGERAH TEKNIK ASIA</v>
      </c>
      <c r="D44" s="502">
        <f>'Resume SO per Valve'!D13</f>
        <v>25</v>
      </c>
      <c r="E44" s="518">
        <f>'Resume SO per Valve'!F13</f>
        <v>72.150000000000006</v>
      </c>
    </row>
    <row r="45" spans="2:5" ht="15" customHeight="1" x14ac:dyDescent="0.25">
      <c r="B45" s="524" t="s">
        <v>210</v>
      </c>
      <c r="C45" s="519" t="str">
        <f>'Resume SO per Valve'!B14</f>
        <v>PT. ATAMORA TEHNIK MAKMUR</v>
      </c>
      <c r="D45" s="519">
        <f>'Resume SO per Valve'!D14</f>
        <v>11</v>
      </c>
      <c r="E45" s="520">
        <f>'Resume SO per Valve'!F14</f>
        <v>33.5</v>
      </c>
    </row>
    <row r="46" spans="2:5" ht="15" customHeight="1" x14ac:dyDescent="0.25">
      <c r="B46" s="523" t="s">
        <v>224</v>
      </c>
      <c r="C46" s="502" t="str">
        <f>'Resume SO per Valve'!B15</f>
        <v>PT. ATAMORA TEHNIK MAKMUR</v>
      </c>
      <c r="D46" s="502">
        <f>'Resume SO per Valve'!D15</f>
        <v>8</v>
      </c>
      <c r="E46" s="518">
        <f>'Resume SO per Valve'!F15</f>
        <v>25</v>
      </c>
    </row>
    <row r="47" spans="2:5" ht="15" customHeight="1" x14ac:dyDescent="0.25">
      <c r="B47" s="524" t="s">
        <v>229</v>
      </c>
      <c r="C47" s="519" t="str">
        <f>'Resume SO per Valve'!B16</f>
        <v>PT. ATAMORA TEHNIK MAKMUR</v>
      </c>
      <c r="D47" s="519">
        <f>'Resume SO per Valve'!D16</f>
        <v>7</v>
      </c>
      <c r="E47" s="520">
        <f>'Resume SO per Valve'!F16</f>
        <v>18.75</v>
      </c>
    </row>
    <row r="48" spans="2:5" ht="15" customHeight="1" x14ac:dyDescent="0.25">
      <c r="B48" s="523" t="s">
        <v>217</v>
      </c>
      <c r="C48" s="502" t="str">
        <f>'Resume SO per Valve'!B17</f>
        <v>PT. JGC INDONESIA</v>
      </c>
      <c r="D48" s="502">
        <f>'Resume SO per Valve'!D17</f>
        <v>26</v>
      </c>
      <c r="E48" s="518">
        <f>'Resume SO per Valve'!F17</f>
        <v>44.3</v>
      </c>
    </row>
    <row r="49" spans="2:5" ht="15" customHeight="1" x14ac:dyDescent="0.25">
      <c r="B49" s="524" t="s">
        <v>871</v>
      </c>
      <c r="C49" s="519" t="str">
        <f>'Resume SO per Valve'!B18</f>
        <v>PT. TIMAS SUPLINDO</v>
      </c>
      <c r="D49" s="519">
        <f>'Resume SO per Valve'!D18</f>
        <v>3</v>
      </c>
      <c r="E49" s="520">
        <f>'Resume SO per Valve'!F18</f>
        <v>5.85</v>
      </c>
    </row>
    <row r="50" spans="2:5" ht="15" customHeight="1" x14ac:dyDescent="0.25">
      <c r="B50" s="523" t="s">
        <v>1113</v>
      </c>
      <c r="C50" s="502" t="str">
        <f>'Resume SO per Valve'!B19</f>
        <v>PT. TIMAS SUPLINDO</v>
      </c>
      <c r="D50" s="502">
        <f>'Resume SO per Valve'!D19</f>
        <v>33</v>
      </c>
      <c r="E50" s="518">
        <f>'Resume SO per Valve'!F19</f>
        <v>212.08333333333334</v>
      </c>
    </row>
    <row r="51" spans="2:5" ht="15" customHeight="1" x14ac:dyDescent="0.25">
      <c r="B51" s="524" t="s">
        <v>1153</v>
      </c>
      <c r="C51" s="519" t="str">
        <f>'Resume SO per Valve'!B20</f>
        <v>PT. BERJAYA SUKSES MAKMUR</v>
      </c>
      <c r="D51" s="519">
        <f>'Resume SO per Valve'!D20</f>
        <v>4</v>
      </c>
      <c r="E51" s="520">
        <f>'Resume SO per Valve'!F20</f>
        <v>18</v>
      </c>
    </row>
    <row r="52" spans="2:5" ht="15" customHeight="1" x14ac:dyDescent="0.25">
      <c r="B52" s="523" t="s">
        <v>1219</v>
      </c>
      <c r="C52" s="502" t="str">
        <f>'Resume SO per Valve'!B21</f>
        <v>PT. WIJAYA KARYA (Persero) Tbk.</v>
      </c>
      <c r="D52" s="502">
        <f>'Resume SO per Valve'!D21</f>
        <v>7</v>
      </c>
      <c r="E52" s="518">
        <f>'Resume SO per Valve'!F21</f>
        <v>12.583333333333334</v>
      </c>
    </row>
    <row r="53" spans="2:5" ht="15" customHeight="1" x14ac:dyDescent="0.25">
      <c r="B53" s="524" t="s">
        <v>1216</v>
      </c>
      <c r="C53" s="519" t="str">
        <f>'Resume SO per Valve'!B22</f>
        <v>PT. WIJAYA KARYA (Persero) Tbk.</v>
      </c>
      <c r="D53" s="519">
        <f>'Resume SO per Valve'!D22</f>
        <v>74</v>
      </c>
      <c r="E53" s="520">
        <f>'Resume SO per Valve'!F22</f>
        <v>263.53333333333336</v>
      </c>
    </row>
    <row r="54" spans="2:5" ht="15" customHeight="1" x14ac:dyDescent="0.25">
      <c r="B54" s="523" t="s">
        <v>1221</v>
      </c>
      <c r="C54" s="502" t="str">
        <f>'Resume SO per Valve'!B23</f>
        <v>PT. ATAMORA TEHNIK MAKMUR</v>
      </c>
      <c r="D54" s="502">
        <f>'Resume SO per Valve'!D23</f>
        <v>6</v>
      </c>
      <c r="E54" s="518">
        <f>'Resume SO per Valve'!F23</f>
        <v>12.5</v>
      </c>
    </row>
    <row r="55" spans="2:5" ht="15" customHeight="1" x14ac:dyDescent="0.25">
      <c r="B55" s="524" t="s">
        <v>1226</v>
      </c>
      <c r="C55" s="519" t="str">
        <f>'Resume SO per Valve'!B24</f>
        <v>PT. TIMAS SUPLINDO</v>
      </c>
      <c r="D55" s="519">
        <f>'Resume SO per Valve'!D24</f>
        <v>16</v>
      </c>
      <c r="E55" s="520">
        <f>'Resume SO per Valve'!F24</f>
        <v>45.116666666666667</v>
      </c>
    </row>
    <row r="56" spans="2:5" ht="15" customHeight="1" x14ac:dyDescent="0.25">
      <c r="B56" s="523" t="s">
        <v>1234</v>
      </c>
      <c r="C56" s="502" t="str">
        <f>'Resume SO per Valve'!B25</f>
        <v>PT. PP PERSERO Tbk.</v>
      </c>
      <c r="D56" s="502">
        <f>'Resume SO per Valve'!D25</f>
        <v>333</v>
      </c>
      <c r="E56" s="518">
        <f>'Resume SO per Valve'!F25</f>
        <v>724.5</v>
      </c>
    </row>
    <row r="57" spans="2:5" ht="15" customHeight="1" x14ac:dyDescent="0.25">
      <c r="B57" s="524" t="s">
        <v>1249</v>
      </c>
      <c r="C57" s="519" t="str">
        <f>'Resume SO per Valve'!B26</f>
        <v>PT. JASA KITA BERSAMA</v>
      </c>
      <c r="D57" s="519">
        <f>'Resume SO per Valve'!D26</f>
        <v>7</v>
      </c>
      <c r="E57" s="520">
        <f>'Resume SO per Valve'!F26</f>
        <v>14.316666666666666</v>
      </c>
    </row>
    <row r="58" spans="2:5" x14ac:dyDescent="0.25">
      <c r="B58" t="s">
        <v>1743</v>
      </c>
      <c r="C58" s="519" t="str">
        <f>'Resume SO per Valve'!B27</f>
        <v>PT. WIJAYA KARYA (Persero) Tbk.</v>
      </c>
      <c r="D58" s="519">
        <f>'Resume SO per Valve'!D27</f>
        <v>106</v>
      </c>
      <c r="E58" s="520">
        <f>'Resume SO per Valve'!F27</f>
        <v>214.25</v>
      </c>
    </row>
    <row r="59" spans="2:5" x14ac:dyDescent="0.25">
      <c r="B59" t="s">
        <v>1755</v>
      </c>
      <c r="C59" s="519" t="str">
        <f>'Resume SO per Valve'!B28</f>
        <v>PT. VALVINDO MANDIRI</v>
      </c>
      <c r="D59" s="519">
        <f>'Resume SO per Valve'!D28</f>
        <v>5</v>
      </c>
      <c r="E59" s="520">
        <f>'Resume SO per Valve'!F28</f>
        <v>12</v>
      </c>
    </row>
    <row r="60" spans="2:5" x14ac:dyDescent="0.25">
      <c r="B60" t="s">
        <v>1746</v>
      </c>
      <c r="C60" s="519" t="str">
        <f>'Resume SO per Valve'!B29</f>
        <v>PT. MERCURY TEKINDO INTERNUSA</v>
      </c>
      <c r="D60" s="519">
        <f>'Resume SO per Valve'!D29</f>
        <v>18</v>
      </c>
      <c r="E60" s="520">
        <f>'Resume SO per Valve'!F29</f>
        <v>23.4</v>
      </c>
    </row>
    <row r="61" spans="2:5" x14ac:dyDescent="0.25">
      <c r="B61" t="s">
        <v>1764</v>
      </c>
      <c r="C61" s="519" t="str">
        <f>'Resume SO per Valve'!B30</f>
        <v>PT WIJAYA KARYA (Persero) Tbk.</v>
      </c>
      <c r="D61" s="519">
        <f>'Resume SO per Valve'!D30</f>
        <v>5</v>
      </c>
      <c r="E61" s="520">
        <f>'Resume SO per Valve'!F30</f>
        <v>6.666666666666667</v>
      </c>
    </row>
    <row r="62" spans="2:5" x14ac:dyDescent="0.25">
      <c r="B62" t="s">
        <v>1767</v>
      </c>
      <c r="C62" s="519" t="str">
        <f>'Resume SO per Valve'!B31</f>
        <v>PT. DENSON PRIMA UTAMA</v>
      </c>
      <c r="D62" s="519">
        <f>'Resume SO per Valve'!D31</f>
        <v>1</v>
      </c>
      <c r="E62" s="520">
        <f>'Resume SO per Valve'!F31</f>
        <v>11</v>
      </c>
    </row>
    <row r="63" spans="2:5" x14ac:dyDescent="0.25">
      <c r="B63" t="s">
        <v>1775</v>
      </c>
      <c r="C63" s="519" t="str">
        <f>'Resume SO per Valve'!B32</f>
        <v>PT. SURYA SAKTI SUKSES</v>
      </c>
      <c r="D63" s="519">
        <f>'Resume SO per Valve'!D32</f>
        <v>19</v>
      </c>
      <c r="E63" s="520">
        <f>'Resume SO per Valve'!F32</f>
        <v>74.033333333333331</v>
      </c>
    </row>
    <row r="64" spans="2:5" x14ac:dyDescent="0.25">
      <c r="B64" t="s">
        <v>1779</v>
      </c>
      <c r="C64" s="519" t="str">
        <f>'Resume SO per Valve'!B33</f>
        <v>PT Nindya Karya (Persero)</v>
      </c>
      <c r="D64" s="519">
        <f>'Resume SO per Valve'!D33</f>
        <v>10</v>
      </c>
      <c r="E64" s="520">
        <f>'Resume SO per Valve'!F33</f>
        <v>39.266666666666666</v>
      </c>
    </row>
    <row r="65" spans="2:5" x14ac:dyDescent="0.25">
      <c r="B65" t="s">
        <v>1785</v>
      </c>
      <c r="C65" s="519" t="str">
        <f>'Resume SO per Valve'!B34</f>
        <v>PT. WIJAYA KARYA (Persero) Tbk.</v>
      </c>
      <c r="D65" s="519">
        <f>'Resume SO per Valve'!D34</f>
        <v>18</v>
      </c>
      <c r="E65" s="520">
        <f>'Resume SO per Valve'!F34</f>
        <v>33.583333333333336</v>
      </c>
    </row>
    <row r="66" spans="2:5" x14ac:dyDescent="0.25">
      <c r="B66" t="s">
        <v>1791</v>
      </c>
      <c r="C66" s="519" t="str">
        <f>'Resume SO per Valve'!B35</f>
        <v>PT. TIMAS SUPLINDO</v>
      </c>
      <c r="D66" s="519">
        <f>'Resume SO per Valve'!D35</f>
        <v>17</v>
      </c>
      <c r="E66" s="520">
        <f>'Resume SO per Valve'!F35</f>
        <v>26.5</v>
      </c>
    </row>
    <row r="67" spans="2:5" x14ac:dyDescent="0.25">
      <c r="B67" t="s">
        <v>1807</v>
      </c>
      <c r="C67" s="519" t="str">
        <f>'Resume SO per Valve'!B36</f>
        <v>PT. ADHI KARYA (Persero) Tbk</v>
      </c>
      <c r="D67" s="519">
        <f>'Resume SO per Valve'!D36</f>
        <v>159</v>
      </c>
      <c r="E67" s="520">
        <f>'Resume SO per Valve'!F36</f>
        <v>568.58333333333337</v>
      </c>
    </row>
  </sheetData>
  <mergeCells count="10">
    <mergeCell ref="B11:D11"/>
    <mergeCell ref="F11:H11"/>
    <mergeCell ref="B12:D12"/>
    <mergeCell ref="F12:H12"/>
    <mergeCell ref="B2:I2"/>
    <mergeCell ref="B3:I3"/>
    <mergeCell ref="B9:D9"/>
    <mergeCell ref="F9:H9"/>
    <mergeCell ref="B10:D10"/>
    <mergeCell ref="F10:H10"/>
  </mergeCells>
  <hyperlinks>
    <hyperlink ref="B9" r:id="rId1" location="'Capacity%20Summary'!A1" xr:uid="{46B7E4B3-8E0C-410B-A7CF-A2A3C4A18665}"/>
    <hyperlink ref="F9" r:id="rId2" location="'Resume%20SO%20per%20Valve'!A1" xr:uid="{B0031A45-2261-4731-B2FD-7E0EFCE474C0}"/>
    <hyperlink ref="B10" r:id="rId3" location="'Detail%20Project'!A7" xr:uid="{D4918BFF-9D3F-41D7-83FB-6B1D68462F28}"/>
    <hyperlink ref="F10" r:id="rId4" location="'PLAN%20PRODUCTION'!A1" xr:uid="{4411E0D3-A141-4EEE-9DE4-E794FFBC3F1D}"/>
    <hyperlink ref="B11" r:id="rId5" location="'Variance%20Dashboard'!B2" xr:uid="{0D97E448-9585-4003-9513-FE200205405A}"/>
    <hyperlink ref="F11" r:id="rId6" location="'Schedule'!B1" xr:uid="{AF756A22-7F58-4524-966F-F44B433A7194}"/>
    <hyperlink ref="B12" r:id="rId7" location="'MR%20List'!A2" xr:uid="{D8032494-0A37-441C-A1F9-CC64AC6D060B}"/>
    <hyperlink ref="F12" r:id="rId8" location="'README%20-%20Metodologi%20Estimasi'!A1" display="➤  README - Metodologi Estimasi" xr:uid="{6B8376BF-7705-467F-A8C6-54ED4D1B5BA2}"/>
    <hyperlink ref="B36" location="'Resume SO per Valve'!A46" display="015/AVI/0425" xr:uid="{D5294666-EB81-4A1F-A6F2-A748594FCCB9}"/>
    <hyperlink ref="B37" location="'Resume SO per Valve'!A66" display="'Resume SO per Valve'!A66" xr:uid="{EF1B1887-7F41-4CB9-922A-4080DDBA741A}"/>
    <hyperlink ref="B38" location="'Resume SO per Valve'!A87" display="'Resume SO per Valve'!A87" xr:uid="{625741B7-A824-4F21-9BB2-EC9B7FEF5166}"/>
    <hyperlink ref="B39" location="'Resume SO per Valve'!A103" display="033/AVI/2025" xr:uid="{98F0FADF-B76E-45F1-8ED4-CBBE4FAB7D20}"/>
    <hyperlink ref="B40" location="'Resume SO per Valve'!A133" display="011/AVI/0325 R.1" xr:uid="{FC629C88-6FF9-473B-B871-4CFF4D243C82}"/>
    <hyperlink ref="B41" location="'Resume SO per Valve'!A138" display="002/TR/AVI/0126" xr:uid="{353133A3-6E68-4A71-89B7-5B7E0A7120AA}"/>
    <hyperlink ref="B42" location="'Resume SO per Valve'!A153" display="004/TR/AVI/0226" xr:uid="{DB22D237-D7E7-4815-8678-3A6769C01BCD}"/>
    <hyperlink ref="B43" location="'Resume SO per Valve'!A155" display="005/AVI/0226" xr:uid="{DED71E16-4EB0-4F5A-99EA-3EFA4B9505F0}"/>
    <hyperlink ref="B44" location="'Resume SO per Valve'!A169" display="006/TR/AVI/0226" xr:uid="{489D67B1-92F5-481C-8790-E849C9A234EC}"/>
    <hyperlink ref="B45" location="'Resume SO per Valve'!A171" display="010/TR/AVI/0326" xr:uid="{4B90541B-584D-483B-A38F-142AF157D43F}"/>
    <hyperlink ref="B46" location="'Resume SO per Valve'!A175" display="012/TR/AVI/0326" xr:uid="{23573263-A8A4-42CA-AAF4-E6584E88E690}"/>
    <hyperlink ref="B47" location="'Resume SO per Valve'!A181" display="013/TR/AVI/0326" xr:uid="{3A344D20-9F92-4A84-9751-F94C7E985578}"/>
    <hyperlink ref="B48" location="'Resume SO per Valve'!A185" display="015/TR/AVI/0426" xr:uid="{6694B6AF-283C-48AB-9103-E5205173A1C9}"/>
    <hyperlink ref="B49" location="'Resume SO per Valve'!A188" display="021/TR/AVI/0526" xr:uid="{43AB13DD-2639-4BAB-8935-69867BB78DB8}"/>
    <hyperlink ref="B50" location="'Resume SO per Valve'!A196" display="001/TR/AVI/0126" xr:uid="{AC3627C5-EB2A-4B54-BAC2-CC9612D4A459}"/>
    <hyperlink ref="B51" location="'Resume SO per Valve'!A199" display="014/TR/AVI/0426" xr:uid="{E8AA3BBD-A26B-488E-B897-FE52EE6AD7B4}"/>
    <hyperlink ref="B52" location="'Resume SO per Valve'!A205" display="025/TR/AVI/0726" xr:uid="{444797DF-E1A4-49EF-B98B-07FB365D75F7}"/>
    <hyperlink ref="B53" location="'Resume SO per Valve'!A281" display="007/TR/AVI/0226" xr:uid="{1392EE28-49F6-44D3-BF99-49E99AF3E120}"/>
    <hyperlink ref="B54" location="'Resume SO per Valve'!A286" display="017/TR/AVI/0426" xr:uid="{610F3C96-D884-466A-8604-C6335B6A5A0D}"/>
    <hyperlink ref="B55" location="'Resume SO per Valve'!A292" display="019/TR/AVI/0426" xr:uid="{F56E3406-4049-4642-A4FE-06F25301EB43}"/>
    <hyperlink ref="B56" location="Dashboard!A318" display="020/AVI/TR/0526" xr:uid="{3599372D-1E76-4011-A4AE-CE464E070331}"/>
    <hyperlink ref="B57" location="'Resume SO per Valve'!A322" display="018/TR/AVI/0426" xr:uid="{D9296F8C-DEFE-46F1-9E5E-39AE8AB95F8E}"/>
    <hyperlink ref="B9:D9" location="'Capacity Summary'!A1" display="➤  Capacity Summary (referensi durasi mesin)" xr:uid="{8A167020-7013-4202-BEEF-444CD6E5F408}"/>
    <hyperlink ref="B10:D10" location="'Detail Project'!A1" display="➤  Detail Project (input data order)" xr:uid="{7D187563-D56D-4153-8DD6-89C6EC9B0BF7}"/>
    <hyperlink ref="B11:D11" location="'Variance Dashboard'!A1" display="➤  Variance Dashboard (plan vs actual)" xr:uid="{E7F3F99E-B9DF-412F-83B6-83FBE481A419}"/>
    <hyperlink ref="B12:D12" location="'MR List'!A1" display="➤  MR List (material request)" xr:uid="{5077E025-DEC5-49FF-BC16-C6578B55E1B6}"/>
    <hyperlink ref="F9:H9" location="'Resume SO per Valve'!A1" display="➤  Resume SO per Valve (rekap &amp; detail per SO)" xr:uid="{A24614F4-83DF-44F9-AF60-069E31A56413}"/>
    <hyperlink ref="F10:H10" location="'PLAN PRODUCTION'!A1" display="➤  PLAN PRODUCTION" xr:uid="{59F563CA-0C1D-49A1-A016-9D1D415A4C88}"/>
    <hyperlink ref="F11:H11" location="'SCHEDULE CALENDAR'!A1" display="➤  Schedule (kalender kerja)" xr:uid="{B5701153-CE8E-4796-A417-17E00E673FC6}"/>
    <hyperlink ref="F12:H12" location="'JOB CALENDAR'!A1" display="➤  README - Metodologi Estimasi" xr:uid="{43B09D05-E8B5-4AE2-8286-FA0737FEFC44}"/>
  </hyperlinks>
  <pageMargins left="0.7" right="0.7" top="0.75" bottom="0.75" header="0.3" footer="0.3"/>
  <drawing r:id="rId9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B1EFE-A6CD-49CC-9978-2B69FCA2186B}">
  <sheetPr codeName="Sheet1"/>
  <dimension ref="A1:CF371"/>
  <sheetViews>
    <sheetView zoomScale="70" zoomScaleNormal="70" workbookViewId="0">
      <pane xSplit="30" ySplit="6" topLeftCell="AE348" activePane="bottomRight" state="frozen"/>
      <selection activeCell="G1" sqref="G1"/>
      <selection pane="topRight" activeCell="W1" sqref="W1"/>
      <selection pane="bottomLeft" activeCell="G9" sqref="G9"/>
      <selection pane="bottomRight" activeCell="H354" sqref="H354"/>
    </sheetView>
  </sheetViews>
  <sheetFormatPr defaultRowHeight="13" outlineLevelCol="1" x14ac:dyDescent="0.3"/>
  <cols>
    <col min="1" max="1" width="11.1796875" style="82" customWidth="1" outlineLevel="1"/>
    <col min="2" max="2" width="9.08984375" style="82" customWidth="1" outlineLevel="1"/>
    <col min="3" max="3" width="9.26953125" style="82" customWidth="1" outlineLevel="1"/>
    <col min="4" max="4" width="6.6328125" style="82" customWidth="1" outlineLevel="1"/>
    <col min="5" max="5" width="10.453125" style="82" customWidth="1" outlineLevel="1"/>
    <col min="6" max="6" width="7.81640625" style="82" customWidth="1" outlineLevel="1"/>
    <col min="7" max="7" width="12.6328125" style="82" customWidth="1"/>
    <col min="8" max="8" width="17.36328125" style="82" bestFit="1" customWidth="1"/>
    <col min="9" max="11" width="17.90625" style="82" customWidth="1"/>
    <col min="12" max="12" width="20.26953125" style="82" customWidth="1"/>
    <col min="13" max="13" width="13.1796875" style="82" customWidth="1"/>
    <col min="14" max="17" width="12.90625" style="82" hidden="1" customWidth="1" outlineLevel="1"/>
    <col min="18" max="18" width="12.6328125" customWidth="1" collapsed="1"/>
    <col min="19" max="26" width="12.6328125" style="82" customWidth="1"/>
    <col min="27" max="27" width="13" style="82" customWidth="1" outlineLevel="1"/>
    <col min="28" max="28" width="14.54296875" style="82" customWidth="1" outlineLevel="1"/>
    <col min="29" max="29" width="15.54296875" style="82" customWidth="1" outlineLevel="1"/>
    <col min="30" max="30" width="1" style="82" customWidth="1"/>
    <col min="31" max="37" width="4.6328125" style="82" customWidth="1" outlineLevel="1"/>
    <col min="38" max="38" width="4.6328125" customWidth="1" outlineLevel="1"/>
    <col min="39" max="84" width="4.6328125" style="82" customWidth="1" outlineLevel="1"/>
    <col min="85" max="16384" width="8.7265625" style="82"/>
  </cols>
  <sheetData>
    <row r="1" spans="1:84" x14ac:dyDescent="0.3">
      <c r="A1" s="82">
        <f>COLUMN(A1)</f>
        <v>1</v>
      </c>
      <c r="B1" s="82">
        <f t="shared" ref="B1:BU1" si="0">COLUMN(B1)</f>
        <v>2</v>
      </c>
      <c r="C1" s="82">
        <f t="shared" si="0"/>
        <v>3</v>
      </c>
      <c r="D1" s="82">
        <f t="shared" si="0"/>
        <v>4</v>
      </c>
      <c r="E1" s="82">
        <f t="shared" si="0"/>
        <v>5</v>
      </c>
      <c r="F1" s="82">
        <f t="shared" si="0"/>
        <v>6</v>
      </c>
      <c r="G1" s="82">
        <f t="shared" si="0"/>
        <v>7</v>
      </c>
      <c r="H1" s="82">
        <f t="shared" si="0"/>
        <v>8</v>
      </c>
      <c r="I1" s="82">
        <f t="shared" si="0"/>
        <v>9</v>
      </c>
      <c r="R1" s="82"/>
      <c r="AE1" s="82">
        <f t="shared" si="0"/>
        <v>31</v>
      </c>
      <c r="AF1" s="82">
        <f t="shared" si="0"/>
        <v>32</v>
      </c>
      <c r="AG1" s="82">
        <f t="shared" si="0"/>
        <v>33</v>
      </c>
      <c r="AH1" s="82">
        <f t="shared" si="0"/>
        <v>34</v>
      </c>
      <c r="AI1" s="82">
        <f t="shared" si="0"/>
        <v>35</v>
      </c>
      <c r="AJ1" s="82">
        <f t="shared" si="0"/>
        <v>36</v>
      </c>
      <c r="AK1" s="82">
        <f t="shared" si="0"/>
        <v>37</v>
      </c>
      <c r="AL1" s="82">
        <f t="shared" si="0"/>
        <v>38</v>
      </c>
      <c r="AM1" s="82">
        <f t="shared" si="0"/>
        <v>39</v>
      </c>
      <c r="AN1" s="82">
        <f t="shared" si="0"/>
        <v>40</v>
      </c>
      <c r="AO1" s="82">
        <f t="shared" si="0"/>
        <v>41</v>
      </c>
      <c r="AP1" s="82">
        <f t="shared" si="0"/>
        <v>42</v>
      </c>
      <c r="AQ1" s="82">
        <f t="shared" si="0"/>
        <v>43</v>
      </c>
      <c r="AR1" s="82">
        <f t="shared" si="0"/>
        <v>44</v>
      </c>
      <c r="AS1" s="82">
        <f t="shared" si="0"/>
        <v>45</v>
      </c>
      <c r="AT1" s="82">
        <f t="shared" si="0"/>
        <v>46</v>
      </c>
      <c r="AU1" s="82">
        <f t="shared" si="0"/>
        <v>47</v>
      </c>
      <c r="AV1" s="82">
        <f t="shared" si="0"/>
        <v>48</v>
      </c>
      <c r="AW1" s="82">
        <f t="shared" si="0"/>
        <v>49</v>
      </c>
      <c r="AX1" s="82">
        <f t="shared" si="0"/>
        <v>50</v>
      </c>
      <c r="AY1" s="82">
        <f t="shared" si="0"/>
        <v>51</v>
      </c>
      <c r="AZ1" s="82">
        <f t="shared" si="0"/>
        <v>52</v>
      </c>
      <c r="BA1" s="82">
        <f t="shared" si="0"/>
        <v>53</v>
      </c>
      <c r="BB1" s="82">
        <f t="shared" si="0"/>
        <v>54</v>
      </c>
      <c r="BC1" s="82">
        <f t="shared" si="0"/>
        <v>55</v>
      </c>
      <c r="BD1" s="82">
        <f t="shared" si="0"/>
        <v>56</v>
      </c>
      <c r="BE1" s="82">
        <f t="shared" si="0"/>
        <v>57</v>
      </c>
      <c r="BF1" s="82">
        <f t="shared" si="0"/>
        <v>58</v>
      </c>
      <c r="BG1" s="82">
        <f t="shared" si="0"/>
        <v>59</v>
      </c>
      <c r="BH1" s="82">
        <f t="shared" si="0"/>
        <v>60</v>
      </c>
      <c r="BI1" s="82">
        <f t="shared" si="0"/>
        <v>61</v>
      </c>
      <c r="BJ1" s="82">
        <f t="shared" si="0"/>
        <v>62</v>
      </c>
      <c r="BK1" s="82">
        <f t="shared" si="0"/>
        <v>63</v>
      </c>
      <c r="BL1" s="82">
        <f t="shared" si="0"/>
        <v>64</v>
      </c>
      <c r="BM1" s="82">
        <f t="shared" si="0"/>
        <v>65</v>
      </c>
      <c r="BN1" s="82">
        <f t="shared" si="0"/>
        <v>66</v>
      </c>
      <c r="BO1" s="82">
        <f t="shared" si="0"/>
        <v>67</v>
      </c>
      <c r="BP1" s="82">
        <f t="shared" si="0"/>
        <v>68</v>
      </c>
      <c r="BQ1" s="82">
        <f t="shared" si="0"/>
        <v>69</v>
      </c>
      <c r="BR1" s="82">
        <f t="shared" si="0"/>
        <v>70</v>
      </c>
      <c r="BS1" s="82">
        <f t="shared" si="0"/>
        <v>71</v>
      </c>
      <c r="BT1" s="82">
        <f t="shared" si="0"/>
        <v>72</v>
      </c>
      <c r="BU1" s="82">
        <f t="shared" si="0"/>
        <v>73</v>
      </c>
      <c r="BV1" s="82">
        <f t="shared" ref="BV1:CF1" si="1">COLUMN(BV1)</f>
        <v>74</v>
      </c>
      <c r="BW1" s="82">
        <f t="shared" si="1"/>
        <v>75</v>
      </c>
      <c r="BX1" s="82">
        <f t="shared" si="1"/>
        <v>76</v>
      </c>
      <c r="BY1" s="82">
        <f t="shared" si="1"/>
        <v>77</v>
      </c>
      <c r="BZ1" s="82">
        <f t="shared" si="1"/>
        <v>78</v>
      </c>
      <c r="CA1" s="82">
        <f t="shared" si="1"/>
        <v>79</v>
      </c>
      <c r="CB1" s="82">
        <f t="shared" si="1"/>
        <v>80</v>
      </c>
      <c r="CC1" s="82">
        <f t="shared" si="1"/>
        <v>81</v>
      </c>
      <c r="CD1" s="82">
        <f t="shared" si="1"/>
        <v>82</v>
      </c>
      <c r="CE1" s="82">
        <f t="shared" si="1"/>
        <v>83</v>
      </c>
      <c r="CF1" s="82">
        <f t="shared" si="1"/>
        <v>84</v>
      </c>
    </row>
    <row r="2" spans="1:84" ht="25" thickBot="1" x14ac:dyDescent="0.5">
      <c r="R2" s="82"/>
      <c r="AF2" s="96" t="s">
        <v>262</v>
      </c>
      <c r="AG2" s="97" t="s">
        <v>259</v>
      </c>
      <c r="AH2" s="98"/>
      <c r="AI2" s="98"/>
      <c r="AJ2" s="98"/>
      <c r="AK2" s="98"/>
      <c r="AL2" s="82"/>
    </row>
    <row r="3" spans="1:84" s="542" customFormat="1" ht="26" customHeight="1" thickTop="1" x14ac:dyDescent="0.7">
      <c r="G3" s="543" t="s">
        <v>261</v>
      </c>
      <c r="H3" s="544"/>
      <c r="I3" s="545">
        <v>46023</v>
      </c>
      <c r="K3" s="544"/>
      <c r="L3" s="546"/>
      <c r="R3" s="547"/>
      <c r="AD3" s="548"/>
      <c r="AE3" s="549">
        <f>IF(display="quarterly",DATE(YEAR(project_start),1+3*(display_period-1),1),IF(display="monthly",DATE(YEAR(project_start),MONTH(project_start)+(display_period-1),1),$I$3-WEEKDAY(project_start,3)+(display_period-1)*7))</f>
        <v>46167</v>
      </c>
      <c r="AF3" s="550">
        <f t="shared" ref="AF3" si="2">IF(display="quarterly",EDATE(AE3,3),IF(display="monthly",EDATE(AE3,1),IF(display="weekly",AE3+7,IF(show_weekends,AE3+1,WORKDAY.INTL(AE3,1,weekend_option)))))</f>
        <v>46168</v>
      </c>
      <c r="AG3" s="550">
        <f t="shared" ref="AG3" si="3">IF(display="quarterly",EDATE(AF3,3),IF(display="monthly",EDATE(AF3,1),IF(display="weekly",AF3+7,IF(show_weekends,AF3+1,WORKDAY.INTL(AF3,1,weekend_option)))))</f>
        <v>46169</v>
      </c>
      <c r="AH3" s="550">
        <f t="shared" ref="AH3" si="4">IF(display="quarterly",EDATE(AG3,3),IF(display="monthly",EDATE(AG3,1),IF(display="weekly",AG3+7,IF(show_weekends,AG3+1,WORKDAY.INTL(AG3,1,weekend_option)))))</f>
        <v>46170</v>
      </c>
      <c r="AI3" s="550">
        <f t="shared" ref="AI3" si="5">IF(display="quarterly",EDATE(AH3,3),IF(display="monthly",EDATE(AH3,1),IF(display="weekly",AH3+7,IF(show_weekends,AH3+1,WORKDAY.INTL(AH3,1,weekend_option)))))</f>
        <v>46171</v>
      </c>
      <c r="AJ3" s="550">
        <f t="shared" ref="AJ3" si="6">IF(display="quarterly",EDATE(AI3,3),IF(display="monthly",EDATE(AI3,1),IF(display="weekly",AI3+7,IF(show_weekends,AI3+1,WORKDAY.INTL(AI3,1,weekend_option)))))</f>
        <v>46174</v>
      </c>
      <c r="AK3" s="550">
        <f t="shared" ref="AK3" si="7">IF(display="quarterly",EDATE(AJ3,3),IF(display="monthly",EDATE(AJ3,1),IF(display="weekly",AJ3+7,IF(show_weekends,AJ3+1,WORKDAY.INTL(AJ3,1,weekend_option)))))</f>
        <v>46175</v>
      </c>
      <c r="AL3" s="550">
        <f t="shared" ref="AL3" si="8">IF(display="quarterly",EDATE(AK3,3),IF(display="monthly",EDATE(AK3,1),IF(display="weekly",AK3+7,IF(show_weekends,AK3+1,WORKDAY.INTL(AK3,1,weekend_option)))))</f>
        <v>46176</v>
      </c>
      <c r="AM3" s="550">
        <f t="shared" ref="AM3" si="9">IF(display="quarterly",EDATE(AL3,3),IF(display="monthly",EDATE(AL3,1),IF(display="weekly",AL3+7,IF(show_weekends,AL3+1,WORKDAY.INTL(AL3,1,weekend_option)))))</f>
        <v>46177</v>
      </c>
      <c r="AN3" s="550">
        <f t="shared" ref="AN3" si="10">IF(display="quarterly",EDATE(AM3,3),IF(display="monthly",EDATE(AM3,1),IF(display="weekly",AM3+7,IF(show_weekends,AM3+1,WORKDAY.INTL(AM3,1,weekend_option)))))</f>
        <v>46178</v>
      </c>
      <c r="AO3" s="550">
        <f t="shared" ref="AO3" si="11">IF(display="quarterly",EDATE(AN3,3),IF(display="monthly",EDATE(AN3,1),IF(display="weekly",AN3+7,IF(show_weekends,AN3+1,WORKDAY.INTL(AN3,1,weekend_option)))))</f>
        <v>46181</v>
      </c>
      <c r="AP3" s="550">
        <f t="shared" ref="AP3" si="12">IF(display="quarterly",EDATE(AO3,3),IF(display="monthly",EDATE(AO3,1),IF(display="weekly",AO3+7,IF(show_weekends,AO3+1,WORKDAY.INTL(AO3,1,weekend_option)))))</f>
        <v>46182</v>
      </c>
      <c r="AQ3" s="550">
        <f t="shared" ref="AQ3" si="13">IF(display="quarterly",EDATE(AP3,3),IF(display="monthly",EDATE(AP3,1),IF(display="weekly",AP3+7,IF(show_weekends,AP3+1,WORKDAY.INTL(AP3,1,weekend_option)))))</f>
        <v>46183</v>
      </c>
      <c r="AR3" s="550">
        <f t="shared" ref="AR3" si="14">IF(display="quarterly",EDATE(AQ3,3),IF(display="monthly",EDATE(AQ3,1),IF(display="weekly",AQ3+7,IF(show_weekends,AQ3+1,WORKDAY.INTL(AQ3,1,weekend_option)))))</f>
        <v>46184</v>
      </c>
      <c r="AS3" s="550">
        <f t="shared" ref="AS3" si="15">IF(display="quarterly",EDATE(AR3,3),IF(display="monthly",EDATE(AR3,1),IF(display="weekly",AR3+7,IF(show_weekends,AR3+1,WORKDAY.INTL(AR3,1,weekend_option)))))</f>
        <v>46185</v>
      </c>
      <c r="AT3" s="550">
        <f t="shared" ref="AT3" si="16">IF(display="quarterly",EDATE(AS3,3),IF(display="monthly",EDATE(AS3,1),IF(display="weekly",AS3+7,IF(show_weekends,AS3+1,WORKDAY.INTL(AS3,1,weekend_option)))))</f>
        <v>46188</v>
      </c>
      <c r="AU3" s="550">
        <f t="shared" ref="AU3" si="17">IF(display="quarterly",EDATE(AT3,3),IF(display="monthly",EDATE(AT3,1),IF(display="weekly",AT3+7,IF(show_weekends,AT3+1,WORKDAY.INTL(AT3,1,weekend_option)))))</f>
        <v>46189</v>
      </c>
      <c r="AV3" s="550">
        <f t="shared" ref="AV3" si="18">IF(display="quarterly",EDATE(AU3,3),IF(display="monthly",EDATE(AU3,1),IF(display="weekly",AU3+7,IF(show_weekends,AU3+1,WORKDAY.INTL(AU3,1,weekend_option)))))</f>
        <v>46190</v>
      </c>
      <c r="AW3" s="550">
        <f t="shared" ref="AW3" si="19">IF(display="quarterly",EDATE(AV3,3),IF(display="monthly",EDATE(AV3,1),IF(display="weekly",AV3+7,IF(show_weekends,AV3+1,WORKDAY.INTL(AV3,1,weekend_option)))))</f>
        <v>46191</v>
      </c>
      <c r="AX3" s="550">
        <f t="shared" ref="AX3" si="20">IF(display="quarterly",EDATE(AW3,3),IF(display="monthly",EDATE(AW3,1),IF(display="weekly",AW3+7,IF(show_weekends,AW3+1,WORKDAY.INTL(AW3,1,weekend_option)))))</f>
        <v>46192</v>
      </c>
      <c r="AY3" s="550">
        <f t="shared" ref="AY3" si="21">IF(display="quarterly",EDATE(AX3,3),IF(display="monthly",EDATE(AX3,1),IF(display="weekly",AX3+7,IF(show_weekends,AX3+1,WORKDAY.INTL(AX3,1,weekend_option)))))</f>
        <v>46195</v>
      </c>
      <c r="AZ3" s="550">
        <f t="shared" ref="AZ3" si="22">IF(display="quarterly",EDATE(AY3,3),IF(display="monthly",EDATE(AY3,1),IF(display="weekly",AY3+7,IF(show_weekends,AY3+1,WORKDAY.INTL(AY3,1,weekend_option)))))</f>
        <v>46196</v>
      </c>
      <c r="BA3" s="550">
        <f t="shared" ref="BA3" si="23">IF(display="quarterly",EDATE(AZ3,3),IF(display="monthly",EDATE(AZ3,1),IF(display="weekly",AZ3+7,IF(show_weekends,AZ3+1,WORKDAY.INTL(AZ3,1,weekend_option)))))</f>
        <v>46197</v>
      </c>
      <c r="BB3" s="550">
        <f t="shared" ref="BB3" si="24">IF(display="quarterly",EDATE(BA3,3),IF(display="monthly",EDATE(BA3,1),IF(display="weekly",BA3+7,IF(show_weekends,BA3+1,WORKDAY.INTL(BA3,1,weekend_option)))))</f>
        <v>46198</v>
      </c>
      <c r="BC3" s="550">
        <f t="shared" ref="BC3" si="25">IF(display="quarterly",EDATE(BB3,3),IF(display="monthly",EDATE(BB3,1),IF(display="weekly",BB3+7,IF(show_weekends,BB3+1,WORKDAY.INTL(BB3,1,weekend_option)))))</f>
        <v>46199</v>
      </c>
      <c r="BD3" s="550">
        <f t="shared" ref="BD3" si="26">IF(display="quarterly",EDATE(BC3,3),IF(display="monthly",EDATE(BC3,1),IF(display="weekly",BC3+7,IF(show_weekends,BC3+1,WORKDAY.INTL(BC3,1,weekend_option)))))</f>
        <v>46202</v>
      </c>
      <c r="BE3" s="550">
        <f t="shared" ref="BE3" si="27">IF(display="quarterly",EDATE(BD3,3),IF(display="monthly",EDATE(BD3,1),IF(display="weekly",BD3+7,IF(show_weekends,BD3+1,WORKDAY.INTL(BD3,1,weekend_option)))))</f>
        <v>46203</v>
      </c>
      <c r="BF3" s="550">
        <f t="shared" ref="BF3" si="28">IF(display="quarterly",EDATE(BE3,3),IF(display="monthly",EDATE(BE3,1),IF(display="weekly",BE3+7,IF(show_weekends,BE3+1,WORKDAY.INTL(BE3,1,weekend_option)))))</f>
        <v>46204</v>
      </c>
      <c r="BG3" s="550">
        <f t="shared" ref="BG3" si="29">IF(display="quarterly",EDATE(BF3,3),IF(display="monthly",EDATE(BF3,1),IF(display="weekly",BF3+7,IF(show_weekends,BF3+1,WORKDAY.INTL(BF3,1,weekend_option)))))</f>
        <v>46205</v>
      </c>
      <c r="BH3" s="550">
        <f t="shared" ref="BH3" si="30">IF(display="quarterly",EDATE(BG3,3),IF(display="monthly",EDATE(BG3,1),IF(display="weekly",BG3+7,IF(show_weekends,BG3+1,WORKDAY.INTL(BG3,1,weekend_option)))))</f>
        <v>46206</v>
      </c>
      <c r="BI3" s="550">
        <f t="shared" ref="BI3" si="31">IF(display="quarterly",EDATE(BH3,3),IF(display="monthly",EDATE(BH3,1),IF(display="weekly",BH3+7,IF(show_weekends,BH3+1,WORKDAY.INTL(BH3,1,weekend_option)))))</f>
        <v>46209</v>
      </c>
      <c r="BJ3" s="550">
        <f t="shared" ref="BJ3" si="32">IF(display="quarterly",EDATE(BI3,3),IF(display="monthly",EDATE(BI3,1),IF(display="weekly",BI3+7,IF(show_weekends,BI3+1,WORKDAY.INTL(BI3,1,weekend_option)))))</f>
        <v>46210</v>
      </c>
      <c r="BK3" s="550">
        <f t="shared" ref="BK3" si="33">IF(display="quarterly",EDATE(BJ3,3),IF(display="monthly",EDATE(BJ3,1),IF(display="weekly",BJ3+7,IF(show_weekends,BJ3+1,WORKDAY.INTL(BJ3,1,weekend_option)))))</f>
        <v>46211</v>
      </c>
      <c r="BL3" s="550">
        <f t="shared" ref="BL3" si="34">IF(display="quarterly",EDATE(BK3,3),IF(display="monthly",EDATE(BK3,1),IF(display="weekly",BK3+7,IF(show_weekends,BK3+1,WORKDAY.INTL(BK3,1,weekend_option)))))</f>
        <v>46212</v>
      </c>
      <c r="BM3" s="550">
        <f t="shared" ref="BM3" si="35">IF(display="quarterly",EDATE(BL3,3),IF(display="monthly",EDATE(BL3,1),IF(display="weekly",BL3+7,IF(show_weekends,BL3+1,WORKDAY.INTL(BL3,1,weekend_option)))))</f>
        <v>46213</v>
      </c>
      <c r="BN3" s="550">
        <f t="shared" ref="BN3" si="36">IF(display="quarterly",EDATE(BM3,3),IF(display="monthly",EDATE(BM3,1),IF(display="weekly",BM3+7,IF(show_weekends,BM3+1,WORKDAY.INTL(BM3,1,weekend_option)))))</f>
        <v>46216</v>
      </c>
      <c r="BO3" s="550">
        <f t="shared" ref="BO3" si="37">IF(display="quarterly",EDATE(BN3,3),IF(display="monthly",EDATE(BN3,1),IF(display="weekly",BN3+7,IF(show_weekends,BN3+1,WORKDAY.INTL(BN3,1,weekend_option)))))</f>
        <v>46217</v>
      </c>
      <c r="BP3" s="550">
        <f t="shared" ref="BP3" si="38">IF(display="quarterly",EDATE(BO3,3),IF(display="monthly",EDATE(BO3,1),IF(display="weekly",BO3+7,IF(show_weekends,BO3+1,WORKDAY.INTL(BO3,1,weekend_option)))))</f>
        <v>46218</v>
      </c>
      <c r="BQ3" s="550">
        <f t="shared" ref="BQ3" si="39">IF(display="quarterly",EDATE(BP3,3),IF(display="monthly",EDATE(BP3,1),IF(display="weekly",BP3+7,IF(show_weekends,BP3+1,WORKDAY.INTL(BP3,1,weekend_option)))))</f>
        <v>46219</v>
      </c>
      <c r="BR3" s="550">
        <f t="shared" ref="BR3" si="40">IF(display="quarterly",EDATE(BQ3,3),IF(display="monthly",EDATE(BQ3,1),IF(display="weekly",BQ3+7,IF(show_weekends,BQ3+1,WORKDAY.INTL(BQ3,1,weekend_option)))))</f>
        <v>46220</v>
      </c>
      <c r="BS3" s="550">
        <f t="shared" ref="BS3" si="41">IF(display="quarterly",EDATE(BR3,3),IF(display="monthly",EDATE(BR3,1),IF(display="weekly",BR3+7,IF(show_weekends,BR3+1,WORKDAY.INTL(BR3,1,weekend_option)))))</f>
        <v>46223</v>
      </c>
      <c r="BT3" s="550">
        <f t="shared" ref="BT3" si="42">IF(display="quarterly",EDATE(BS3,3),IF(display="monthly",EDATE(BS3,1),IF(display="weekly",BS3+7,IF(show_weekends,BS3+1,WORKDAY.INTL(BS3,1,weekend_option)))))</f>
        <v>46224</v>
      </c>
      <c r="BU3" s="550">
        <f t="shared" ref="BU3" si="43">IF(display="quarterly",EDATE(BT3,3),IF(display="monthly",EDATE(BT3,1),IF(display="weekly",BT3+7,IF(show_weekends,BT3+1,WORKDAY.INTL(BT3,1,weekend_option)))))</f>
        <v>46225</v>
      </c>
      <c r="BV3" s="550">
        <f t="shared" ref="BV3" si="44">IF(display="quarterly",EDATE(BU3,3),IF(display="monthly",EDATE(BU3,1),IF(display="weekly",BU3+7,IF(show_weekends,BU3+1,WORKDAY.INTL(BU3,1,weekend_option)))))</f>
        <v>46226</v>
      </c>
      <c r="BW3" s="550">
        <f t="shared" ref="BW3" si="45">IF(display="quarterly",EDATE(BV3,3),IF(display="monthly",EDATE(BV3,1),IF(display="weekly",BV3+7,IF(show_weekends,BV3+1,WORKDAY.INTL(BV3,1,weekend_option)))))</f>
        <v>46227</v>
      </c>
      <c r="BX3" s="550">
        <f t="shared" ref="BX3" si="46">IF(display="quarterly",EDATE(BW3,3),IF(display="monthly",EDATE(BW3,1),IF(display="weekly",BW3+7,IF(show_weekends,BW3+1,WORKDAY.INTL(BW3,1,weekend_option)))))</f>
        <v>46230</v>
      </c>
      <c r="BY3" s="550">
        <f t="shared" ref="BY3" si="47">IF(display="quarterly",EDATE(BX3,3),IF(display="monthly",EDATE(BX3,1),IF(display="weekly",BX3+7,IF(show_weekends,BX3+1,WORKDAY.INTL(BX3,1,weekend_option)))))</f>
        <v>46231</v>
      </c>
      <c r="BZ3" s="550">
        <f t="shared" ref="BZ3" si="48">IF(display="quarterly",EDATE(BY3,3),IF(display="monthly",EDATE(BY3,1),IF(display="weekly",BY3+7,IF(show_weekends,BY3+1,WORKDAY.INTL(BY3,1,weekend_option)))))</f>
        <v>46232</v>
      </c>
      <c r="CA3" s="550">
        <f t="shared" ref="CA3" si="49">IF(display="quarterly",EDATE(BZ3,3),IF(display="monthly",EDATE(BZ3,1),IF(display="weekly",BZ3+7,IF(show_weekends,BZ3+1,WORKDAY.INTL(BZ3,1,weekend_option)))))</f>
        <v>46233</v>
      </c>
      <c r="CB3" s="550">
        <f t="shared" ref="CB3" si="50">IF(display="quarterly",EDATE(CA3,3),IF(display="monthly",EDATE(CA3,1),IF(display="weekly",CA3+7,IF(show_weekends,CA3+1,WORKDAY.INTL(CA3,1,weekend_option)))))</f>
        <v>46234</v>
      </c>
      <c r="CC3" s="550">
        <f t="shared" ref="CC3" si="51">IF(display="quarterly",EDATE(CB3,3),IF(display="monthly",EDATE(CB3,1),IF(display="weekly",CB3+7,IF(show_weekends,CB3+1,WORKDAY.INTL(CB3,1,weekend_option)))))</f>
        <v>46237</v>
      </c>
      <c r="CD3" s="550">
        <f t="shared" ref="CD3" si="52">IF(display="quarterly",EDATE(CC3,3),IF(display="monthly",EDATE(CC3,1),IF(display="weekly",CC3+7,IF(show_weekends,CC3+1,WORKDAY.INTL(CC3,1,weekend_option)))))</f>
        <v>46238</v>
      </c>
      <c r="CE3" s="550">
        <f t="shared" ref="CE3" si="53">IF(display="quarterly",EDATE(CD3,3),IF(display="monthly",EDATE(CD3,1),IF(display="weekly",CD3+7,IF(show_weekends,CD3+1,WORKDAY.INTL(CD3,1,weekend_option)))))</f>
        <v>46239</v>
      </c>
      <c r="CF3" s="551">
        <f t="shared" ref="CF3" si="54">IF(display="quarterly",EDATE(CE3,3),IF(display="monthly",EDATE(CE3,1),IF(display="weekly",CE3+7,IF(show_weekends,CE3+1,WORKDAY.INTL(CE3,1,weekend_option)))))</f>
        <v>46240</v>
      </c>
    </row>
    <row r="4" spans="1:84" ht="31.5" thickBot="1" x14ac:dyDescent="0.35">
      <c r="G4" s="263">
        <v>22</v>
      </c>
      <c r="H4" s="120" t="s">
        <v>260</v>
      </c>
      <c r="I4" s="120" t="s">
        <v>232</v>
      </c>
      <c r="J4" s="121" t="s">
        <v>273</v>
      </c>
      <c r="K4" s="122">
        <f ca="1">TODAY()</f>
        <v>46252</v>
      </c>
      <c r="M4" s="116"/>
      <c r="N4" s="116"/>
      <c r="R4" s="82"/>
      <c r="AD4" s="95"/>
      <c r="AE4" s="109" t="str">
        <f t="shared" ref="AE4:AF4" si="55">IF(display="quarterly","Q"&amp;CHOOSE(MONTH(AE3),1,1,1,2,2,2,3,3,3,4,4,4),IF(display="monthly",LEFT(TEXT(AE3,"mmm"),1),IF(display="weekly",WEEKNUM(AE3,21),LEFT(TEXT(AE3,"ddd"),1))))</f>
        <v>M</v>
      </c>
      <c r="AF4" s="110" t="str">
        <f t="shared" si="55"/>
        <v>T</v>
      </c>
      <c r="AG4" s="110" t="str">
        <f t="shared" ref="AG4:CF4" si="56">IF(display="quarterly","Q"&amp;CHOOSE(MONTH(AG3),1,1,1,2,2,2,3,3,3,4,4,4),IF(display="monthly",LEFT(TEXT(AG3,"mmm"),1),IF(display="weekly",WEEKNUM(AG3,21),LEFT(TEXT(AG3,"ddd"),1))))</f>
        <v>W</v>
      </c>
      <c r="AH4" s="110" t="str">
        <f t="shared" si="56"/>
        <v>T</v>
      </c>
      <c r="AI4" s="110" t="str">
        <f t="shared" si="56"/>
        <v>F</v>
      </c>
      <c r="AJ4" s="110" t="str">
        <f t="shared" si="56"/>
        <v>M</v>
      </c>
      <c r="AK4" s="110" t="str">
        <f t="shared" si="56"/>
        <v>T</v>
      </c>
      <c r="AL4" s="110" t="str">
        <f t="shared" si="56"/>
        <v>W</v>
      </c>
      <c r="AM4" s="110" t="str">
        <f t="shared" si="56"/>
        <v>T</v>
      </c>
      <c r="AN4" s="110" t="str">
        <f t="shared" si="56"/>
        <v>F</v>
      </c>
      <c r="AO4" s="110" t="str">
        <f t="shared" si="56"/>
        <v>M</v>
      </c>
      <c r="AP4" s="110" t="str">
        <f t="shared" si="56"/>
        <v>T</v>
      </c>
      <c r="AQ4" s="110" t="str">
        <f t="shared" si="56"/>
        <v>W</v>
      </c>
      <c r="AR4" s="110" t="str">
        <f t="shared" si="56"/>
        <v>T</v>
      </c>
      <c r="AS4" s="110" t="str">
        <f t="shared" si="56"/>
        <v>F</v>
      </c>
      <c r="AT4" s="110" t="str">
        <f t="shared" si="56"/>
        <v>M</v>
      </c>
      <c r="AU4" s="110" t="str">
        <f t="shared" si="56"/>
        <v>T</v>
      </c>
      <c r="AV4" s="110" t="str">
        <f t="shared" si="56"/>
        <v>W</v>
      </c>
      <c r="AW4" s="110" t="str">
        <f t="shared" si="56"/>
        <v>T</v>
      </c>
      <c r="AX4" s="110" t="str">
        <f t="shared" si="56"/>
        <v>F</v>
      </c>
      <c r="AY4" s="110" t="str">
        <f t="shared" si="56"/>
        <v>M</v>
      </c>
      <c r="AZ4" s="110" t="str">
        <f t="shared" si="56"/>
        <v>T</v>
      </c>
      <c r="BA4" s="110" t="str">
        <f t="shared" si="56"/>
        <v>W</v>
      </c>
      <c r="BB4" s="110" t="str">
        <f t="shared" si="56"/>
        <v>T</v>
      </c>
      <c r="BC4" s="110" t="str">
        <f t="shared" si="56"/>
        <v>F</v>
      </c>
      <c r="BD4" s="110" t="str">
        <f t="shared" si="56"/>
        <v>M</v>
      </c>
      <c r="BE4" s="110" t="str">
        <f t="shared" si="56"/>
        <v>T</v>
      </c>
      <c r="BF4" s="110" t="str">
        <f t="shared" si="56"/>
        <v>W</v>
      </c>
      <c r="BG4" s="110" t="str">
        <f t="shared" si="56"/>
        <v>T</v>
      </c>
      <c r="BH4" s="110" t="str">
        <f t="shared" si="56"/>
        <v>F</v>
      </c>
      <c r="BI4" s="110" t="str">
        <f t="shared" si="56"/>
        <v>M</v>
      </c>
      <c r="BJ4" s="110" t="str">
        <f t="shared" si="56"/>
        <v>T</v>
      </c>
      <c r="BK4" s="110" t="str">
        <f t="shared" si="56"/>
        <v>W</v>
      </c>
      <c r="BL4" s="110" t="str">
        <f t="shared" si="56"/>
        <v>T</v>
      </c>
      <c r="BM4" s="110" t="str">
        <f t="shared" si="56"/>
        <v>F</v>
      </c>
      <c r="BN4" s="110" t="str">
        <f t="shared" si="56"/>
        <v>M</v>
      </c>
      <c r="BO4" s="110" t="str">
        <f t="shared" si="56"/>
        <v>T</v>
      </c>
      <c r="BP4" s="110" t="str">
        <f t="shared" si="56"/>
        <v>W</v>
      </c>
      <c r="BQ4" s="110" t="str">
        <f t="shared" si="56"/>
        <v>T</v>
      </c>
      <c r="BR4" s="110" t="str">
        <f t="shared" si="56"/>
        <v>F</v>
      </c>
      <c r="BS4" s="110" t="str">
        <f t="shared" si="56"/>
        <v>M</v>
      </c>
      <c r="BT4" s="110" t="str">
        <f t="shared" si="56"/>
        <v>T</v>
      </c>
      <c r="BU4" s="110" t="str">
        <f t="shared" si="56"/>
        <v>W</v>
      </c>
      <c r="BV4" s="110" t="str">
        <f t="shared" si="56"/>
        <v>T</v>
      </c>
      <c r="BW4" s="110" t="str">
        <f t="shared" si="56"/>
        <v>F</v>
      </c>
      <c r="BX4" s="110" t="str">
        <f t="shared" si="56"/>
        <v>M</v>
      </c>
      <c r="BY4" s="110" t="str">
        <f t="shared" si="56"/>
        <v>T</v>
      </c>
      <c r="BZ4" s="110" t="str">
        <f t="shared" si="56"/>
        <v>W</v>
      </c>
      <c r="CA4" s="110" t="str">
        <f t="shared" si="56"/>
        <v>T</v>
      </c>
      <c r="CB4" s="110" t="str">
        <f t="shared" si="56"/>
        <v>F</v>
      </c>
      <c r="CC4" s="110" t="str">
        <f t="shared" si="56"/>
        <v>M</v>
      </c>
      <c r="CD4" s="110" t="str">
        <f t="shared" si="56"/>
        <v>T</v>
      </c>
      <c r="CE4" s="110" t="str">
        <f t="shared" si="56"/>
        <v>W</v>
      </c>
      <c r="CF4" s="111" t="str">
        <f t="shared" si="56"/>
        <v>T</v>
      </c>
    </row>
    <row r="5" spans="1:84" ht="27" thickTop="1" thickBot="1" x14ac:dyDescent="0.35">
      <c r="G5" s="522" t="s">
        <v>1517</v>
      </c>
      <c r="H5" s="521"/>
      <c r="I5" s="521"/>
      <c r="J5" s="521"/>
      <c r="K5" s="521"/>
      <c r="L5" s="521"/>
      <c r="M5" s="222">
        <f>SUBTOTAL(9,TableData[QTY])</f>
        <v>1438</v>
      </c>
      <c r="N5" s="116"/>
      <c r="R5" s="82"/>
      <c r="AD5" s="95"/>
      <c r="AE5" s="219"/>
      <c r="AF5" s="220"/>
      <c r="AG5" s="220"/>
      <c r="AH5" s="220"/>
      <c r="AI5" s="220"/>
      <c r="AJ5" s="220"/>
      <c r="AK5" s="220"/>
      <c r="AL5" s="220"/>
      <c r="AM5" s="220"/>
      <c r="AN5" s="220"/>
      <c r="AO5" s="220"/>
      <c r="AP5" s="220"/>
      <c r="AQ5" s="220"/>
      <c r="AR5" s="220"/>
      <c r="AS5" s="220"/>
      <c r="AT5" s="220"/>
      <c r="AU5" s="220"/>
      <c r="AV5" s="220"/>
      <c r="AW5" s="220"/>
      <c r="AX5" s="220"/>
      <c r="AY5" s="220"/>
      <c r="AZ5" s="220"/>
      <c r="BA5" s="220"/>
      <c r="BB5" s="220"/>
      <c r="BC5" s="220"/>
      <c r="BD5" s="220"/>
      <c r="BE5" s="220"/>
      <c r="BF5" s="220"/>
      <c r="BG5" s="220"/>
      <c r="BH5" s="220"/>
      <c r="BI5" s="220"/>
      <c r="BJ5" s="220"/>
      <c r="BK5" s="220"/>
      <c r="BL5" s="220"/>
      <c r="BM5" s="220"/>
      <c r="BN5" s="220"/>
      <c r="BO5" s="220"/>
      <c r="BP5" s="220"/>
      <c r="BQ5" s="220"/>
      <c r="BR5" s="220"/>
      <c r="BS5" s="220"/>
      <c r="BT5" s="220"/>
      <c r="BU5" s="220"/>
      <c r="BV5" s="220"/>
      <c r="BW5" s="220"/>
      <c r="BX5" s="220"/>
      <c r="BY5" s="220"/>
      <c r="BZ5" s="220"/>
      <c r="CA5" s="220"/>
      <c r="CB5" s="220"/>
      <c r="CC5" s="220"/>
      <c r="CD5" s="220"/>
      <c r="CE5" s="220"/>
      <c r="CF5" s="221"/>
    </row>
    <row r="6" spans="1:84" s="85" customFormat="1" ht="50" customHeight="1" thickTop="1" x14ac:dyDescent="0.25">
      <c r="A6" s="105" t="s">
        <v>98</v>
      </c>
      <c r="B6" s="105" t="s">
        <v>99</v>
      </c>
      <c r="C6" s="530" t="s">
        <v>100</v>
      </c>
      <c r="D6" s="105" t="s">
        <v>101</v>
      </c>
      <c r="E6" s="105" t="s">
        <v>102</v>
      </c>
      <c r="F6" s="105" t="s">
        <v>104</v>
      </c>
      <c r="G6" s="177" t="s">
        <v>116</v>
      </c>
      <c r="H6" s="178" t="s">
        <v>77</v>
      </c>
      <c r="I6" s="178" t="s">
        <v>114</v>
      </c>
      <c r="J6" s="178" t="s">
        <v>111</v>
      </c>
      <c r="K6" s="178" t="s">
        <v>103</v>
      </c>
      <c r="L6" s="178" t="s">
        <v>112</v>
      </c>
      <c r="M6" s="177" t="s">
        <v>4</v>
      </c>
      <c r="N6" s="105" t="s">
        <v>270</v>
      </c>
      <c r="O6" s="105" t="s">
        <v>271</v>
      </c>
      <c r="P6" s="105" t="s">
        <v>272</v>
      </c>
      <c r="Q6" s="105" t="s">
        <v>74</v>
      </c>
      <c r="R6" s="105" t="s">
        <v>113</v>
      </c>
      <c r="S6" s="105" t="s">
        <v>265</v>
      </c>
      <c r="T6" s="105" t="s">
        <v>150</v>
      </c>
      <c r="U6" s="105" t="s">
        <v>151</v>
      </c>
      <c r="V6" s="105" t="s">
        <v>152</v>
      </c>
      <c r="W6" s="105" t="s">
        <v>154</v>
      </c>
      <c r="X6" s="105" t="s">
        <v>155</v>
      </c>
      <c r="Y6" s="105" t="s">
        <v>156</v>
      </c>
      <c r="Z6" s="105" t="s">
        <v>1252</v>
      </c>
      <c r="AA6" s="105" t="s">
        <v>617</v>
      </c>
      <c r="AB6" s="105" t="s">
        <v>618</v>
      </c>
      <c r="AC6" s="105" t="s">
        <v>619</v>
      </c>
      <c r="AD6" s="105" t="s">
        <v>153</v>
      </c>
      <c r="AE6" s="106"/>
      <c r="AF6" s="107"/>
      <c r="AG6" s="107"/>
      <c r="AH6" s="107"/>
      <c r="AI6" s="107"/>
      <c r="AJ6" s="107"/>
      <c r="AK6" s="107"/>
      <c r="AL6" s="107"/>
      <c r="AM6" s="107"/>
      <c r="AN6" s="107"/>
      <c r="AO6" s="107"/>
      <c r="AP6" s="107"/>
      <c r="AQ6" s="107"/>
      <c r="AR6" s="107"/>
      <c r="AS6" s="107"/>
      <c r="AT6" s="107"/>
      <c r="AU6" s="107"/>
      <c r="AV6" s="107"/>
      <c r="AW6" s="107"/>
      <c r="AX6" s="107"/>
      <c r="AY6" s="107"/>
      <c r="AZ6" s="107"/>
      <c r="BA6" s="107"/>
      <c r="BB6" s="107"/>
      <c r="BC6" s="107"/>
      <c r="BD6" s="107"/>
      <c r="BE6" s="107"/>
      <c r="BF6" s="107"/>
      <c r="BG6" s="107"/>
      <c r="BH6" s="107"/>
      <c r="BI6" s="107"/>
      <c r="BJ6" s="107"/>
      <c r="BK6" s="107"/>
      <c r="BL6" s="107"/>
      <c r="BM6" s="107"/>
      <c r="BN6" s="107"/>
      <c r="BO6" s="107"/>
      <c r="BP6" s="107"/>
      <c r="BQ6" s="107"/>
      <c r="BR6" s="107"/>
      <c r="BS6" s="107"/>
      <c r="BT6" s="107"/>
      <c r="BU6" s="107"/>
      <c r="BV6" s="107"/>
      <c r="BW6" s="107"/>
      <c r="BX6" s="107"/>
      <c r="BY6" s="107"/>
      <c r="BZ6" s="107"/>
      <c r="CA6" s="107"/>
      <c r="CB6" s="107"/>
      <c r="CC6" s="107"/>
      <c r="CD6" s="107"/>
      <c r="CE6" s="107"/>
      <c r="CF6" s="108"/>
    </row>
    <row r="7" spans="1:84" s="83" customFormat="1" ht="26" customHeight="1" x14ac:dyDescent="0.25">
      <c r="A7" s="526" t="s">
        <v>90</v>
      </c>
      <c r="B7" s="526" t="s">
        <v>80</v>
      </c>
      <c r="C7" s="541">
        <v>150</v>
      </c>
      <c r="D7" s="526" t="s">
        <v>81</v>
      </c>
      <c r="E7" s="526" t="s">
        <v>1218</v>
      </c>
      <c r="F7" s="526" t="s">
        <v>107</v>
      </c>
      <c r="G7" s="172">
        <v>45780</v>
      </c>
      <c r="H7" s="173" t="s">
        <v>157</v>
      </c>
      <c r="I7" s="84" t="s">
        <v>158</v>
      </c>
      <c r="J7" s="84" t="s">
        <v>159</v>
      </c>
      <c r="K7" s="84" t="s">
        <v>91</v>
      </c>
      <c r="L7" s="84" t="str">
        <f t="shared" ref="L7:L70" si="57">IF(A7="","",A7&amp;" VALVE "&amp;B7&amp;" "&amp;C7&amp;"# "&amp;D7&amp;", "&amp;E7&amp;", "&amp;F7)</f>
        <v>GATE VALVE 10" 150# RF, BB-OS&amp;Y, A216</v>
      </c>
      <c r="M7" s="174">
        <v>13</v>
      </c>
      <c r="N7" s="174"/>
      <c r="O7" s="174"/>
      <c r="P7" s="174"/>
      <c r="Q7" s="174"/>
      <c r="R7" s="172">
        <v>45898</v>
      </c>
      <c r="S7" s="172"/>
      <c r="T7" s="172"/>
      <c r="U7" s="172"/>
      <c r="V7" s="172"/>
      <c r="W7" s="172"/>
      <c r="X7" s="172"/>
      <c r="Y7" s="172"/>
      <c r="Z7" s="172"/>
      <c r="AA7" s="86"/>
      <c r="AB7" s="86"/>
      <c r="AC7" s="86"/>
      <c r="AD7" s="86"/>
      <c r="AE7" s="99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  <c r="AZ7" s="100"/>
      <c r="BA7" s="100"/>
      <c r="BB7" s="100"/>
      <c r="BC7" s="100"/>
      <c r="BD7" s="100"/>
      <c r="BE7" s="100"/>
      <c r="BF7" s="100"/>
      <c r="BG7" s="100"/>
      <c r="BH7" s="100"/>
      <c r="BI7" s="100"/>
      <c r="BJ7" s="100"/>
      <c r="BK7" s="100"/>
      <c r="BL7" s="100"/>
      <c r="BM7" s="100"/>
      <c r="BN7" s="100"/>
      <c r="BO7" s="100"/>
      <c r="BP7" s="100"/>
      <c r="BQ7" s="100"/>
      <c r="BR7" s="100"/>
      <c r="BS7" s="100"/>
      <c r="BT7" s="100"/>
      <c r="BU7" s="100"/>
      <c r="BV7" s="100"/>
      <c r="BW7" s="100"/>
      <c r="BX7" s="100"/>
      <c r="BY7" s="100"/>
      <c r="BZ7" s="100"/>
      <c r="CA7" s="100"/>
      <c r="CB7" s="100"/>
      <c r="CC7" s="100"/>
      <c r="CD7" s="100"/>
      <c r="CE7" s="100"/>
      <c r="CF7" s="101"/>
    </row>
    <row r="8" spans="1:84" s="83" customFormat="1" ht="26" customHeight="1" x14ac:dyDescent="0.25">
      <c r="A8" s="526" t="s">
        <v>90</v>
      </c>
      <c r="B8" s="526" t="s">
        <v>171</v>
      </c>
      <c r="C8" s="541">
        <v>150</v>
      </c>
      <c r="D8" s="526" t="s">
        <v>81</v>
      </c>
      <c r="E8" s="526" t="s">
        <v>1218</v>
      </c>
      <c r="F8" s="526" t="s">
        <v>107</v>
      </c>
      <c r="G8" s="172">
        <v>45780</v>
      </c>
      <c r="H8" s="173" t="s">
        <v>157</v>
      </c>
      <c r="I8" s="84" t="s">
        <v>158</v>
      </c>
      <c r="J8" s="84" t="s">
        <v>159</v>
      </c>
      <c r="K8" s="84" t="s">
        <v>125</v>
      </c>
      <c r="L8" s="84" t="str">
        <f t="shared" si="57"/>
        <v>GATE VALVE 20" 150# RF, BB-OS&amp;Y, A216</v>
      </c>
      <c r="M8" s="174">
        <v>3</v>
      </c>
      <c r="N8" s="174"/>
      <c r="O8" s="174"/>
      <c r="P8" s="174"/>
      <c r="Q8" s="174"/>
      <c r="R8" s="172">
        <v>45898</v>
      </c>
      <c r="S8" s="172"/>
      <c r="T8" s="172"/>
      <c r="U8" s="172"/>
      <c r="V8" s="172"/>
      <c r="W8" s="172"/>
      <c r="X8" s="172"/>
      <c r="Y8" s="172"/>
      <c r="Z8" s="172"/>
      <c r="AA8" s="86"/>
      <c r="AB8" s="86"/>
      <c r="AC8" s="86"/>
      <c r="AD8" s="86"/>
      <c r="AE8" s="99"/>
      <c r="AF8" s="100"/>
      <c r="AG8" s="100"/>
      <c r="AH8" s="100"/>
      <c r="AI8" s="100"/>
      <c r="AJ8" s="100"/>
      <c r="AK8" s="100"/>
      <c r="AL8" s="100"/>
      <c r="AM8" s="100"/>
      <c r="AN8" s="100"/>
      <c r="AO8" s="100"/>
      <c r="AP8" s="100"/>
      <c r="AQ8" s="100"/>
      <c r="AR8" s="100"/>
      <c r="AS8" s="100"/>
      <c r="AT8" s="100"/>
      <c r="AU8" s="100"/>
      <c r="AV8" s="100"/>
      <c r="AW8" s="100"/>
      <c r="AX8" s="100"/>
      <c r="AY8" s="100"/>
      <c r="AZ8" s="100"/>
      <c r="BA8" s="100"/>
      <c r="BB8" s="100"/>
      <c r="BC8" s="100"/>
      <c r="BD8" s="100"/>
      <c r="BE8" s="100"/>
      <c r="BF8" s="100"/>
      <c r="BG8" s="100"/>
      <c r="BH8" s="100"/>
      <c r="BI8" s="100"/>
      <c r="BJ8" s="100"/>
      <c r="BK8" s="100"/>
      <c r="BL8" s="100"/>
      <c r="BM8" s="100"/>
      <c r="BN8" s="100"/>
      <c r="BO8" s="100"/>
      <c r="BP8" s="100"/>
      <c r="BQ8" s="100"/>
      <c r="BR8" s="100"/>
      <c r="BS8" s="100"/>
      <c r="BT8" s="100"/>
      <c r="BU8" s="100"/>
      <c r="BV8" s="100"/>
      <c r="BW8" s="100"/>
      <c r="BX8" s="100"/>
      <c r="BY8" s="100"/>
      <c r="BZ8" s="100"/>
      <c r="CA8" s="100"/>
      <c r="CB8" s="100"/>
      <c r="CC8" s="100"/>
      <c r="CD8" s="100"/>
      <c r="CE8" s="100"/>
      <c r="CF8" s="101"/>
    </row>
    <row r="9" spans="1:84" s="83" customFormat="1" ht="26" customHeight="1" x14ac:dyDescent="0.25">
      <c r="A9" s="526" t="s">
        <v>78</v>
      </c>
      <c r="B9" s="526" t="s">
        <v>173</v>
      </c>
      <c r="C9" s="541">
        <v>800</v>
      </c>
      <c r="D9" s="526" t="s">
        <v>106</v>
      </c>
      <c r="E9" s="526" t="s">
        <v>109</v>
      </c>
      <c r="F9" s="526" t="s">
        <v>105</v>
      </c>
      <c r="G9" s="172">
        <v>45780</v>
      </c>
      <c r="H9" s="173" t="s">
        <v>157</v>
      </c>
      <c r="I9" s="84" t="s">
        <v>158</v>
      </c>
      <c r="J9" s="84" t="s">
        <v>159</v>
      </c>
      <c r="K9" s="84" t="s">
        <v>123</v>
      </c>
      <c r="L9" s="84" t="str">
        <f t="shared" si="57"/>
        <v>BALL VALVE 3/4'' 800# SW, FLOATING, A105</v>
      </c>
      <c r="M9" s="174">
        <v>20</v>
      </c>
      <c r="N9" s="174"/>
      <c r="O9" s="174"/>
      <c r="P9" s="174"/>
      <c r="Q9" s="174"/>
      <c r="R9" s="172">
        <v>45898</v>
      </c>
      <c r="S9" s="172"/>
      <c r="T9" s="172"/>
      <c r="U9" s="172"/>
      <c r="V9" s="172"/>
      <c r="W9" s="172"/>
      <c r="X9" s="172"/>
      <c r="Y9" s="172"/>
      <c r="Z9" s="172"/>
      <c r="AA9" s="86"/>
      <c r="AB9" s="86"/>
      <c r="AC9" s="86"/>
      <c r="AD9" s="86"/>
      <c r="AE9" s="99"/>
      <c r="AF9" s="100"/>
      <c r="AG9" s="100"/>
      <c r="AH9" s="100"/>
      <c r="AI9" s="100"/>
      <c r="AJ9" s="100"/>
      <c r="AK9" s="100"/>
      <c r="AL9" s="100"/>
      <c r="AM9" s="100"/>
      <c r="AN9" s="100"/>
      <c r="AO9" s="100"/>
      <c r="AP9" s="100"/>
      <c r="AQ9" s="100"/>
      <c r="AR9" s="100"/>
      <c r="AS9" s="100"/>
      <c r="AT9" s="100"/>
      <c r="AU9" s="100"/>
      <c r="AV9" s="100"/>
      <c r="AW9" s="100"/>
      <c r="AX9" s="100"/>
      <c r="AY9" s="100"/>
      <c r="AZ9" s="100"/>
      <c r="BA9" s="100"/>
      <c r="BB9" s="100"/>
      <c r="BC9" s="100"/>
      <c r="BD9" s="100"/>
      <c r="BE9" s="100"/>
      <c r="BF9" s="100"/>
      <c r="BG9" s="100"/>
      <c r="BH9" s="100"/>
      <c r="BI9" s="100"/>
      <c r="BJ9" s="100"/>
      <c r="BK9" s="100"/>
      <c r="BL9" s="100"/>
      <c r="BM9" s="100"/>
      <c r="BN9" s="100"/>
      <c r="BO9" s="100"/>
      <c r="BP9" s="100"/>
      <c r="BQ9" s="100"/>
      <c r="BR9" s="100"/>
      <c r="BS9" s="100"/>
      <c r="BT9" s="100"/>
      <c r="BU9" s="100"/>
      <c r="BV9" s="100"/>
      <c r="BW9" s="100"/>
      <c r="BX9" s="100"/>
      <c r="BY9" s="100"/>
      <c r="BZ9" s="100"/>
      <c r="CA9" s="100"/>
      <c r="CB9" s="100"/>
      <c r="CC9" s="100"/>
      <c r="CD9" s="100"/>
      <c r="CE9" s="100"/>
      <c r="CF9" s="101"/>
    </row>
    <row r="10" spans="1:84" s="83" customFormat="1" ht="26" customHeight="1" x14ac:dyDescent="0.25">
      <c r="A10" s="526" t="s">
        <v>90</v>
      </c>
      <c r="B10" s="526" t="s">
        <v>173</v>
      </c>
      <c r="C10" s="541">
        <v>800</v>
      </c>
      <c r="D10" s="526" t="s">
        <v>106</v>
      </c>
      <c r="E10" s="526" t="s">
        <v>1218</v>
      </c>
      <c r="F10" s="526" t="s">
        <v>105</v>
      </c>
      <c r="G10" s="172">
        <v>45780</v>
      </c>
      <c r="H10" s="173" t="s">
        <v>157</v>
      </c>
      <c r="I10" s="84" t="s">
        <v>158</v>
      </c>
      <c r="J10" s="84" t="s">
        <v>159</v>
      </c>
      <c r="K10" s="84" t="s">
        <v>160</v>
      </c>
      <c r="L10" s="84" t="str">
        <f t="shared" si="57"/>
        <v>GATE VALVE 3/4'' 800# SW, BB-OS&amp;Y, A105</v>
      </c>
      <c r="M10" s="174">
        <v>25</v>
      </c>
      <c r="N10" s="174"/>
      <c r="O10" s="174"/>
      <c r="P10" s="174"/>
      <c r="Q10" s="174"/>
      <c r="R10" s="172">
        <v>45898</v>
      </c>
      <c r="S10" s="172"/>
      <c r="T10" s="172"/>
      <c r="U10" s="172"/>
      <c r="V10" s="172"/>
      <c r="W10" s="172"/>
      <c r="X10" s="172"/>
      <c r="Y10" s="172"/>
      <c r="Z10" s="172"/>
      <c r="AA10" s="86"/>
      <c r="AB10" s="86"/>
      <c r="AC10" s="86"/>
      <c r="AD10" s="86"/>
      <c r="AE10" s="99"/>
      <c r="AF10" s="100"/>
      <c r="AG10" s="100"/>
      <c r="AH10" s="100"/>
      <c r="AI10" s="100"/>
      <c r="AJ10" s="100"/>
      <c r="AK10" s="100"/>
      <c r="AL10" s="100"/>
      <c r="AM10" s="100"/>
      <c r="AN10" s="100"/>
      <c r="AO10" s="100"/>
      <c r="AP10" s="100"/>
      <c r="AQ10" s="100"/>
      <c r="AR10" s="100"/>
      <c r="AS10" s="100"/>
      <c r="AT10" s="100"/>
      <c r="AU10" s="100"/>
      <c r="AV10" s="100"/>
      <c r="AW10" s="100"/>
      <c r="AX10" s="100"/>
      <c r="AY10" s="100"/>
      <c r="AZ10" s="100"/>
      <c r="BA10" s="100"/>
      <c r="BB10" s="100"/>
      <c r="BC10" s="100"/>
      <c r="BD10" s="100"/>
      <c r="BE10" s="100"/>
      <c r="BF10" s="100"/>
      <c r="BG10" s="100"/>
      <c r="BH10" s="100"/>
      <c r="BI10" s="100"/>
      <c r="BJ10" s="100"/>
      <c r="BK10" s="100"/>
      <c r="BL10" s="100"/>
      <c r="BM10" s="100"/>
      <c r="BN10" s="100"/>
      <c r="BO10" s="100"/>
      <c r="BP10" s="100"/>
      <c r="BQ10" s="100"/>
      <c r="BR10" s="100"/>
      <c r="BS10" s="100"/>
      <c r="BT10" s="100"/>
      <c r="BU10" s="100"/>
      <c r="BV10" s="100"/>
      <c r="BW10" s="100"/>
      <c r="BX10" s="100"/>
      <c r="BY10" s="100"/>
      <c r="BZ10" s="100"/>
      <c r="CA10" s="100"/>
      <c r="CB10" s="100"/>
      <c r="CC10" s="100"/>
      <c r="CD10" s="100"/>
      <c r="CE10" s="100"/>
      <c r="CF10" s="101"/>
    </row>
    <row r="11" spans="1:84" s="83" customFormat="1" ht="26" customHeight="1" x14ac:dyDescent="0.25">
      <c r="A11" s="526" t="s">
        <v>90</v>
      </c>
      <c r="B11" s="526" t="s">
        <v>174</v>
      </c>
      <c r="C11" s="541">
        <v>150</v>
      </c>
      <c r="D11" s="526" t="s">
        <v>81</v>
      </c>
      <c r="E11" s="526" t="s">
        <v>1218</v>
      </c>
      <c r="F11" s="526" t="s">
        <v>107</v>
      </c>
      <c r="G11" s="172">
        <v>45780</v>
      </c>
      <c r="H11" s="173" t="s">
        <v>157</v>
      </c>
      <c r="I11" s="84" t="s">
        <v>158</v>
      </c>
      <c r="J11" s="84" t="s">
        <v>159</v>
      </c>
      <c r="K11" s="84" t="s">
        <v>91</v>
      </c>
      <c r="L11" s="84" t="str">
        <f t="shared" si="57"/>
        <v>GATE VALVE 2'' 150# RF, BB-OS&amp;Y, A216</v>
      </c>
      <c r="M11" s="174">
        <v>23</v>
      </c>
      <c r="N11" s="174"/>
      <c r="O11" s="174"/>
      <c r="P11" s="174"/>
      <c r="Q11" s="174"/>
      <c r="R11" s="172">
        <v>45898</v>
      </c>
      <c r="S11" s="172"/>
      <c r="T11" s="172"/>
      <c r="U11" s="172"/>
      <c r="V11" s="172"/>
      <c r="W11" s="172"/>
      <c r="X11" s="172"/>
      <c r="Y11" s="172"/>
      <c r="Z11" s="172"/>
      <c r="AA11" s="86"/>
      <c r="AB11" s="86"/>
      <c r="AC11" s="86"/>
      <c r="AD11" s="86"/>
      <c r="AE11" s="99"/>
      <c r="AF11" s="100"/>
      <c r="AG11" s="100"/>
      <c r="AH11" s="100"/>
      <c r="AI11" s="100"/>
      <c r="AJ11" s="100"/>
      <c r="AK11" s="100"/>
      <c r="AL11" s="100"/>
      <c r="AM11" s="100"/>
      <c r="AN11" s="100"/>
      <c r="AO11" s="100"/>
      <c r="AP11" s="100"/>
      <c r="AQ11" s="100"/>
      <c r="AR11" s="100"/>
      <c r="AS11" s="100"/>
      <c r="AT11" s="100"/>
      <c r="AU11" s="100"/>
      <c r="AV11" s="100"/>
      <c r="AW11" s="100"/>
      <c r="AX11" s="100"/>
      <c r="AY11" s="100"/>
      <c r="AZ11" s="100"/>
      <c r="BA11" s="100"/>
      <c r="BB11" s="100"/>
      <c r="BC11" s="100"/>
      <c r="BD11" s="100"/>
      <c r="BE11" s="100"/>
      <c r="BF11" s="100"/>
      <c r="BG11" s="100"/>
      <c r="BH11" s="100"/>
      <c r="BI11" s="100"/>
      <c r="BJ11" s="100"/>
      <c r="BK11" s="100"/>
      <c r="BL11" s="100"/>
      <c r="BM11" s="100"/>
      <c r="BN11" s="100"/>
      <c r="BO11" s="100"/>
      <c r="BP11" s="100"/>
      <c r="BQ11" s="100"/>
      <c r="BR11" s="100"/>
      <c r="BS11" s="100"/>
      <c r="BT11" s="100"/>
      <c r="BU11" s="100"/>
      <c r="BV11" s="100"/>
      <c r="BW11" s="100"/>
      <c r="BX11" s="100"/>
      <c r="BY11" s="100"/>
      <c r="BZ11" s="100"/>
      <c r="CA11" s="100"/>
      <c r="CB11" s="100"/>
      <c r="CC11" s="100"/>
      <c r="CD11" s="100"/>
      <c r="CE11" s="100"/>
      <c r="CF11" s="101"/>
    </row>
    <row r="12" spans="1:84" s="83" customFormat="1" ht="26" customHeight="1" x14ac:dyDescent="0.25">
      <c r="A12" s="526" t="s">
        <v>90</v>
      </c>
      <c r="B12" s="526" t="s">
        <v>175</v>
      </c>
      <c r="C12" s="541">
        <v>150</v>
      </c>
      <c r="D12" s="526" t="s">
        <v>81</v>
      </c>
      <c r="E12" s="526" t="s">
        <v>1218</v>
      </c>
      <c r="F12" s="526" t="s">
        <v>107</v>
      </c>
      <c r="G12" s="172">
        <v>45780</v>
      </c>
      <c r="H12" s="173" t="s">
        <v>157</v>
      </c>
      <c r="I12" s="84" t="s">
        <v>158</v>
      </c>
      <c r="J12" s="84" t="s">
        <v>159</v>
      </c>
      <c r="K12" s="84" t="s">
        <v>91</v>
      </c>
      <c r="L12" s="84" t="str">
        <f t="shared" si="57"/>
        <v>GATE VALVE 3'' 150# RF, BB-OS&amp;Y, A216</v>
      </c>
      <c r="M12" s="174">
        <v>2</v>
      </c>
      <c r="N12" s="174"/>
      <c r="O12" s="174"/>
      <c r="P12" s="174"/>
      <c r="Q12" s="174"/>
      <c r="R12" s="172">
        <v>45898</v>
      </c>
      <c r="S12" s="172"/>
      <c r="T12" s="172"/>
      <c r="U12" s="172"/>
      <c r="V12" s="172"/>
      <c r="W12" s="172"/>
      <c r="X12" s="172"/>
      <c r="Y12" s="172"/>
      <c r="Z12" s="172"/>
      <c r="AA12" s="86"/>
      <c r="AB12" s="86"/>
      <c r="AC12" s="86"/>
      <c r="AD12" s="86"/>
      <c r="AE12" s="99"/>
      <c r="AF12" s="100"/>
      <c r="AG12" s="100"/>
      <c r="AH12" s="100"/>
      <c r="AI12" s="100"/>
      <c r="AJ12" s="100"/>
      <c r="AK12" s="100"/>
      <c r="AL12" s="100"/>
      <c r="AM12" s="100"/>
      <c r="AN12" s="100"/>
      <c r="AO12" s="100"/>
      <c r="AP12" s="100"/>
      <c r="AQ12" s="100"/>
      <c r="AR12" s="100"/>
      <c r="AS12" s="100"/>
      <c r="AT12" s="100"/>
      <c r="AU12" s="100"/>
      <c r="AV12" s="100"/>
      <c r="AW12" s="100"/>
      <c r="AX12" s="100"/>
      <c r="AY12" s="100"/>
      <c r="AZ12" s="100"/>
      <c r="BA12" s="100"/>
      <c r="BB12" s="100"/>
      <c r="BC12" s="100"/>
      <c r="BD12" s="100"/>
      <c r="BE12" s="100"/>
      <c r="BF12" s="100"/>
      <c r="BG12" s="100"/>
      <c r="BH12" s="100"/>
      <c r="BI12" s="100"/>
      <c r="BJ12" s="100"/>
      <c r="BK12" s="100"/>
      <c r="BL12" s="100"/>
      <c r="BM12" s="100"/>
      <c r="BN12" s="100"/>
      <c r="BO12" s="100"/>
      <c r="BP12" s="100"/>
      <c r="BQ12" s="100"/>
      <c r="BR12" s="100"/>
      <c r="BS12" s="100"/>
      <c r="BT12" s="100"/>
      <c r="BU12" s="100"/>
      <c r="BV12" s="100"/>
      <c r="BW12" s="100"/>
      <c r="BX12" s="100"/>
      <c r="BY12" s="100"/>
      <c r="BZ12" s="100"/>
      <c r="CA12" s="100"/>
      <c r="CB12" s="100"/>
      <c r="CC12" s="100"/>
      <c r="CD12" s="100"/>
      <c r="CE12" s="100"/>
      <c r="CF12" s="101"/>
    </row>
    <row r="13" spans="1:84" s="83" customFormat="1" ht="26" customHeight="1" x14ac:dyDescent="0.25">
      <c r="A13" s="526" t="s">
        <v>90</v>
      </c>
      <c r="B13" s="526" t="s">
        <v>176</v>
      </c>
      <c r="C13" s="541">
        <v>150</v>
      </c>
      <c r="D13" s="526" t="s">
        <v>81</v>
      </c>
      <c r="E13" s="526" t="s">
        <v>1218</v>
      </c>
      <c r="F13" s="526" t="s">
        <v>107</v>
      </c>
      <c r="G13" s="172">
        <v>45780</v>
      </c>
      <c r="H13" s="173" t="s">
        <v>157</v>
      </c>
      <c r="I13" s="84" t="s">
        <v>158</v>
      </c>
      <c r="J13" s="84" t="s">
        <v>159</v>
      </c>
      <c r="K13" s="84" t="s">
        <v>91</v>
      </c>
      <c r="L13" s="84" t="str">
        <f t="shared" si="57"/>
        <v>GATE VALVE 4'' 150# RF, BB-OS&amp;Y, A216</v>
      </c>
      <c r="M13" s="174">
        <v>10</v>
      </c>
      <c r="N13" s="174"/>
      <c r="O13" s="174"/>
      <c r="P13" s="174"/>
      <c r="Q13" s="174"/>
      <c r="R13" s="172">
        <v>45898</v>
      </c>
      <c r="S13" s="172"/>
      <c r="T13" s="172"/>
      <c r="U13" s="172"/>
      <c r="V13" s="172"/>
      <c r="W13" s="172"/>
      <c r="X13" s="172"/>
      <c r="Y13" s="172"/>
      <c r="Z13" s="172"/>
      <c r="AA13" s="86"/>
      <c r="AB13" s="86"/>
      <c r="AC13" s="86"/>
      <c r="AD13" s="86"/>
      <c r="AE13" s="99"/>
      <c r="AF13" s="100"/>
      <c r="AG13" s="100"/>
      <c r="AH13" s="100"/>
      <c r="AI13" s="100"/>
      <c r="AJ13" s="100"/>
      <c r="AK13" s="100"/>
      <c r="AL13" s="100"/>
      <c r="AM13" s="100"/>
      <c r="AN13" s="100"/>
      <c r="AO13" s="100"/>
      <c r="AP13" s="100"/>
      <c r="AQ13" s="100"/>
      <c r="AR13" s="100"/>
      <c r="AS13" s="100"/>
      <c r="AT13" s="100"/>
      <c r="AU13" s="100"/>
      <c r="AV13" s="100"/>
      <c r="AW13" s="100"/>
      <c r="AX13" s="100"/>
      <c r="AY13" s="100"/>
      <c r="AZ13" s="100"/>
      <c r="BA13" s="100"/>
      <c r="BB13" s="100"/>
      <c r="BC13" s="100"/>
      <c r="BD13" s="100"/>
      <c r="BE13" s="100"/>
      <c r="BF13" s="100"/>
      <c r="BG13" s="100"/>
      <c r="BH13" s="100"/>
      <c r="BI13" s="100"/>
      <c r="BJ13" s="100"/>
      <c r="BK13" s="100"/>
      <c r="BL13" s="100"/>
      <c r="BM13" s="100"/>
      <c r="BN13" s="100"/>
      <c r="BO13" s="100"/>
      <c r="BP13" s="100"/>
      <c r="BQ13" s="100"/>
      <c r="BR13" s="100"/>
      <c r="BS13" s="100"/>
      <c r="BT13" s="100"/>
      <c r="BU13" s="100"/>
      <c r="BV13" s="100"/>
      <c r="BW13" s="100"/>
      <c r="BX13" s="100"/>
      <c r="BY13" s="100"/>
      <c r="BZ13" s="100"/>
      <c r="CA13" s="100"/>
      <c r="CB13" s="100"/>
      <c r="CC13" s="100"/>
      <c r="CD13" s="100"/>
      <c r="CE13" s="100"/>
      <c r="CF13" s="101"/>
    </row>
    <row r="14" spans="1:84" s="83" customFormat="1" ht="26" customHeight="1" x14ac:dyDescent="0.25">
      <c r="A14" s="526" t="s">
        <v>90</v>
      </c>
      <c r="B14" s="526" t="s">
        <v>170</v>
      </c>
      <c r="C14" s="541">
        <v>150</v>
      </c>
      <c r="D14" s="526" t="s">
        <v>81</v>
      </c>
      <c r="E14" s="526" t="s">
        <v>1218</v>
      </c>
      <c r="F14" s="526" t="s">
        <v>107</v>
      </c>
      <c r="G14" s="172">
        <v>45780</v>
      </c>
      <c r="H14" s="173" t="s">
        <v>157</v>
      </c>
      <c r="I14" s="84" t="s">
        <v>158</v>
      </c>
      <c r="J14" s="84" t="s">
        <v>159</v>
      </c>
      <c r="K14" s="84" t="s">
        <v>91</v>
      </c>
      <c r="L14" s="84" t="str">
        <f t="shared" si="57"/>
        <v>GATE VALVE 6'' 150# RF, BB-OS&amp;Y, A216</v>
      </c>
      <c r="M14" s="174">
        <v>2</v>
      </c>
      <c r="N14" s="174"/>
      <c r="O14" s="174"/>
      <c r="P14" s="174"/>
      <c r="Q14" s="174"/>
      <c r="R14" s="172">
        <v>45898</v>
      </c>
      <c r="S14" s="172"/>
      <c r="T14" s="172"/>
      <c r="U14" s="172"/>
      <c r="V14" s="172"/>
      <c r="W14" s="172"/>
      <c r="X14" s="172"/>
      <c r="Y14" s="172"/>
      <c r="Z14" s="172"/>
      <c r="AA14" s="86"/>
      <c r="AB14" s="86"/>
      <c r="AC14" s="86"/>
      <c r="AD14" s="86"/>
      <c r="AE14" s="99"/>
      <c r="AF14" s="100"/>
      <c r="AG14" s="100"/>
      <c r="AH14" s="100"/>
      <c r="AI14" s="100"/>
      <c r="AJ14" s="100"/>
      <c r="AK14" s="100"/>
      <c r="AL14" s="100"/>
      <c r="AM14" s="100"/>
      <c r="AN14" s="100"/>
      <c r="AO14" s="100"/>
      <c r="AP14" s="100"/>
      <c r="AQ14" s="100"/>
      <c r="AR14" s="100"/>
      <c r="AS14" s="100"/>
      <c r="AT14" s="100"/>
      <c r="AU14" s="100"/>
      <c r="AV14" s="100"/>
      <c r="AW14" s="100"/>
      <c r="AX14" s="100"/>
      <c r="AY14" s="100"/>
      <c r="AZ14" s="100"/>
      <c r="BA14" s="100"/>
      <c r="BB14" s="100"/>
      <c r="BC14" s="100"/>
      <c r="BD14" s="100"/>
      <c r="BE14" s="100"/>
      <c r="BF14" s="100"/>
      <c r="BG14" s="100"/>
      <c r="BH14" s="100"/>
      <c r="BI14" s="100"/>
      <c r="BJ14" s="100"/>
      <c r="BK14" s="100"/>
      <c r="BL14" s="100"/>
      <c r="BM14" s="100"/>
      <c r="BN14" s="100"/>
      <c r="BO14" s="100"/>
      <c r="BP14" s="100"/>
      <c r="BQ14" s="100"/>
      <c r="BR14" s="100"/>
      <c r="BS14" s="100"/>
      <c r="BT14" s="100"/>
      <c r="BU14" s="100"/>
      <c r="BV14" s="100"/>
      <c r="BW14" s="100"/>
      <c r="BX14" s="100"/>
      <c r="BY14" s="100"/>
      <c r="BZ14" s="100"/>
      <c r="CA14" s="100"/>
      <c r="CB14" s="100"/>
      <c r="CC14" s="100"/>
      <c r="CD14" s="100"/>
      <c r="CE14" s="100"/>
      <c r="CF14" s="101"/>
    </row>
    <row r="15" spans="1:84" s="83" customFormat="1" ht="26" customHeight="1" x14ac:dyDescent="0.25">
      <c r="A15" s="526" t="s">
        <v>90</v>
      </c>
      <c r="B15" s="526" t="s">
        <v>120</v>
      </c>
      <c r="C15" s="541">
        <v>150</v>
      </c>
      <c r="D15" s="526" t="s">
        <v>81</v>
      </c>
      <c r="E15" s="526" t="s">
        <v>1218</v>
      </c>
      <c r="F15" s="526" t="s">
        <v>107</v>
      </c>
      <c r="G15" s="172">
        <v>45780</v>
      </c>
      <c r="H15" s="173" t="s">
        <v>157</v>
      </c>
      <c r="I15" s="84" t="s">
        <v>158</v>
      </c>
      <c r="J15" s="84" t="s">
        <v>159</v>
      </c>
      <c r="K15" s="84" t="s">
        <v>91</v>
      </c>
      <c r="L15" s="84" t="str">
        <f t="shared" si="57"/>
        <v>GATE VALVE 8" 150# RF, BB-OS&amp;Y, A216</v>
      </c>
      <c r="M15" s="174">
        <v>1</v>
      </c>
      <c r="N15" s="174"/>
      <c r="O15" s="174"/>
      <c r="P15" s="174"/>
      <c r="Q15" s="174"/>
      <c r="R15" s="172">
        <v>45898</v>
      </c>
      <c r="S15" s="172"/>
      <c r="T15" s="172"/>
      <c r="U15" s="172"/>
      <c r="V15" s="172"/>
      <c r="W15" s="172"/>
      <c r="X15" s="172"/>
      <c r="Y15" s="172"/>
      <c r="Z15" s="172"/>
      <c r="AA15" s="86"/>
      <c r="AB15" s="86"/>
      <c r="AC15" s="86"/>
      <c r="AD15" s="86"/>
      <c r="AE15" s="99"/>
      <c r="AF15" s="100"/>
      <c r="AG15" s="100"/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100"/>
      <c r="AY15" s="100"/>
      <c r="AZ15" s="100"/>
      <c r="BA15" s="100"/>
      <c r="BB15" s="100"/>
      <c r="BC15" s="100"/>
      <c r="BD15" s="100"/>
      <c r="BE15" s="100"/>
      <c r="BF15" s="100"/>
      <c r="BG15" s="100"/>
      <c r="BH15" s="100"/>
      <c r="BI15" s="100"/>
      <c r="BJ15" s="100"/>
      <c r="BK15" s="100"/>
      <c r="BL15" s="100"/>
      <c r="BM15" s="100"/>
      <c r="BN15" s="100"/>
      <c r="BO15" s="100"/>
      <c r="BP15" s="100"/>
      <c r="BQ15" s="100"/>
      <c r="BR15" s="100"/>
      <c r="BS15" s="100"/>
      <c r="BT15" s="100"/>
      <c r="BU15" s="100"/>
      <c r="BV15" s="100"/>
      <c r="BW15" s="100"/>
      <c r="BX15" s="100"/>
      <c r="BY15" s="100"/>
      <c r="BZ15" s="100"/>
      <c r="CA15" s="100"/>
      <c r="CB15" s="100"/>
      <c r="CC15" s="100"/>
      <c r="CD15" s="100"/>
      <c r="CE15" s="100"/>
      <c r="CF15" s="101"/>
    </row>
    <row r="16" spans="1:84" s="83" customFormat="1" ht="26" customHeight="1" x14ac:dyDescent="0.25">
      <c r="A16" s="526" t="s">
        <v>90</v>
      </c>
      <c r="B16" s="526" t="s">
        <v>80</v>
      </c>
      <c r="C16" s="541">
        <v>150</v>
      </c>
      <c r="D16" s="526" t="s">
        <v>81</v>
      </c>
      <c r="E16" s="526" t="s">
        <v>1218</v>
      </c>
      <c r="F16" s="526" t="s">
        <v>107</v>
      </c>
      <c r="G16" s="172">
        <v>45780</v>
      </c>
      <c r="H16" s="173" t="s">
        <v>157</v>
      </c>
      <c r="I16" s="84" t="s">
        <v>158</v>
      </c>
      <c r="J16" s="84" t="s">
        <v>159</v>
      </c>
      <c r="K16" s="84" t="s">
        <v>91</v>
      </c>
      <c r="L16" s="84" t="str">
        <f t="shared" si="57"/>
        <v>GATE VALVE 10" 150# RF, BB-OS&amp;Y, A216</v>
      </c>
      <c r="M16" s="174">
        <v>13</v>
      </c>
      <c r="N16" s="174"/>
      <c r="O16" s="174"/>
      <c r="P16" s="174"/>
      <c r="Q16" s="174"/>
      <c r="R16" s="172">
        <v>45898</v>
      </c>
      <c r="S16" s="172"/>
      <c r="T16" s="172"/>
      <c r="U16" s="172"/>
      <c r="V16" s="172"/>
      <c r="W16" s="172"/>
      <c r="X16" s="172"/>
      <c r="Y16" s="172"/>
      <c r="Z16" s="172"/>
      <c r="AA16" s="86"/>
      <c r="AB16" s="86"/>
      <c r="AC16" s="86"/>
      <c r="AD16" s="86"/>
      <c r="AE16" s="99"/>
      <c r="AF16" s="100"/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100"/>
      <c r="AY16" s="100"/>
      <c r="AZ16" s="100"/>
      <c r="BA16" s="100"/>
      <c r="BB16" s="100"/>
      <c r="BC16" s="100"/>
      <c r="BD16" s="100"/>
      <c r="BE16" s="100"/>
      <c r="BF16" s="100"/>
      <c r="BG16" s="100"/>
      <c r="BH16" s="100"/>
      <c r="BI16" s="100"/>
      <c r="BJ16" s="100"/>
      <c r="BK16" s="100"/>
      <c r="BL16" s="100"/>
      <c r="BM16" s="100"/>
      <c r="BN16" s="100"/>
      <c r="BO16" s="100"/>
      <c r="BP16" s="100"/>
      <c r="BQ16" s="100"/>
      <c r="BR16" s="100"/>
      <c r="BS16" s="100"/>
      <c r="BT16" s="100"/>
      <c r="BU16" s="100"/>
      <c r="BV16" s="100"/>
      <c r="BW16" s="100"/>
      <c r="BX16" s="100"/>
      <c r="BY16" s="100"/>
      <c r="BZ16" s="100"/>
      <c r="CA16" s="100"/>
      <c r="CB16" s="100"/>
      <c r="CC16" s="100"/>
      <c r="CD16" s="100"/>
      <c r="CE16" s="100"/>
      <c r="CF16" s="101"/>
    </row>
    <row r="17" spans="1:84" s="83" customFormat="1" ht="26" customHeight="1" x14ac:dyDescent="0.25">
      <c r="A17" s="526" t="s">
        <v>90</v>
      </c>
      <c r="B17" s="526" t="s">
        <v>171</v>
      </c>
      <c r="C17" s="541">
        <v>150</v>
      </c>
      <c r="D17" s="526" t="s">
        <v>81</v>
      </c>
      <c r="E17" s="526" t="s">
        <v>1218</v>
      </c>
      <c r="F17" s="526" t="s">
        <v>107</v>
      </c>
      <c r="G17" s="172">
        <v>45780</v>
      </c>
      <c r="H17" s="173" t="s">
        <v>157</v>
      </c>
      <c r="I17" s="84" t="s">
        <v>158</v>
      </c>
      <c r="J17" s="84" t="s">
        <v>159</v>
      </c>
      <c r="K17" s="84" t="s">
        <v>125</v>
      </c>
      <c r="L17" s="84" t="str">
        <f t="shared" si="57"/>
        <v>GATE VALVE 20" 150# RF, BB-OS&amp;Y, A216</v>
      </c>
      <c r="M17" s="174">
        <v>6</v>
      </c>
      <c r="N17" s="174"/>
      <c r="O17" s="174"/>
      <c r="P17" s="174"/>
      <c r="Q17" s="174"/>
      <c r="R17" s="172">
        <v>45898</v>
      </c>
      <c r="S17" s="172"/>
      <c r="T17" s="172"/>
      <c r="U17" s="172"/>
      <c r="V17" s="172"/>
      <c r="W17" s="172"/>
      <c r="X17" s="172"/>
      <c r="Y17" s="172"/>
      <c r="Z17" s="172"/>
      <c r="AA17" s="86"/>
      <c r="AB17" s="86"/>
      <c r="AC17" s="86"/>
      <c r="AD17" s="86"/>
      <c r="AE17" s="99"/>
      <c r="AF17" s="100"/>
      <c r="AG17" s="100"/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100"/>
      <c r="AY17" s="100"/>
      <c r="AZ17" s="100"/>
      <c r="BA17" s="100"/>
      <c r="BB17" s="100"/>
      <c r="BC17" s="100"/>
      <c r="BD17" s="100"/>
      <c r="BE17" s="100"/>
      <c r="BF17" s="100"/>
      <c r="BG17" s="100"/>
      <c r="BH17" s="100"/>
      <c r="BI17" s="100"/>
      <c r="BJ17" s="100"/>
      <c r="BK17" s="100"/>
      <c r="BL17" s="100"/>
      <c r="BM17" s="100"/>
      <c r="BN17" s="100"/>
      <c r="BO17" s="100"/>
      <c r="BP17" s="100"/>
      <c r="BQ17" s="100"/>
      <c r="BR17" s="100"/>
      <c r="BS17" s="100"/>
      <c r="BT17" s="100"/>
      <c r="BU17" s="100"/>
      <c r="BV17" s="100"/>
      <c r="BW17" s="100"/>
      <c r="BX17" s="100"/>
      <c r="BY17" s="100"/>
      <c r="BZ17" s="100"/>
      <c r="CA17" s="100"/>
      <c r="CB17" s="100"/>
      <c r="CC17" s="100"/>
      <c r="CD17" s="100"/>
      <c r="CE17" s="100"/>
      <c r="CF17" s="101"/>
    </row>
    <row r="18" spans="1:84" s="83" customFormat="1" ht="26" customHeight="1" x14ac:dyDescent="0.25">
      <c r="A18" s="526" t="s">
        <v>94</v>
      </c>
      <c r="B18" s="526" t="s">
        <v>174</v>
      </c>
      <c r="C18" s="541">
        <v>150</v>
      </c>
      <c r="D18" s="526" t="s">
        <v>81</v>
      </c>
      <c r="E18" s="526" t="s">
        <v>97</v>
      </c>
      <c r="F18" s="526" t="s">
        <v>107</v>
      </c>
      <c r="G18" s="172">
        <v>45780</v>
      </c>
      <c r="H18" s="173" t="s">
        <v>157</v>
      </c>
      <c r="I18" s="84" t="s">
        <v>158</v>
      </c>
      <c r="J18" s="84" t="s">
        <v>159</v>
      </c>
      <c r="K18" s="84" t="s">
        <v>127</v>
      </c>
      <c r="L18" s="84" t="str">
        <f t="shared" si="57"/>
        <v>CHECK VALVE 2'' 150# RF, BOLTED CAP, A216</v>
      </c>
      <c r="M18" s="174">
        <v>6</v>
      </c>
      <c r="N18" s="174"/>
      <c r="O18" s="174"/>
      <c r="P18" s="174"/>
      <c r="Q18" s="174"/>
      <c r="R18" s="172">
        <v>45898</v>
      </c>
      <c r="S18" s="172"/>
      <c r="T18" s="172"/>
      <c r="U18" s="172"/>
      <c r="V18" s="172"/>
      <c r="W18" s="172"/>
      <c r="X18" s="172"/>
      <c r="Y18" s="172"/>
      <c r="Z18" s="172"/>
      <c r="AA18" s="86"/>
      <c r="AB18" s="86"/>
      <c r="AC18" s="86"/>
      <c r="AD18" s="86"/>
      <c r="AE18" s="99"/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100"/>
      <c r="AY18" s="100"/>
      <c r="AZ18" s="100"/>
      <c r="BA18" s="100"/>
      <c r="BB18" s="100"/>
      <c r="BC18" s="100"/>
      <c r="BD18" s="100"/>
      <c r="BE18" s="100"/>
      <c r="BF18" s="100"/>
      <c r="BG18" s="100"/>
      <c r="BH18" s="100"/>
      <c r="BI18" s="100"/>
      <c r="BJ18" s="100"/>
      <c r="BK18" s="100"/>
      <c r="BL18" s="100"/>
      <c r="BM18" s="100"/>
      <c r="BN18" s="100"/>
      <c r="BO18" s="100"/>
      <c r="BP18" s="100"/>
      <c r="BQ18" s="100"/>
      <c r="BR18" s="100"/>
      <c r="BS18" s="100"/>
      <c r="BT18" s="100"/>
      <c r="BU18" s="100"/>
      <c r="BV18" s="100"/>
      <c r="BW18" s="100"/>
      <c r="BX18" s="100"/>
      <c r="BY18" s="100"/>
      <c r="BZ18" s="100"/>
      <c r="CA18" s="100"/>
      <c r="CB18" s="100"/>
      <c r="CC18" s="100"/>
      <c r="CD18" s="100"/>
      <c r="CE18" s="100"/>
      <c r="CF18" s="101"/>
    </row>
    <row r="19" spans="1:84" s="83" customFormat="1" ht="26" customHeight="1" x14ac:dyDescent="0.25">
      <c r="A19" s="526" t="s">
        <v>94</v>
      </c>
      <c r="B19" s="526" t="s">
        <v>170</v>
      </c>
      <c r="C19" s="541">
        <v>150</v>
      </c>
      <c r="D19" s="526" t="s">
        <v>81</v>
      </c>
      <c r="E19" s="526" t="s">
        <v>97</v>
      </c>
      <c r="F19" s="526" t="s">
        <v>107</v>
      </c>
      <c r="G19" s="172">
        <v>45780</v>
      </c>
      <c r="H19" s="173" t="s">
        <v>157</v>
      </c>
      <c r="I19" s="84" t="s">
        <v>158</v>
      </c>
      <c r="J19" s="84" t="s">
        <v>159</v>
      </c>
      <c r="K19" s="84" t="s">
        <v>127</v>
      </c>
      <c r="L19" s="84" t="str">
        <f t="shared" si="57"/>
        <v>CHECK VALVE 6'' 150# RF, BOLTED CAP, A216</v>
      </c>
      <c r="M19" s="174">
        <v>1</v>
      </c>
      <c r="N19" s="174"/>
      <c r="O19" s="174"/>
      <c r="P19" s="174"/>
      <c r="Q19" s="174"/>
      <c r="R19" s="172">
        <v>45898</v>
      </c>
      <c r="S19" s="172"/>
      <c r="T19" s="172"/>
      <c r="U19" s="172"/>
      <c r="V19" s="172"/>
      <c r="W19" s="172"/>
      <c r="X19" s="172"/>
      <c r="Y19" s="172"/>
      <c r="Z19" s="172"/>
      <c r="AA19" s="86"/>
      <c r="AB19" s="86"/>
      <c r="AC19" s="86"/>
      <c r="AD19" s="86"/>
      <c r="AE19" s="99"/>
      <c r="AF19" s="100"/>
      <c r="AG19" s="100"/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100"/>
      <c r="AY19" s="100"/>
      <c r="AZ19" s="100"/>
      <c r="BA19" s="100"/>
      <c r="BB19" s="100"/>
      <c r="BC19" s="100"/>
      <c r="BD19" s="100"/>
      <c r="BE19" s="100"/>
      <c r="BF19" s="100"/>
      <c r="BG19" s="100"/>
      <c r="BH19" s="100"/>
      <c r="BI19" s="100"/>
      <c r="BJ19" s="100"/>
      <c r="BK19" s="100"/>
      <c r="BL19" s="100"/>
      <c r="BM19" s="100"/>
      <c r="BN19" s="100"/>
      <c r="BO19" s="100"/>
      <c r="BP19" s="100"/>
      <c r="BQ19" s="100"/>
      <c r="BR19" s="100"/>
      <c r="BS19" s="100"/>
      <c r="BT19" s="100"/>
      <c r="BU19" s="100"/>
      <c r="BV19" s="100"/>
      <c r="BW19" s="100"/>
      <c r="BX19" s="100"/>
      <c r="BY19" s="100"/>
      <c r="BZ19" s="100"/>
      <c r="CA19" s="100"/>
      <c r="CB19" s="100"/>
      <c r="CC19" s="100"/>
      <c r="CD19" s="100"/>
      <c r="CE19" s="100"/>
      <c r="CF19" s="101"/>
    </row>
    <row r="20" spans="1:84" s="83" customFormat="1" ht="26" customHeight="1" x14ac:dyDescent="0.25">
      <c r="A20" s="526" t="s">
        <v>94</v>
      </c>
      <c r="B20" s="526" t="s">
        <v>177</v>
      </c>
      <c r="C20" s="541">
        <v>150</v>
      </c>
      <c r="D20" s="526" t="s">
        <v>81</v>
      </c>
      <c r="E20" s="526" t="s">
        <v>97</v>
      </c>
      <c r="F20" s="526" t="s">
        <v>107</v>
      </c>
      <c r="G20" s="172">
        <v>45780</v>
      </c>
      <c r="H20" s="173" t="s">
        <v>157</v>
      </c>
      <c r="I20" s="84" t="s">
        <v>158</v>
      </c>
      <c r="J20" s="84" t="s">
        <v>159</v>
      </c>
      <c r="K20" s="84" t="s">
        <v>127</v>
      </c>
      <c r="L20" s="84" t="str">
        <f t="shared" si="57"/>
        <v>CHECK VALVE 10'' 150# RF, BOLTED CAP, A216</v>
      </c>
      <c r="M20" s="174">
        <v>1</v>
      </c>
      <c r="N20" s="174"/>
      <c r="O20" s="174"/>
      <c r="P20" s="174"/>
      <c r="Q20" s="174"/>
      <c r="R20" s="172">
        <v>45898</v>
      </c>
      <c r="S20" s="172"/>
      <c r="T20" s="172"/>
      <c r="U20" s="172"/>
      <c r="V20" s="172"/>
      <c r="W20" s="172"/>
      <c r="X20" s="172"/>
      <c r="Y20" s="172"/>
      <c r="Z20" s="172"/>
      <c r="AA20" s="86"/>
      <c r="AB20" s="86"/>
      <c r="AC20" s="86"/>
      <c r="AD20" s="86"/>
      <c r="AE20" s="99"/>
      <c r="AF20" s="100"/>
      <c r="AG20" s="100"/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100"/>
      <c r="AY20" s="100"/>
      <c r="AZ20" s="100"/>
      <c r="BA20" s="100"/>
      <c r="BB20" s="100"/>
      <c r="BC20" s="100"/>
      <c r="BD20" s="100"/>
      <c r="BE20" s="100"/>
      <c r="BF20" s="100"/>
      <c r="BG20" s="100"/>
      <c r="BH20" s="100"/>
      <c r="BI20" s="100"/>
      <c r="BJ20" s="100"/>
      <c r="BK20" s="100"/>
      <c r="BL20" s="100"/>
      <c r="BM20" s="100"/>
      <c r="BN20" s="100"/>
      <c r="BO20" s="100"/>
      <c r="BP20" s="100"/>
      <c r="BQ20" s="100"/>
      <c r="BR20" s="100"/>
      <c r="BS20" s="100"/>
      <c r="BT20" s="100"/>
      <c r="BU20" s="100"/>
      <c r="BV20" s="100"/>
      <c r="BW20" s="100"/>
      <c r="BX20" s="100"/>
      <c r="BY20" s="100"/>
      <c r="BZ20" s="100"/>
      <c r="CA20" s="100"/>
      <c r="CB20" s="100"/>
      <c r="CC20" s="100"/>
      <c r="CD20" s="100"/>
      <c r="CE20" s="100"/>
      <c r="CF20" s="101"/>
    </row>
    <row r="21" spans="1:84" s="83" customFormat="1" ht="26" customHeight="1" x14ac:dyDescent="0.25">
      <c r="A21" s="526" t="s">
        <v>172</v>
      </c>
      <c r="B21" s="526" t="s">
        <v>177</v>
      </c>
      <c r="C21" s="541">
        <v>150</v>
      </c>
      <c r="D21" s="526" t="s">
        <v>81</v>
      </c>
      <c r="E21" s="526" t="s">
        <v>108</v>
      </c>
      <c r="F21" s="526" t="s">
        <v>107</v>
      </c>
      <c r="G21" s="172">
        <v>45780</v>
      </c>
      <c r="H21" s="173" t="s">
        <v>157</v>
      </c>
      <c r="I21" s="84" t="s">
        <v>158</v>
      </c>
      <c r="J21" s="84" t="s">
        <v>159</v>
      </c>
      <c r="K21" s="84" t="s">
        <v>79</v>
      </c>
      <c r="L21" s="84" t="str">
        <f t="shared" si="57"/>
        <v>DBB BALL VALVE 10'' 150# RF, TRUNNION, A216</v>
      </c>
      <c r="M21" s="174">
        <v>2</v>
      </c>
      <c r="N21" s="174"/>
      <c r="O21" s="174"/>
      <c r="P21" s="174"/>
      <c r="Q21" s="174"/>
      <c r="R21" s="172">
        <v>45898</v>
      </c>
      <c r="S21" s="172"/>
      <c r="T21" s="172"/>
      <c r="U21" s="172"/>
      <c r="V21" s="172"/>
      <c r="W21" s="172"/>
      <c r="X21" s="172"/>
      <c r="Y21" s="172"/>
      <c r="Z21" s="172"/>
      <c r="AA21" s="86"/>
      <c r="AB21" s="86"/>
      <c r="AC21" s="86"/>
      <c r="AD21" s="86"/>
      <c r="AE21" s="99"/>
      <c r="AF21" s="100"/>
      <c r="AG21" s="100"/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100"/>
      <c r="AY21" s="100"/>
      <c r="AZ21" s="100"/>
      <c r="BA21" s="100"/>
      <c r="BB21" s="100"/>
      <c r="BC21" s="100"/>
      <c r="BD21" s="100"/>
      <c r="BE21" s="100"/>
      <c r="BF21" s="100"/>
      <c r="BG21" s="100"/>
      <c r="BH21" s="100"/>
      <c r="BI21" s="100"/>
      <c r="BJ21" s="100"/>
      <c r="BK21" s="100"/>
      <c r="BL21" s="100"/>
      <c r="BM21" s="100"/>
      <c r="BN21" s="100"/>
      <c r="BO21" s="100"/>
      <c r="BP21" s="100"/>
      <c r="BQ21" s="100"/>
      <c r="BR21" s="100"/>
      <c r="BS21" s="100"/>
      <c r="BT21" s="100"/>
      <c r="BU21" s="100"/>
      <c r="BV21" s="100"/>
      <c r="BW21" s="100"/>
      <c r="BX21" s="100"/>
      <c r="BY21" s="100"/>
      <c r="BZ21" s="100"/>
      <c r="CA21" s="100"/>
      <c r="CB21" s="100"/>
      <c r="CC21" s="100"/>
      <c r="CD21" s="100"/>
      <c r="CE21" s="100"/>
      <c r="CF21" s="101"/>
    </row>
    <row r="22" spans="1:84" s="83" customFormat="1" ht="26" customHeight="1" x14ac:dyDescent="0.25">
      <c r="A22" s="526" t="s">
        <v>78</v>
      </c>
      <c r="B22" s="526" t="s">
        <v>173</v>
      </c>
      <c r="C22" s="541">
        <v>800</v>
      </c>
      <c r="D22" s="526" t="s">
        <v>106</v>
      </c>
      <c r="E22" s="526" t="s">
        <v>109</v>
      </c>
      <c r="F22" s="526" t="s">
        <v>105</v>
      </c>
      <c r="G22" s="172">
        <v>45780</v>
      </c>
      <c r="H22" s="173" t="s">
        <v>157</v>
      </c>
      <c r="I22" s="84" t="s">
        <v>158</v>
      </c>
      <c r="J22" s="84" t="s">
        <v>159</v>
      </c>
      <c r="K22" s="84" t="s">
        <v>161</v>
      </c>
      <c r="L22" s="84" t="str">
        <f t="shared" si="57"/>
        <v>BALL VALVE 3/4'' 800# SW, FLOATING, A105</v>
      </c>
      <c r="M22" s="174">
        <v>4</v>
      </c>
      <c r="N22" s="174"/>
      <c r="O22" s="174"/>
      <c r="P22" s="174"/>
      <c r="Q22" s="174"/>
      <c r="R22" s="172">
        <v>45898</v>
      </c>
      <c r="S22" s="172"/>
      <c r="T22" s="172"/>
      <c r="U22" s="172"/>
      <c r="V22" s="172"/>
      <c r="W22" s="172"/>
      <c r="X22" s="172"/>
      <c r="Y22" s="172"/>
      <c r="Z22" s="172"/>
      <c r="AA22" s="86"/>
      <c r="AB22" s="86"/>
      <c r="AC22" s="86"/>
      <c r="AD22" s="86"/>
      <c r="AE22" s="99"/>
      <c r="AF22" s="100"/>
      <c r="AG22" s="100"/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100"/>
      <c r="AY22" s="100"/>
      <c r="AZ22" s="100"/>
      <c r="BA22" s="100"/>
      <c r="BB22" s="100"/>
      <c r="BC22" s="100"/>
      <c r="BD22" s="100"/>
      <c r="BE22" s="100"/>
      <c r="BF22" s="100"/>
      <c r="BG22" s="100"/>
      <c r="BH22" s="100"/>
      <c r="BI22" s="100"/>
      <c r="BJ22" s="100"/>
      <c r="BK22" s="100"/>
      <c r="BL22" s="100"/>
      <c r="BM22" s="100"/>
      <c r="BN22" s="100"/>
      <c r="BO22" s="100"/>
      <c r="BP22" s="100"/>
      <c r="BQ22" s="100"/>
      <c r="BR22" s="100"/>
      <c r="BS22" s="100"/>
      <c r="BT22" s="100"/>
      <c r="BU22" s="100"/>
      <c r="BV22" s="100"/>
      <c r="BW22" s="100"/>
      <c r="BX22" s="100"/>
      <c r="BY22" s="100"/>
      <c r="BZ22" s="100"/>
      <c r="CA22" s="100"/>
      <c r="CB22" s="100"/>
      <c r="CC22" s="100"/>
      <c r="CD22" s="100"/>
      <c r="CE22" s="100"/>
      <c r="CF22" s="101"/>
    </row>
    <row r="23" spans="1:84" s="83" customFormat="1" ht="26" customHeight="1" x14ac:dyDescent="0.25">
      <c r="A23" s="526" t="s">
        <v>94</v>
      </c>
      <c r="B23" s="526" t="s">
        <v>174</v>
      </c>
      <c r="C23" s="541">
        <v>150</v>
      </c>
      <c r="D23" s="526" t="s">
        <v>81</v>
      </c>
      <c r="E23" s="526" t="s">
        <v>97</v>
      </c>
      <c r="F23" s="526" t="s">
        <v>181</v>
      </c>
      <c r="G23" s="172">
        <v>45780</v>
      </c>
      <c r="H23" s="173" t="s">
        <v>157</v>
      </c>
      <c r="I23" s="84" t="s">
        <v>158</v>
      </c>
      <c r="J23" s="84" t="s">
        <v>159</v>
      </c>
      <c r="K23" s="84" t="s">
        <v>131</v>
      </c>
      <c r="L23" s="84" t="str">
        <f t="shared" si="57"/>
        <v>CHECK VALVE 2'' 150# RF, BOLTED CAP, A351</v>
      </c>
      <c r="M23" s="174">
        <v>3</v>
      </c>
      <c r="N23" s="174"/>
      <c r="O23" s="174"/>
      <c r="P23" s="174"/>
      <c r="Q23" s="174"/>
      <c r="R23" s="172">
        <v>45898</v>
      </c>
      <c r="S23" s="172"/>
      <c r="T23" s="172"/>
      <c r="U23" s="172"/>
      <c r="V23" s="172"/>
      <c r="W23" s="172"/>
      <c r="X23" s="172"/>
      <c r="Y23" s="172"/>
      <c r="Z23" s="172"/>
      <c r="AA23" s="86"/>
      <c r="AB23" s="86"/>
      <c r="AC23" s="86"/>
      <c r="AD23" s="86"/>
      <c r="AE23" s="99"/>
      <c r="AF23" s="100"/>
      <c r="AG23" s="100"/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100"/>
      <c r="AY23" s="100"/>
      <c r="AZ23" s="100"/>
      <c r="BA23" s="100"/>
      <c r="BB23" s="100"/>
      <c r="BC23" s="100"/>
      <c r="BD23" s="100"/>
      <c r="BE23" s="100"/>
      <c r="BF23" s="100"/>
      <c r="BG23" s="100"/>
      <c r="BH23" s="100"/>
      <c r="BI23" s="100"/>
      <c r="BJ23" s="100"/>
      <c r="BK23" s="100"/>
      <c r="BL23" s="100"/>
      <c r="BM23" s="100"/>
      <c r="BN23" s="100"/>
      <c r="BO23" s="100"/>
      <c r="BP23" s="100"/>
      <c r="BQ23" s="100"/>
      <c r="BR23" s="100"/>
      <c r="BS23" s="100"/>
      <c r="BT23" s="100"/>
      <c r="BU23" s="100"/>
      <c r="BV23" s="100"/>
      <c r="BW23" s="100"/>
      <c r="BX23" s="100"/>
      <c r="BY23" s="100"/>
      <c r="BZ23" s="100"/>
      <c r="CA23" s="100"/>
      <c r="CB23" s="100"/>
      <c r="CC23" s="100"/>
      <c r="CD23" s="100"/>
      <c r="CE23" s="100"/>
      <c r="CF23" s="101"/>
    </row>
    <row r="24" spans="1:84" s="83" customFormat="1" ht="26" customHeight="1" x14ac:dyDescent="0.25">
      <c r="A24" s="526" t="s">
        <v>78</v>
      </c>
      <c r="B24" s="526" t="s">
        <v>173</v>
      </c>
      <c r="C24" s="541">
        <v>800</v>
      </c>
      <c r="D24" s="526" t="s">
        <v>106</v>
      </c>
      <c r="E24" s="526" t="s">
        <v>109</v>
      </c>
      <c r="F24" s="526" t="s">
        <v>180</v>
      </c>
      <c r="G24" s="172">
        <v>45780</v>
      </c>
      <c r="H24" s="173" t="s">
        <v>157</v>
      </c>
      <c r="I24" s="84" t="s">
        <v>158</v>
      </c>
      <c r="J24" s="84" t="s">
        <v>159</v>
      </c>
      <c r="K24" s="84" t="s">
        <v>162</v>
      </c>
      <c r="L24" s="84" t="str">
        <f t="shared" si="57"/>
        <v>BALL VALVE 3/4'' 800# SW, FLOATING, A182</v>
      </c>
      <c r="M24" s="174">
        <v>2</v>
      </c>
      <c r="N24" s="174"/>
      <c r="O24" s="174"/>
      <c r="P24" s="174"/>
      <c r="Q24" s="174"/>
      <c r="R24" s="172">
        <v>45898</v>
      </c>
      <c r="S24" s="172"/>
      <c r="T24" s="172"/>
      <c r="U24" s="172"/>
      <c r="V24" s="172"/>
      <c r="W24" s="172"/>
      <c r="X24" s="172"/>
      <c r="Y24" s="172"/>
      <c r="Z24" s="172"/>
      <c r="AA24" s="86"/>
      <c r="AB24" s="86"/>
      <c r="AC24" s="86"/>
      <c r="AD24" s="86"/>
      <c r="AE24" s="99"/>
      <c r="AF24" s="100"/>
      <c r="AG24" s="100"/>
      <c r="AH24" s="100"/>
      <c r="AI24" s="100"/>
      <c r="AJ24" s="100"/>
      <c r="AK24" s="100"/>
      <c r="AL24" s="100"/>
      <c r="AM24" s="100"/>
      <c r="AN24" s="100"/>
      <c r="AO24" s="100"/>
      <c r="AP24" s="100"/>
      <c r="AQ24" s="100"/>
      <c r="AR24" s="100"/>
      <c r="AS24" s="100"/>
      <c r="AT24" s="100"/>
      <c r="AU24" s="100"/>
      <c r="AV24" s="100"/>
      <c r="AW24" s="100"/>
      <c r="AX24" s="100"/>
      <c r="AY24" s="100"/>
      <c r="AZ24" s="100"/>
      <c r="BA24" s="100"/>
      <c r="BB24" s="100"/>
      <c r="BC24" s="100"/>
      <c r="BD24" s="100"/>
      <c r="BE24" s="100"/>
      <c r="BF24" s="100"/>
      <c r="BG24" s="100"/>
      <c r="BH24" s="100"/>
      <c r="BI24" s="100"/>
      <c r="BJ24" s="100"/>
      <c r="BK24" s="100"/>
      <c r="BL24" s="100"/>
      <c r="BM24" s="100"/>
      <c r="BN24" s="100"/>
      <c r="BO24" s="100"/>
      <c r="BP24" s="100"/>
      <c r="BQ24" s="100"/>
      <c r="BR24" s="100"/>
      <c r="BS24" s="100"/>
      <c r="BT24" s="100"/>
      <c r="BU24" s="100"/>
      <c r="BV24" s="100"/>
      <c r="BW24" s="100"/>
      <c r="BX24" s="100"/>
      <c r="BY24" s="100"/>
      <c r="BZ24" s="100"/>
      <c r="CA24" s="100"/>
      <c r="CB24" s="100"/>
      <c r="CC24" s="100"/>
      <c r="CD24" s="100"/>
      <c r="CE24" s="100"/>
      <c r="CF24" s="101"/>
    </row>
    <row r="25" spans="1:84" s="83" customFormat="1" ht="26" customHeight="1" x14ac:dyDescent="0.25">
      <c r="A25" s="526" t="s">
        <v>78</v>
      </c>
      <c r="B25" s="526" t="s">
        <v>173</v>
      </c>
      <c r="C25" s="541">
        <v>800</v>
      </c>
      <c r="D25" s="526" t="s">
        <v>106</v>
      </c>
      <c r="E25" s="526" t="s">
        <v>109</v>
      </c>
      <c r="F25" s="526" t="s">
        <v>180</v>
      </c>
      <c r="G25" s="172">
        <v>45780</v>
      </c>
      <c r="H25" s="173" t="s">
        <v>157</v>
      </c>
      <c r="I25" s="84" t="s">
        <v>158</v>
      </c>
      <c r="J25" s="84" t="s">
        <v>159</v>
      </c>
      <c r="K25" s="84" t="s">
        <v>128</v>
      </c>
      <c r="L25" s="84" t="str">
        <f t="shared" si="57"/>
        <v>BALL VALVE 3/4'' 800# SW, FLOATING, A182</v>
      </c>
      <c r="M25" s="174">
        <v>2</v>
      </c>
      <c r="N25" s="174"/>
      <c r="O25" s="174"/>
      <c r="P25" s="174"/>
      <c r="Q25" s="174"/>
      <c r="R25" s="172">
        <v>45898</v>
      </c>
      <c r="S25" s="172"/>
      <c r="T25" s="172"/>
      <c r="U25" s="172"/>
      <c r="V25" s="172"/>
      <c r="W25" s="172"/>
      <c r="X25" s="172"/>
      <c r="Y25" s="172"/>
      <c r="Z25" s="172"/>
      <c r="AA25" s="86"/>
      <c r="AB25" s="86"/>
      <c r="AC25" s="86"/>
      <c r="AD25" s="86"/>
      <c r="AE25" s="99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00"/>
      <c r="BB25" s="100"/>
      <c r="BC25" s="100"/>
      <c r="BD25" s="100"/>
      <c r="BE25" s="100"/>
      <c r="BF25" s="100"/>
      <c r="BG25" s="100"/>
      <c r="BH25" s="100"/>
      <c r="BI25" s="100"/>
      <c r="BJ25" s="100"/>
      <c r="BK25" s="100"/>
      <c r="BL25" s="100"/>
      <c r="BM25" s="100"/>
      <c r="BN25" s="100"/>
      <c r="BO25" s="100"/>
      <c r="BP25" s="100"/>
      <c r="BQ25" s="100"/>
      <c r="BR25" s="100"/>
      <c r="BS25" s="100"/>
      <c r="BT25" s="100"/>
      <c r="BU25" s="100"/>
      <c r="BV25" s="100"/>
      <c r="BW25" s="100"/>
      <c r="BX25" s="100"/>
      <c r="BY25" s="100"/>
      <c r="BZ25" s="100"/>
      <c r="CA25" s="100"/>
      <c r="CB25" s="100"/>
      <c r="CC25" s="100"/>
      <c r="CD25" s="100"/>
      <c r="CE25" s="100"/>
      <c r="CF25" s="101"/>
    </row>
    <row r="26" spans="1:84" s="83" customFormat="1" ht="26" customHeight="1" x14ac:dyDescent="0.25">
      <c r="A26" s="526" t="s">
        <v>78</v>
      </c>
      <c r="B26" s="526" t="s">
        <v>88</v>
      </c>
      <c r="C26" s="541">
        <v>800</v>
      </c>
      <c r="D26" s="526" t="s">
        <v>106</v>
      </c>
      <c r="E26" s="526" t="s">
        <v>109</v>
      </c>
      <c r="F26" s="526" t="s">
        <v>182</v>
      </c>
      <c r="G26" s="172">
        <v>45780</v>
      </c>
      <c r="H26" s="173" t="s">
        <v>157</v>
      </c>
      <c r="I26" s="84" t="s">
        <v>158</v>
      </c>
      <c r="J26" s="84" t="s">
        <v>159</v>
      </c>
      <c r="K26" s="84" t="s">
        <v>163</v>
      </c>
      <c r="L26" s="84" t="str">
        <f t="shared" si="57"/>
        <v>BALL VALVE 3/4" 800# SW, FLOATING, B148</v>
      </c>
      <c r="M26" s="174">
        <v>4</v>
      </c>
      <c r="N26" s="174"/>
      <c r="O26" s="174"/>
      <c r="P26" s="174"/>
      <c r="Q26" s="174"/>
      <c r="R26" s="172">
        <v>45898</v>
      </c>
      <c r="S26" s="172"/>
      <c r="T26" s="172"/>
      <c r="U26" s="172"/>
      <c r="V26" s="172"/>
      <c r="W26" s="172"/>
      <c r="X26" s="172"/>
      <c r="Y26" s="172"/>
      <c r="Z26" s="172"/>
      <c r="AA26" s="86"/>
      <c r="AB26" s="86"/>
      <c r="AC26" s="86"/>
      <c r="AD26" s="86"/>
      <c r="AE26" s="99"/>
      <c r="AF26" s="100"/>
      <c r="AG26" s="100"/>
      <c r="AH26" s="100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100"/>
      <c r="AY26" s="100"/>
      <c r="AZ26" s="100"/>
      <c r="BA26" s="100"/>
      <c r="BB26" s="100"/>
      <c r="BC26" s="100"/>
      <c r="BD26" s="100"/>
      <c r="BE26" s="100"/>
      <c r="BF26" s="100"/>
      <c r="BG26" s="100"/>
      <c r="BH26" s="100"/>
      <c r="BI26" s="100"/>
      <c r="BJ26" s="100"/>
      <c r="BK26" s="100"/>
      <c r="BL26" s="100"/>
      <c r="BM26" s="100"/>
      <c r="BN26" s="100"/>
      <c r="BO26" s="100"/>
      <c r="BP26" s="100"/>
      <c r="BQ26" s="100"/>
      <c r="BR26" s="100"/>
      <c r="BS26" s="100"/>
      <c r="BT26" s="100"/>
      <c r="BU26" s="100"/>
      <c r="BV26" s="100"/>
      <c r="BW26" s="100"/>
      <c r="BX26" s="100"/>
      <c r="BY26" s="100"/>
      <c r="BZ26" s="100"/>
      <c r="CA26" s="100"/>
      <c r="CB26" s="100"/>
      <c r="CC26" s="100"/>
      <c r="CD26" s="100"/>
      <c r="CE26" s="100"/>
      <c r="CF26" s="101"/>
    </row>
    <row r="27" spans="1:84" s="83" customFormat="1" ht="26" customHeight="1" x14ac:dyDescent="0.25">
      <c r="A27" s="526" t="s">
        <v>94</v>
      </c>
      <c r="B27" s="526" t="s">
        <v>80</v>
      </c>
      <c r="C27" s="541">
        <v>150</v>
      </c>
      <c r="D27" s="526" t="s">
        <v>81</v>
      </c>
      <c r="E27" s="526" t="s">
        <v>97</v>
      </c>
      <c r="F27" s="526" t="s">
        <v>182</v>
      </c>
      <c r="G27" s="172">
        <v>45780</v>
      </c>
      <c r="H27" s="173" t="s">
        <v>157</v>
      </c>
      <c r="I27" s="84" t="s">
        <v>158</v>
      </c>
      <c r="J27" s="84" t="s">
        <v>159</v>
      </c>
      <c r="K27" s="84" t="s">
        <v>164</v>
      </c>
      <c r="L27" s="84" t="str">
        <f t="shared" si="57"/>
        <v>CHECK VALVE 10" 150# RF, BOLTED CAP, B148</v>
      </c>
      <c r="M27" s="174">
        <v>1</v>
      </c>
      <c r="N27" s="174"/>
      <c r="O27" s="174"/>
      <c r="P27" s="174"/>
      <c r="Q27" s="174"/>
      <c r="R27" s="172">
        <v>45898</v>
      </c>
      <c r="S27" s="172"/>
      <c r="T27" s="172"/>
      <c r="U27" s="172"/>
      <c r="V27" s="172"/>
      <c r="W27" s="172"/>
      <c r="X27" s="172"/>
      <c r="Y27" s="172"/>
      <c r="Z27" s="172"/>
      <c r="AA27" s="86"/>
      <c r="AB27" s="86"/>
      <c r="AC27" s="86"/>
      <c r="AD27" s="86"/>
      <c r="AE27" s="99"/>
      <c r="AF27" s="100"/>
      <c r="AG27" s="100"/>
      <c r="AH27" s="10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  <c r="AV27" s="100"/>
      <c r="AW27" s="100"/>
      <c r="AX27" s="100"/>
      <c r="AY27" s="100"/>
      <c r="AZ27" s="100"/>
      <c r="BA27" s="100"/>
      <c r="BB27" s="100"/>
      <c r="BC27" s="100"/>
      <c r="BD27" s="100"/>
      <c r="BE27" s="100"/>
      <c r="BF27" s="100"/>
      <c r="BG27" s="100"/>
      <c r="BH27" s="100"/>
      <c r="BI27" s="100"/>
      <c r="BJ27" s="100"/>
      <c r="BK27" s="100"/>
      <c r="BL27" s="100"/>
      <c r="BM27" s="100"/>
      <c r="BN27" s="100"/>
      <c r="BO27" s="100"/>
      <c r="BP27" s="100"/>
      <c r="BQ27" s="100"/>
      <c r="BR27" s="100"/>
      <c r="BS27" s="100"/>
      <c r="BT27" s="100"/>
      <c r="BU27" s="100"/>
      <c r="BV27" s="100"/>
      <c r="BW27" s="100"/>
      <c r="BX27" s="100"/>
      <c r="BY27" s="100"/>
      <c r="BZ27" s="100"/>
      <c r="CA27" s="100"/>
      <c r="CB27" s="100"/>
      <c r="CC27" s="100"/>
      <c r="CD27" s="100"/>
      <c r="CE27" s="100"/>
      <c r="CF27" s="101"/>
    </row>
    <row r="28" spans="1:84" s="83" customFormat="1" ht="26" customHeight="1" x14ac:dyDescent="0.25">
      <c r="A28" s="526" t="s">
        <v>90</v>
      </c>
      <c r="B28" s="526" t="s">
        <v>173</v>
      </c>
      <c r="C28" s="541">
        <v>800</v>
      </c>
      <c r="D28" s="526" t="s">
        <v>106</v>
      </c>
      <c r="E28" s="526" t="s">
        <v>1218</v>
      </c>
      <c r="F28" s="526" t="s">
        <v>180</v>
      </c>
      <c r="G28" s="172">
        <v>45780</v>
      </c>
      <c r="H28" s="173" t="s">
        <v>157</v>
      </c>
      <c r="I28" s="84" t="s">
        <v>158</v>
      </c>
      <c r="J28" s="84" t="s">
        <v>159</v>
      </c>
      <c r="K28" s="84" t="s">
        <v>165</v>
      </c>
      <c r="L28" s="84" t="str">
        <f t="shared" si="57"/>
        <v>GATE VALVE 3/4'' 800# SW, BB-OS&amp;Y, A182</v>
      </c>
      <c r="M28" s="174">
        <v>2</v>
      </c>
      <c r="N28" s="174"/>
      <c r="O28" s="174"/>
      <c r="P28" s="174"/>
      <c r="Q28" s="174"/>
      <c r="R28" s="172">
        <v>45898</v>
      </c>
      <c r="S28" s="172"/>
      <c r="T28" s="172"/>
      <c r="U28" s="172"/>
      <c r="V28" s="172"/>
      <c r="W28" s="172"/>
      <c r="X28" s="172"/>
      <c r="Y28" s="172"/>
      <c r="Z28" s="172"/>
      <c r="AA28" s="86"/>
      <c r="AB28" s="86"/>
      <c r="AC28" s="86"/>
      <c r="AD28" s="86"/>
      <c r="AE28" s="99"/>
      <c r="AF28" s="100"/>
      <c r="AG28" s="100"/>
      <c r="AH28" s="100"/>
      <c r="AI28" s="100"/>
      <c r="AJ28" s="100"/>
      <c r="AK28" s="100"/>
      <c r="AL28" s="100"/>
      <c r="AM28" s="100"/>
      <c r="AN28" s="100"/>
      <c r="AO28" s="100"/>
      <c r="AP28" s="100"/>
      <c r="AQ28" s="100"/>
      <c r="AR28" s="100"/>
      <c r="AS28" s="100"/>
      <c r="AT28" s="100"/>
      <c r="AU28" s="100"/>
      <c r="AV28" s="100"/>
      <c r="AW28" s="100"/>
      <c r="AX28" s="100"/>
      <c r="AY28" s="100"/>
      <c r="AZ28" s="100"/>
      <c r="BA28" s="100"/>
      <c r="BB28" s="100"/>
      <c r="BC28" s="100"/>
      <c r="BD28" s="100"/>
      <c r="BE28" s="100"/>
      <c r="BF28" s="100"/>
      <c r="BG28" s="100"/>
      <c r="BH28" s="100"/>
      <c r="BI28" s="100"/>
      <c r="BJ28" s="100"/>
      <c r="BK28" s="100"/>
      <c r="BL28" s="100"/>
      <c r="BM28" s="100"/>
      <c r="BN28" s="100"/>
      <c r="BO28" s="100"/>
      <c r="BP28" s="100"/>
      <c r="BQ28" s="100"/>
      <c r="BR28" s="100"/>
      <c r="BS28" s="100"/>
      <c r="BT28" s="100"/>
      <c r="BU28" s="100"/>
      <c r="BV28" s="100"/>
      <c r="BW28" s="100"/>
      <c r="BX28" s="100"/>
      <c r="BY28" s="100"/>
      <c r="BZ28" s="100"/>
      <c r="CA28" s="100"/>
      <c r="CB28" s="100"/>
      <c r="CC28" s="100"/>
      <c r="CD28" s="100"/>
      <c r="CE28" s="100"/>
      <c r="CF28" s="101"/>
    </row>
    <row r="29" spans="1:84" s="83" customFormat="1" ht="26" customHeight="1" x14ac:dyDescent="0.25">
      <c r="A29" s="526" t="s">
        <v>90</v>
      </c>
      <c r="B29" s="526" t="s">
        <v>88</v>
      </c>
      <c r="C29" s="541">
        <v>800</v>
      </c>
      <c r="D29" s="526" t="s">
        <v>106</v>
      </c>
      <c r="E29" s="526" t="s">
        <v>1218</v>
      </c>
      <c r="F29" s="526" t="s">
        <v>180</v>
      </c>
      <c r="G29" s="172">
        <v>45780</v>
      </c>
      <c r="H29" s="173" t="s">
        <v>157</v>
      </c>
      <c r="I29" s="84" t="s">
        <v>158</v>
      </c>
      <c r="J29" s="84" t="s">
        <v>159</v>
      </c>
      <c r="K29" s="84" t="s">
        <v>166</v>
      </c>
      <c r="L29" s="84" t="str">
        <f t="shared" si="57"/>
        <v>GATE VALVE 3/4" 800# SW, BB-OS&amp;Y, A182</v>
      </c>
      <c r="M29" s="174">
        <v>2</v>
      </c>
      <c r="N29" s="174"/>
      <c r="O29" s="174"/>
      <c r="P29" s="174"/>
      <c r="Q29" s="174"/>
      <c r="R29" s="172">
        <v>45898</v>
      </c>
      <c r="S29" s="172"/>
      <c r="T29" s="172"/>
      <c r="U29" s="172"/>
      <c r="V29" s="172"/>
      <c r="W29" s="172"/>
      <c r="X29" s="172"/>
      <c r="Y29" s="172"/>
      <c r="Z29" s="172"/>
      <c r="AA29" s="86"/>
      <c r="AB29" s="86"/>
      <c r="AC29" s="86"/>
      <c r="AD29" s="86"/>
      <c r="AE29" s="99"/>
      <c r="AF29" s="100"/>
      <c r="AG29" s="100"/>
      <c r="AH29" s="100"/>
      <c r="AI29" s="100"/>
      <c r="AJ29" s="100"/>
      <c r="AK29" s="100"/>
      <c r="AL29" s="100"/>
      <c r="AM29" s="100"/>
      <c r="AN29" s="100"/>
      <c r="AO29" s="100"/>
      <c r="AP29" s="100"/>
      <c r="AQ29" s="100"/>
      <c r="AR29" s="100"/>
      <c r="AS29" s="100"/>
      <c r="AT29" s="100"/>
      <c r="AU29" s="100"/>
      <c r="AV29" s="100"/>
      <c r="AW29" s="100"/>
      <c r="AX29" s="100"/>
      <c r="AY29" s="100"/>
      <c r="AZ29" s="100"/>
      <c r="BA29" s="100"/>
      <c r="BB29" s="100"/>
      <c r="BC29" s="100"/>
      <c r="BD29" s="100"/>
      <c r="BE29" s="100"/>
      <c r="BF29" s="100"/>
      <c r="BG29" s="100"/>
      <c r="BH29" s="100"/>
      <c r="BI29" s="100"/>
      <c r="BJ29" s="100"/>
      <c r="BK29" s="100"/>
      <c r="BL29" s="100"/>
      <c r="BM29" s="100"/>
      <c r="BN29" s="100"/>
      <c r="BO29" s="100"/>
      <c r="BP29" s="100"/>
      <c r="BQ29" s="100"/>
      <c r="BR29" s="100"/>
      <c r="BS29" s="100"/>
      <c r="BT29" s="100"/>
      <c r="BU29" s="100"/>
      <c r="BV29" s="100"/>
      <c r="BW29" s="100"/>
      <c r="BX29" s="100"/>
      <c r="BY29" s="100"/>
      <c r="BZ29" s="100"/>
      <c r="CA29" s="100"/>
      <c r="CB29" s="100"/>
      <c r="CC29" s="100"/>
      <c r="CD29" s="100"/>
      <c r="CE29" s="100"/>
      <c r="CF29" s="101"/>
    </row>
    <row r="30" spans="1:84" s="83" customFormat="1" ht="26" customHeight="1" x14ac:dyDescent="0.25">
      <c r="A30" s="526" t="s">
        <v>90</v>
      </c>
      <c r="B30" s="526" t="s">
        <v>120</v>
      </c>
      <c r="C30" s="541">
        <v>150</v>
      </c>
      <c r="D30" s="526" t="s">
        <v>178</v>
      </c>
      <c r="E30" s="526" t="s">
        <v>1218</v>
      </c>
      <c r="F30" s="526" t="s">
        <v>182</v>
      </c>
      <c r="G30" s="172">
        <v>45780</v>
      </c>
      <c r="H30" s="173" t="s">
        <v>157</v>
      </c>
      <c r="I30" s="84" t="s">
        <v>158</v>
      </c>
      <c r="J30" s="84" t="s">
        <v>159</v>
      </c>
      <c r="K30" s="84" t="s">
        <v>167</v>
      </c>
      <c r="L30" s="84" t="str">
        <f t="shared" si="57"/>
        <v>GATE VALVE 8" 150# FF, BB-OS&amp;Y, B148</v>
      </c>
      <c r="M30" s="174">
        <v>3</v>
      </c>
      <c r="N30" s="174"/>
      <c r="O30" s="174"/>
      <c r="P30" s="174"/>
      <c r="Q30" s="174"/>
      <c r="R30" s="172">
        <v>45898</v>
      </c>
      <c r="S30" s="172"/>
      <c r="T30" s="172"/>
      <c r="U30" s="172"/>
      <c r="V30" s="172"/>
      <c r="W30" s="172"/>
      <c r="X30" s="172"/>
      <c r="Y30" s="172"/>
      <c r="Z30" s="172"/>
      <c r="AA30" s="86"/>
      <c r="AB30" s="86"/>
      <c r="AC30" s="86"/>
      <c r="AD30" s="86"/>
      <c r="AE30" s="99"/>
      <c r="AF30" s="100"/>
      <c r="AG30" s="100"/>
      <c r="AH30" s="100"/>
      <c r="AI30" s="100"/>
      <c r="AJ30" s="100"/>
      <c r="AK30" s="100"/>
      <c r="AL30" s="100"/>
      <c r="AM30" s="100"/>
      <c r="AN30" s="100"/>
      <c r="AO30" s="100"/>
      <c r="AP30" s="100"/>
      <c r="AQ30" s="100"/>
      <c r="AR30" s="100"/>
      <c r="AS30" s="100"/>
      <c r="AT30" s="100"/>
      <c r="AU30" s="100"/>
      <c r="AV30" s="100"/>
      <c r="AW30" s="100"/>
      <c r="AX30" s="100"/>
      <c r="AY30" s="100"/>
      <c r="AZ30" s="100"/>
      <c r="BA30" s="100"/>
      <c r="BB30" s="100"/>
      <c r="BC30" s="100"/>
      <c r="BD30" s="100"/>
      <c r="BE30" s="100"/>
      <c r="BF30" s="100"/>
      <c r="BG30" s="100"/>
      <c r="BH30" s="100"/>
      <c r="BI30" s="100"/>
      <c r="BJ30" s="100"/>
      <c r="BK30" s="100"/>
      <c r="BL30" s="100"/>
      <c r="BM30" s="100"/>
      <c r="BN30" s="100"/>
      <c r="BO30" s="100"/>
      <c r="BP30" s="100"/>
      <c r="BQ30" s="100"/>
      <c r="BR30" s="100"/>
      <c r="BS30" s="100"/>
      <c r="BT30" s="100"/>
      <c r="BU30" s="100"/>
      <c r="BV30" s="100"/>
      <c r="BW30" s="100"/>
      <c r="BX30" s="100"/>
      <c r="BY30" s="100"/>
      <c r="BZ30" s="100"/>
      <c r="CA30" s="100"/>
      <c r="CB30" s="100"/>
      <c r="CC30" s="100"/>
      <c r="CD30" s="100"/>
      <c r="CE30" s="100"/>
      <c r="CF30" s="101"/>
    </row>
    <row r="31" spans="1:84" s="83" customFormat="1" ht="26" customHeight="1" x14ac:dyDescent="0.25">
      <c r="A31" s="526" t="s">
        <v>90</v>
      </c>
      <c r="B31" s="526" t="s">
        <v>80</v>
      </c>
      <c r="C31" s="541">
        <v>150</v>
      </c>
      <c r="D31" s="526" t="s">
        <v>81</v>
      </c>
      <c r="E31" s="526" t="s">
        <v>1218</v>
      </c>
      <c r="F31" s="526" t="s">
        <v>182</v>
      </c>
      <c r="G31" s="172">
        <v>45780</v>
      </c>
      <c r="H31" s="173" t="s">
        <v>157</v>
      </c>
      <c r="I31" s="84" t="s">
        <v>158</v>
      </c>
      <c r="J31" s="84" t="s">
        <v>159</v>
      </c>
      <c r="K31" s="84" t="s">
        <v>168</v>
      </c>
      <c r="L31" s="84" t="str">
        <f t="shared" si="57"/>
        <v>GATE VALVE 10" 150# RF, BB-OS&amp;Y, B148</v>
      </c>
      <c r="M31" s="174">
        <v>2</v>
      </c>
      <c r="N31" s="174"/>
      <c r="O31" s="174"/>
      <c r="P31" s="174"/>
      <c r="Q31" s="174"/>
      <c r="R31" s="172">
        <v>45898</v>
      </c>
      <c r="S31" s="172"/>
      <c r="T31" s="172"/>
      <c r="U31" s="172"/>
      <c r="V31" s="172"/>
      <c r="W31" s="172"/>
      <c r="X31" s="172"/>
      <c r="Y31" s="172"/>
      <c r="Z31" s="172"/>
      <c r="AA31" s="86"/>
      <c r="AB31" s="86"/>
      <c r="AC31" s="86"/>
      <c r="AD31" s="86"/>
      <c r="AE31" s="99"/>
      <c r="AF31" s="100"/>
      <c r="AG31" s="100"/>
      <c r="AH31" s="100"/>
      <c r="AI31" s="100"/>
      <c r="AJ31" s="100"/>
      <c r="AK31" s="100"/>
      <c r="AL31" s="100"/>
      <c r="AM31" s="100"/>
      <c r="AN31" s="100"/>
      <c r="AO31" s="100"/>
      <c r="AP31" s="100"/>
      <c r="AQ31" s="100"/>
      <c r="AR31" s="100"/>
      <c r="AS31" s="100"/>
      <c r="AT31" s="100"/>
      <c r="AU31" s="100"/>
      <c r="AV31" s="100"/>
      <c r="AW31" s="100"/>
      <c r="AX31" s="100"/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100"/>
      <c r="BY31" s="100"/>
      <c r="BZ31" s="100"/>
      <c r="CA31" s="100"/>
      <c r="CB31" s="100"/>
      <c r="CC31" s="100"/>
      <c r="CD31" s="100"/>
      <c r="CE31" s="100"/>
      <c r="CF31" s="101"/>
    </row>
    <row r="32" spans="1:84" s="83" customFormat="1" ht="26" customHeight="1" x14ac:dyDescent="0.25">
      <c r="A32" s="526" t="s">
        <v>90</v>
      </c>
      <c r="B32" s="526" t="s">
        <v>179</v>
      </c>
      <c r="C32" s="541">
        <v>150</v>
      </c>
      <c r="D32" s="526" t="s">
        <v>81</v>
      </c>
      <c r="E32" s="526" t="s">
        <v>1218</v>
      </c>
      <c r="F32" s="526" t="s">
        <v>107</v>
      </c>
      <c r="G32" s="172">
        <v>45780</v>
      </c>
      <c r="H32" s="173" t="s">
        <v>157</v>
      </c>
      <c r="I32" s="84" t="s">
        <v>158</v>
      </c>
      <c r="J32" s="84" t="s">
        <v>159</v>
      </c>
      <c r="K32" s="84" t="s">
        <v>125</v>
      </c>
      <c r="L32" s="84" t="str">
        <f t="shared" si="57"/>
        <v>GATE VALVE 14" 150# RF, BB-OS&amp;Y, A216</v>
      </c>
      <c r="M32" s="174">
        <v>1</v>
      </c>
      <c r="N32" s="174"/>
      <c r="O32" s="174"/>
      <c r="P32" s="174"/>
      <c r="Q32" s="174"/>
      <c r="R32" s="172">
        <v>45898</v>
      </c>
      <c r="S32" s="172"/>
      <c r="T32" s="172"/>
      <c r="U32" s="172"/>
      <c r="V32" s="172"/>
      <c r="W32" s="172"/>
      <c r="X32" s="172"/>
      <c r="Y32" s="172"/>
      <c r="Z32" s="172"/>
      <c r="AA32" s="86"/>
      <c r="AB32" s="86"/>
      <c r="AC32" s="86"/>
      <c r="AD32" s="86"/>
      <c r="AE32" s="99"/>
      <c r="AF32" s="100"/>
      <c r="AG32" s="100"/>
      <c r="AH32" s="100"/>
      <c r="AI32" s="100"/>
      <c r="AJ32" s="100"/>
      <c r="AK32" s="100"/>
      <c r="AL32" s="100"/>
      <c r="AM32" s="100"/>
      <c r="AN32" s="100"/>
      <c r="AO32" s="100"/>
      <c r="AP32" s="100"/>
      <c r="AQ32" s="100"/>
      <c r="AR32" s="100"/>
      <c r="AS32" s="100"/>
      <c r="AT32" s="100"/>
      <c r="AU32" s="100"/>
      <c r="AV32" s="100"/>
      <c r="AW32" s="100"/>
      <c r="AX32" s="100"/>
      <c r="AY32" s="100"/>
      <c r="AZ32" s="100"/>
      <c r="BA32" s="100"/>
      <c r="BB32" s="100"/>
      <c r="BC32" s="100"/>
      <c r="BD32" s="100"/>
      <c r="BE32" s="100"/>
      <c r="BF32" s="100"/>
      <c r="BG32" s="100"/>
      <c r="BH32" s="100"/>
      <c r="BI32" s="100"/>
      <c r="BJ32" s="100"/>
      <c r="BK32" s="100"/>
      <c r="BL32" s="100"/>
      <c r="BM32" s="100"/>
      <c r="BN32" s="100"/>
      <c r="BO32" s="100"/>
      <c r="BP32" s="100"/>
      <c r="BQ32" s="100"/>
      <c r="BR32" s="100"/>
      <c r="BS32" s="100"/>
      <c r="BT32" s="100"/>
      <c r="BU32" s="100"/>
      <c r="BV32" s="100"/>
      <c r="BW32" s="100"/>
      <c r="BX32" s="100"/>
      <c r="BY32" s="100"/>
      <c r="BZ32" s="100"/>
      <c r="CA32" s="100"/>
      <c r="CB32" s="100"/>
      <c r="CC32" s="100"/>
      <c r="CD32" s="100"/>
      <c r="CE32" s="100"/>
      <c r="CF32" s="101"/>
    </row>
    <row r="33" spans="1:84" s="83" customFormat="1" ht="26" customHeight="1" x14ac:dyDescent="0.25">
      <c r="A33" s="526" t="s">
        <v>90</v>
      </c>
      <c r="B33" s="526" t="s">
        <v>174</v>
      </c>
      <c r="C33" s="541">
        <v>150</v>
      </c>
      <c r="D33" s="526" t="s">
        <v>81</v>
      </c>
      <c r="E33" s="526" t="s">
        <v>1218</v>
      </c>
      <c r="F33" s="526" t="s">
        <v>181</v>
      </c>
      <c r="G33" s="172">
        <v>45780</v>
      </c>
      <c r="H33" s="173" t="s">
        <v>157</v>
      </c>
      <c r="I33" s="84" t="s">
        <v>158</v>
      </c>
      <c r="J33" s="84" t="s">
        <v>159</v>
      </c>
      <c r="K33" s="84" t="s">
        <v>169</v>
      </c>
      <c r="L33" s="84" t="str">
        <f t="shared" si="57"/>
        <v>GATE VALVE 2'' 150# RF, BB-OS&amp;Y, A351</v>
      </c>
      <c r="M33" s="174">
        <v>4</v>
      </c>
      <c r="N33" s="174"/>
      <c r="O33" s="174"/>
      <c r="P33" s="174"/>
      <c r="Q33" s="174"/>
      <c r="R33" s="172">
        <v>45898</v>
      </c>
      <c r="S33" s="172"/>
      <c r="T33" s="172"/>
      <c r="U33" s="172"/>
      <c r="V33" s="172"/>
      <c r="W33" s="172"/>
      <c r="X33" s="172"/>
      <c r="Y33" s="172"/>
      <c r="Z33" s="172"/>
      <c r="AA33" s="86"/>
      <c r="AB33" s="86"/>
      <c r="AC33" s="86"/>
      <c r="AD33" s="86"/>
      <c r="AE33" s="99"/>
      <c r="AF33" s="100"/>
      <c r="AG33" s="100"/>
      <c r="AH33" s="100"/>
      <c r="AI33" s="100"/>
      <c r="AJ33" s="100"/>
      <c r="AK33" s="100"/>
      <c r="AL33" s="100"/>
      <c r="AM33" s="100"/>
      <c r="AN33" s="100"/>
      <c r="AO33" s="100"/>
      <c r="AP33" s="100"/>
      <c r="AQ33" s="100"/>
      <c r="AR33" s="100"/>
      <c r="AS33" s="100"/>
      <c r="AT33" s="100"/>
      <c r="AU33" s="100"/>
      <c r="AV33" s="100"/>
      <c r="AW33" s="100"/>
      <c r="AX33" s="100"/>
      <c r="AY33" s="100"/>
      <c r="AZ33" s="100"/>
      <c r="BA33" s="100"/>
      <c r="BB33" s="100"/>
      <c r="BC33" s="100"/>
      <c r="BD33" s="100"/>
      <c r="BE33" s="100"/>
      <c r="BF33" s="100"/>
      <c r="BG33" s="100"/>
      <c r="BH33" s="100"/>
      <c r="BI33" s="100"/>
      <c r="BJ33" s="100"/>
      <c r="BK33" s="100"/>
      <c r="BL33" s="100"/>
      <c r="BM33" s="100"/>
      <c r="BN33" s="100"/>
      <c r="BO33" s="100"/>
      <c r="BP33" s="100"/>
      <c r="BQ33" s="100"/>
      <c r="BR33" s="100"/>
      <c r="BS33" s="100"/>
      <c r="BT33" s="100"/>
      <c r="BU33" s="100"/>
      <c r="BV33" s="100"/>
      <c r="BW33" s="100"/>
      <c r="BX33" s="100"/>
      <c r="BY33" s="100"/>
      <c r="BZ33" s="100"/>
      <c r="CA33" s="100"/>
      <c r="CB33" s="100"/>
      <c r="CC33" s="100"/>
      <c r="CD33" s="100"/>
      <c r="CE33" s="100"/>
      <c r="CF33" s="101"/>
    </row>
    <row r="34" spans="1:84" s="83" customFormat="1" ht="26" customHeight="1" x14ac:dyDescent="0.25">
      <c r="A34" s="526" t="s">
        <v>90</v>
      </c>
      <c r="B34" s="526" t="s">
        <v>88</v>
      </c>
      <c r="C34" s="541">
        <v>150</v>
      </c>
      <c r="D34" s="526" t="s">
        <v>178</v>
      </c>
      <c r="E34" s="526" t="s">
        <v>1218</v>
      </c>
      <c r="F34" s="526" t="s">
        <v>182</v>
      </c>
      <c r="G34" s="172">
        <v>45780</v>
      </c>
      <c r="H34" s="173" t="s">
        <v>157</v>
      </c>
      <c r="I34" s="84" t="s">
        <v>158</v>
      </c>
      <c r="J34" s="84" t="s">
        <v>159</v>
      </c>
      <c r="K34" s="84" t="s">
        <v>167</v>
      </c>
      <c r="L34" s="84" t="str">
        <f t="shared" si="57"/>
        <v>GATE VALVE 3/4" 150# FF, BB-OS&amp;Y, B148</v>
      </c>
      <c r="M34" s="174">
        <v>2</v>
      </c>
      <c r="N34" s="174"/>
      <c r="O34" s="174"/>
      <c r="P34" s="174"/>
      <c r="Q34" s="174"/>
      <c r="R34" s="172">
        <v>45898</v>
      </c>
      <c r="S34" s="172"/>
      <c r="T34" s="172"/>
      <c r="U34" s="172"/>
      <c r="V34" s="172"/>
      <c r="W34" s="172"/>
      <c r="X34" s="172"/>
      <c r="Y34" s="172"/>
      <c r="Z34" s="172"/>
      <c r="AA34" s="86"/>
      <c r="AB34" s="86"/>
      <c r="AC34" s="86"/>
      <c r="AD34" s="86"/>
      <c r="AE34" s="99"/>
      <c r="AF34" s="100"/>
      <c r="AG34" s="100"/>
      <c r="AH34" s="100"/>
      <c r="AI34" s="100"/>
      <c r="AJ34" s="100"/>
      <c r="AK34" s="100"/>
      <c r="AL34" s="100"/>
      <c r="AM34" s="100"/>
      <c r="AN34" s="100"/>
      <c r="AO34" s="100"/>
      <c r="AP34" s="100"/>
      <c r="AQ34" s="100"/>
      <c r="AR34" s="100"/>
      <c r="AS34" s="100"/>
      <c r="AT34" s="100"/>
      <c r="AU34" s="100"/>
      <c r="AV34" s="100"/>
      <c r="AW34" s="100"/>
      <c r="AX34" s="100"/>
      <c r="AY34" s="100"/>
      <c r="AZ34" s="100"/>
      <c r="BA34" s="100"/>
      <c r="BB34" s="100"/>
      <c r="BC34" s="100"/>
      <c r="BD34" s="100"/>
      <c r="BE34" s="100"/>
      <c r="BF34" s="100"/>
      <c r="BG34" s="100"/>
      <c r="BH34" s="100"/>
      <c r="BI34" s="100"/>
      <c r="BJ34" s="100"/>
      <c r="BK34" s="100"/>
      <c r="BL34" s="100"/>
      <c r="BM34" s="100"/>
      <c r="BN34" s="100"/>
      <c r="BO34" s="100"/>
      <c r="BP34" s="100"/>
      <c r="BQ34" s="100"/>
      <c r="BR34" s="100"/>
      <c r="BS34" s="100"/>
      <c r="BT34" s="100"/>
      <c r="BU34" s="100"/>
      <c r="BV34" s="100"/>
      <c r="BW34" s="100"/>
      <c r="BX34" s="100"/>
      <c r="BY34" s="100"/>
      <c r="BZ34" s="100"/>
      <c r="CA34" s="100"/>
      <c r="CB34" s="100"/>
      <c r="CC34" s="100"/>
      <c r="CD34" s="100"/>
      <c r="CE34" s="100"/>
      <c r="CF34" s="101"/>
    </row>
    <row r="35" spans="1:84" s="83" customFormat="1" ht="26" customHeight="1" x14ac:dyDescent="0.25">
      <c r="A35" s="526" t="s">
        <v>90</v>
      </c>
      <c r="B35" s="526" t="s">
        <v>170</v>
      </c>
      <c r="C35" s="541">
        <v>150</v>
      </c>
      <c r="D35" s="526" t="s">
        <v>81</v>
      </c>
      <c r="E35" s="526" t="s">
        <v>1218</v>
      </c>
      <c r="F35" s="526" t="s">
        <v>107</v>
      </c>
      <c r="G35" s="172">
        <v>45780</v>
      </c>
      <c r="H35" s="173" t="s">
        <v>157</v>
      </c>
      <c r="I35" s="84" t="s">
        <v>158</v>
      </c>
      <c r="J35" s="84" t="s">
        <v>159</v>
      </c>
      <c r="K35" s="84" t="s">
        <v>91</v>
      </c>
      <c r="L35" s="84" t="str">
        <f t="shared" si="57"/>
        <v>GATE VALVE 6'' 150# RF, BB-OS&amp;Y, A216</v>
      </c>
      <c r="M35" s="174">
        <v>2</v>
      </c>
      <c r="N35" s="174"/>
      <c r="O35" s="174"/>
      <c r="P35" s="174"/>
      <c r="Q35" s="174"/>
      <c r="R35" s="172">
        <v>45898</v>
      </c>
      <c r="S35" s="172"/>
      <c r="T35" s="172"/>
      <c r="U35" s="172"/>
      <c r="V35" s="172"/>
      <c r="W35" s="172"/>
      <c r="X35" s="172"/>
      <c r="Y35" s="172"/>
      <c r="Z35" s="172"/>
      <c r="AA35" s="86"/>
      <c r="AB35" s="86"/>
      <c r="AC35" s="86"/>
      <c r="AD35" s="86"/>
      <c r="AE35" s="99"/>
      <c r="AF35" s="100"/>
      <c r="AG35" s="100"/>
      <c r="AH35" s="100"/>
      <c r="AI35" s="100"/>
      <c r="AJ35" s="100"/>
      <c r="AK35" s="100"/>
      <c r="AL35" s="100"/>
      <c r="AM35" s="100"/>
      <c r="AN35" s="100"/>
      <c r="AO35" s="100"/>
      <c r="AP35" s="100"/>
      <c r="AQ35" s="100"/>
      <c r="AR35" s="100"/>
      <c r="AS35" s="100"/>
      <c r="AT35" s="100"/>
      <c r="AU35" s="100"/>
      <c r="AV35" s="100"/>
      <c r="AW35" s="100"/>
      <c r="AX35" s="100"/>
      <c r="AY35" s="100"/>
      <c r="AZ35" s="100"/>
      <c r="BA35" s="100"/>
      <c r="BB35" s="100"/>
      <c r="BC35" s="100"/>
      <c r="BD35" s="100"/>
      <c r="BE35" s="100"/>
      <c r="BF35" s="100"/>
      <c r="BG35" s="100"/>
      <c r="BH35" s="100"/>
      <c r="BI35" s="100"/>
      <c r="BJ35" s="100"/>
      <c r="BK35" s="100"/>
      <c r="BL35" s="100"/>
      <c r="BM35" s="100"/>
      <c r="BN35" s="100"/>
      <c r="BO35" s="100"/>
      <c r="BP35" s="100"/>
      <c r="BQ35" s="100"/>
      <c r="BR35" s="100"/>
      <c r="BS35" s="100"/>
      <c r="BT35" s="100"/>
      <c r="BU35" s="100"/>
      <c r="BV35" s="100"/>
      <c r="BW35" s="100"/>
      <c r="BX35" s="100"/>
      <c r="BY35" s="100"/>
      <c r="BZ35" s="100"/>
      <c r="CA35" s="100"/>
      <c r="CB35" s="100"/>
      <c r="CC35" s="100"/>
      <c r="CD35" s="100"/>
      <c r="CE35" s="100"/>
      <c r="CF35" s="101"/>
    </row>
    <row r="36" spans="1:84" s="83" customFormat="1" ht="26" customHeight="1" x14ac:dyDescent="0.25">
      <c r="A36" s="526" t="s">
        <v>78</v>
      </c>
      <c r="B36" s="526" t="s">
        <v>80</v>
      </c>
      <c r="C36" s="541">
        <v>150</v>
      </c>
      <c r="D36" s="526" t="s">
        <v>81</v>
      </c>
      <c r="E36" s="526" t="s">
        <v>108</v>
      </c>
      <c r="F36" s="526" t="s">
        <v>107</v>
      </c>
      <c r="G36" s="172">
        <v>45771</v>
      </c>
      <c r="H36" s="173" t="s">
        <v>75</v>
      </c>
      <c r="I36" s="84" t="s">
        <v>115</v>
      </c>
      <c r="J36" s="84" t="s">
        <v>76</v>
      </c>
      <c r="K36" s="84" t="s">
        <v>79</v>
      </c>
      <c r="L36" s="84" t="str">
        <f t="shared" si="57"/>
        <v>BALL VALVE 10" 150# RF, TRUNNION, A216</v>
      </c>
      <c r="M36" s="174">
        <v>2</v>
      </c>
      <c r="N36" s="174"/>
      <c r="O36" s="174"/>
      <c r="P36" s="174"/>
      <c r="Q36" s="174"/>
      <c r="R36" s="172">
        <v>45891</v>
      </c>
      <c r="S36" s="172">
        <v>46189</v>
      </c>
      <c r="T36" s="172"/>
      <c r="U36" s="172"/>
      <c r="V36" s="172"/>
      <c r="W36" s="172"/>
      <c r="X36" s="172"/>
      <c r="Y36" s="172"/>
      <c r="Z36" s="172"/>
      <c r="AA36" s="86"/>
      <c r="AB36" s="86"/>
      <c r="AC36" s="86"/>
      <c r="AD36" s="86"/>
      <c r="AE36" s="99"/>
      <c r="AF36" s="100"/>
      <c r="AG36" s="100"/>
      <c r="AH36" s="100"/>
      <c r="AI36" s="100"/>
      <c r="AJ36" s="100"/>
      <c r="AK36" s="100"/>
      <c r="AL36" s="100"/>
      <c r="AM36" s="100"/>
      <c r="AN36" s="100"/>
      <c r="AO36" s="100"/>
      <c r="AP36" s="100"/>
      <c r="AQ36" s="100"/>
      <c r="AR36" s="100"/>
      <c r="AS36" s="100"/>
      <c r="AT36" s="100"/>
      <c r="AU36" s="100"/>
      <c r="AV36" s="100"/>
      <c r="AW36" s="100"/>
      <c r="AX36" s="100"/>
      <c r="AY36" s="100"/>
      <c r="AZ36" s="100"/>
      <c r="BA36" s="100"/>
      <c r="BB36" s="100"/>
      <c r="BC36" s="100"/>
      <c r="BD36" s="100"/>
      <c r="BE36" s="100"/>
      <c r="BF36" s="100"/>
      <c r="BG36" s="100"/>
      <c r="BH36" s="100"/>
      <c r="BI36" s="100"/>
      <c r="BJ36" s="100"/>
      <c r="BK36" s="100"/>
      <c r="BL36" s="100"/>
      <c r="BM36" s="100"/>
      <c r="BN36" s="100"/>
      <c r="BO36" s="100"/>
      <c r="BP36" s="100"/>
      <c r="BQ36" s="100"/>
      <c r="BR36" s="100"/>
      <c r="BS36" s="100"/>
      <c r="BT36" s="100"/>
      <c r="BU36" s="100"/>
      <c r="BV36" s="100"/>
      <c r="BW36" s="100"/>
      <c r="BX36" s="100"/>
      <c r="BY36" s="100"/>
      <c r="BZ36" s="100"/>
      <c r="CA36" s="100"/>
      <c r="CB36" s="100"/>
      <c r="CC36" s="100"/>
      <c r="CD36" s="100"/>
      <c r="CE36" s="100"/>
      <c r="CF36" s="101"/>
    </row>
    <row r="37" spans="1:84" s="83" customFormat="1" ht="26" customHeight="1" x14ac:dyDescent="0.25">
      <c r="A37" s="526" t="s">
        <v>78</v>
      </c>
      <c r="B37" s="526" t="s">
        <v>82</v>
      </c>
      <c r="C37" s="541">
        <v>150</v>
      </c>
      <c r="D37" s="526" t="s">
        <v>81</v>
      </c>
      <c r="E37" s="526" t="s">
        <v>108</v>
      </c>
      <c r="F37" s="526" t="s">
        <v>107</v>
      </c>
      <c r="G37" s="172">
        <v>45771</v>
      </c>
      <c r="H37" s="173" t="s">
        <v>75</v>
      </c>
      <c r="I37" s="84" t="s">
        <v>115</v>
      </c>
      <c r="J37" s="84" t="s">
        <v>76</v>
      </c>
      <c r="K37" s="84" t="s">
        <v>79</v>
      </c>
      <c r="L37" s="84" t="str">
        <f t="shared" si="57"/>
        <v>BALL VALVE 6" 150# RF, TRUNNION, A216</v>
      </c>
      <c r="M37" s="174">
        <v>4</v>
      </c>
      <c r="N37" s="174"/>
      <c r="O37" s="174"/>
      <c r="P37" s="174"/>
      <c r="Q37" s="174"/>
      <c r="R37" s="172">
        <v>45891</v>
      </c>
      <c r="S37" s="172">
        <v>46189</v>
      </c>
      <c r="T37" s="172"/>
      <c r="U37" s="172"/>
      <c r="V37" s="172"/>
      <c r="W37" s="172"/>
      <c r="X37" s="172"/>
      <c r="Y37" s="172"/>
      <c r="Z37" s="172"/>
      <c r="AA37" s="86"/>
      <c r="AB37" s="86"/>
      <c r="AC37" s="86"/>
      <c r="AD37" s="86"/>
      <c r="AE37" s="99"/>
      <c r="AF37" s="100"/>
      <c r="AG37" s="100"/>
      <c r="AH37" s="100"/>
      <c r="AI37" s="100"/>
      <c r="AJ37" s="100"/>
      <c r="AK37" s="100"/>
      <c r="AL37" s="100"/>
      <c r="AM37" s="100"/>
      <c r="AN37" s="100"/>
      <c r="AO37" s="100"/>
      <c r="AP37" s="100"/>
      <c r="AQ37" s="100"/>
      <c r="AR37" s="100"/>
      <c r="AS37" s="100"/>
      <c r="AT37" s="100"/>
      <c r="AU37" s="100"/>
      <c r="AV37" s="100"/>
      <c r="AW37" s="100"/>
      <c r="AX37" s="100"/>
      <c r="AY37" s="100"/>
      <c r="AZ37" s="100"/>
      <c r="BA37" s="100"/>
      <c r="BB37" s="100"/>
      <c r="BC37" s="100"/>
      <c r="BD37" s="100"/>
      <c r="BE37" s="100"/>
      <c r="BF37" s="100"/>
      <c r="BG37" s="100"/>
      <c r="BH37" s="100"/>
      <c r="BI37" s="100"/>
      <c r="BJ37" s="100"/>
      <c r="BK37" s="100"/>
      <c r="BL37" s="100"/>
      <c r="BM37" s="100"/>
      <c r="BN37" s="100"/>
      <c r="BO37" s="100"/>
      <c r="BP37" s="100"/>
      <c r="BQ37" s="100"/>
      <c r="BR37" s="100"/>
      <c r="BS37" s="100"/>
      <c r="BT37" s="100"/>
      <c r="BU37" s="100"/>
      <c r="BV37" s="100"/>
      <c r="BW37" s="100"/>
      <c r="BX37" s="100"/>
      <c r="BY37" s="100"/>
      <c r="BZ37" s="100"/>
      <c r="CA37" s="100"/>
      <c r="CB37" s="100"/>
      <c r="CC37" s="100"/>
      <c r="CD37" s="100"/>
      <c r="CE37" s="100"/>
      <c r="CF37" s="101"/>
    </row>
    <row r="38" spans="1:84" s="83" customFormat="1" ht="26" customHeight="1" x14ac:dyDescent="0.25">
      <c r="A38" s="526" t="s">
        <v>78</v>
      </c>
      <c r="B38" s="526" t="s">
        <v>84</v>
      </c>
      <c r="C38" s="541">
        <v>150</v>
      </c>
      <c r="D38" s="526" t="s">
        <v>81</v>
      </c>
      <c r="E38" s="526" t="s">
        <v>109</v>
      </c>
      <c r="F38" s="526" t="s">
        <v>107</v>
      </c>
      <c r="G38" s="172">
        <v>45771</v>
      </c>
      <c r="H38" s="173" t="s">
        <v>75</v>
      </c>
      <c r="I38" s="84" t="s">
        <v>115</v>
      </c>
      <c r="J38" s="84" t="s">
        <v>76</v>
      </c>
      <c r="K38" s="84" t="s">
        <v>83</v>
      </c>
      <c r="L38" s="84" t="str">
        <f t="shared" si="57"/>
        <v>BALL VALVE 4" 150# RF, FLOATING, A216</v>
      </c>
      <c r="M38" s="174">
        <v>2</v>
      </c>
      <c r="N38" s="174"/>
      <c r="O38" s="174"/>
      <c r="P38" s="174"/>
      <c r="Q38" s="174"/>
      <c r="R38" s="172">
        <v>45891</v>
      </c>
      <c r="S38" s="172">
        <v>46189</v>
      </c>
      <c r="T38" s="172"/>
      <c r="U38" s="172"/>
      <c r="V38" s="172"/>
      <c r="W38" s="172"/>
      <c r="X38" s="172"/>
      <c r="Y38" s="172"/>
      <c r="Z38" s="172"/>
      <c r="AA38" s="86"/>
      <c r="AB38" s="86"/>
      <c r="AC38" s="86"/>
      <c r="AD38" s="86"/>
      <c r="AE38" s="99"/>
      <c r="AF38" s="100"/>
      <c r="AG38" s="100"/>
      <c r="AH38" s="100"/>
      <c r="AI38" s="100"/>
      <c r="AJ38" s="100"/>
      <c r="AK38" s="100"/>
      <c r="AL38" s="100"/>
      <c r="AM38" s="100"/>
      <c r="AN38" s="100"/>
      <c r="AO38" s="100"/>
      <c r="AP38" s="100"/>
      <c r="AQ38" s="100"/>
      <c r="AR38" s="100"/>
      <c r="AS38" s="100"/>
      <c r="AT38" s="100"/>
      <c r="AU38" s="100"/>
      <c r="AV38" s="100"/>
      <c r="AW38" s="100"/>
      <c r="AX38" s="100"/>
      <c r="AY38" s="100"/>
      <c r="AZ38" s="100"/>
      <c r="BA38" s="100"/>
      <c r="BB38" s="100"/>
      <c r="BC38" s="100"/>
      <c r="BD38" s="100"/>
      <c r="BE38" s="100"/>
      <c r="BF38" s="100"/>
      <c r="BG38" s="100"/>
      <c r="BH38" s="100"/>
      <c r="BI38" s="100"/>
      <c r="BJ38" s="100"/>
      <c r="BK38" s="100"/>
      <c r="BL38" s="100"/>
      <c r="BM38" s="100"/>
      <c r="BN38" s="100"/>
      <c r="BO38" s="100"/>
      <c r="BP38" s="100"/>
      <c r="BQ38" s="100"/>
      <c r="BR38" s="100"/>
      <c r="BS38" s="100"/>
      <c r="BT38" s="100"/>
      <c r="BU38" s="100"/>
      <c r="BV38" s="100"/>
      <c r="BW38" s="100"/>
      <c r="BX38" s="100"/>
      <c r="BY38" s="100"/>
      <c r="BZ38" s="100"/>
      <c r="CA38" s="100"/>
      <c r="CB38" s="100"/>
      <c r="CC38" s="100"/>
      <c r="CD38" s="100"/>
      <c r="CE38" s="100"/>
      <c r="CF38" s="101"/>
    </row>
    <row r="39" spans="1:84" s="83" customFormat="1" ht="26" customHeight="1" x14ac:dyDescent="0.25">
      <c r="A39" s="526" t="s">
        <v>78</v>
      </c>
      <c r="B39" s="526" t="s">
        <v>85</v>
      </c>
      <c r="C39" s="541">
        <v>150</v>
      </c>
      <c r="D39" s="526" t="s">
        <v>81</v>
      </c>
      <c r="E39" s="526" t="s">
        <v>109</v>
      </c>
      <c r="F39" s="526" t="s">
        <v>107</v>
      </c>
      <c r="G39" s="172">
        <v>45771</v>
      </c>
      <c r="H39" s="173" t="s">
        <v>75</v>
      </c>
      <c r="I39" s="84" t="s">
        <v>115</v>
      </c>
      <c r="J39" s="84" t="s">
        <v>76</v>
      </c>
      <c r="K39" s="84" t="s">
        <v>83</v>
      </c>
      <c r="L39" s="84" t="str">
        <f t="shared" si="57"/>
        <v>BALL VALVE 3" 150# RF, FLOATING, A216</v>
      </c>
      <c r="M39" s="174">
        <v>10</v>
      </c>
      <c r="N39" s="174"/>
      <c r="O39" s="174"/>
      <c r="P39" s="174"/>
      <c r="Q39" s="174"/>
      <c r="R39" s="172">
        <v>45891</v>
      </c>
      <c r="S39" s="172">
        <v>46189</v>
      </c>
      <c r="T39" s="172"/>
      <c r="U39" s="172"/>
      <c r="V39" s="172"/>
      <c r="W39" s="172"/>
      <c r="X39" s="172"/>
      <c r="Y39" s="172"/>
      <c r="Z39" s="172"/>
      <c r="AA39" s="86"/>
      <c r="AB39" s="86"/>
      <c r="AC39" s="86"/>
      <c r="AD39" s="86"/>
      <c r="AE39" s="99"/>
      <c r="AF39" s="100"/>
      <c r="AG39" s="100"/>
      <c r="AH39" s="100"/>
      <c r="AI39" s="100"/>
      <c r="AJ39" s="100"/>
      <c r="AK39" s="100"/>
      <c r="AL39" s="100"/>
      <c r="AM39" s="100"/>
      <c r="AN39" s="100"/>
      <c r="AO39" s="100"/>
      <c r="AP39" s="100"/>
      <c r="AQ39" s="100"/>
      <c r="AR39" s="100"/>
      <c r="AS39" s="100"/>
      <c r="AT39" s="100"/>
      <c r="AU39" s="100"/>
      <c r="AV39" s="100"/>
      <c r="AW39" s="100"/>
      <c r="AX39" s="100"/>
      <c r="AY39" s="100"/>
      <c r="AZ39" s="100"/>
      <c r="BA39" s="100"/>
      <c r="BB39" s="100"/>
      <c r="BC39" s="100"/>
      <c r="BD39" s="100"/>
      <c r="BE39" s="100"/>
      <c r="BF39" s="100"/>
      <c r="BG39" s="100"/>
      <c r="BH39" s="100"/>
      <c r="BI39" s="100"/>
      <c r="BJ39" s="100"/>
      <c r="BK39" s="100"/>
      <c r="BL39" s="100"/>
      <c r="BM39" s="100"/>
      <c r="BN39" s="100"/>
      <c r="BO39" s="100"/>
      <c r="BP39" s="100"/>
      <c r="BQ39" s="100"/>
      <c r="BR39" s="100"/>
      <c r="BS39" s="100"/>
      <c r="BT39" s="100"/>
      <c r="BU39" s="100"/>
      <c r="BV39" s="100"/>
      <c r="BW39" s="100"/>
      <c r="BX39" s="100"/>
      <c r="BY39" s="100"/>
      <c r="BZ39" s="100"/>
      <c r="CA39" s="100"/>
      <c r="CB39" s="100"/>
      <c r="CC39" s="100"/>
      <c r="CD39" s="100"/>
      <c r="CE39" s="100"/>
      <c r="CF39" s="101"/>
    </row>
    <row r="40" spans="1:84" s="83" customFormat="1" ht="26" customHeight="1" x14ac:dyDescent="0.25">
      <c r="A40" s="526" t="s">
        <v>78</v>
      </c>
      <c r="B40" s="526" t="s">
        <v>86</v>
      </c>
      <c r="C40" s="541">
        <v>150</v>
      </c>
      <c r="D40" s="526" t="s">
        <v>81</v>
      </c>
      <c r="E40" s="526" t="s">
        <v>109</v>
      </c>
      <c r="F40" s="526" t="s">
        <v>107</v>
      </c>
      <c r="G40" s="172">
        <v>45771</v>
      </c>
      <c r="H40" s="173" t="s">
        <v>75</v>
      </c>
      <c r="I40" s="84" t="s">
        <v>115</v>
      </c>
      <c r="J40" s="84" t="s">
        <v>76</v>
      </c>
      <c r="K40" s="84" t="s">
        <v>83</v>
      </c>
      <c r="L40" s="84" t="str">
        <f t="shared" si="57"/>
        <v>BALL VALVE 2" 150# RF, FLOATING, A216</v>
      </c>
      <c r="M40" s="174">
        <v>14</v>
      </c>
      <c r="N40" s="174"/>
      <c r="O40" s="174"/>
      <c r="P40" s="174"/>
      <c r="Q40" s="174"/>
      <c r="R40" s="172">
        <v>45891</v>
      </c>
      <c r="S40" s="172">
        <v>46189</v>
      </c>
      <c r="T40" s="172"/>
      <c r="U40" s="172"/>
      <c r="V40" s="172"/>
      <c r="W40" s="172"/>
      <c r="X40" s="172"/>
      <c r="Y40" s="172"/>
      <c r="Z40" s="172"/>
      <c r="AA40" s="86"/>
      <c r="AB40" s="86"/>
      <c r="AC40" s="86"/>
      <c r="AD40" s="86"/>
      <c r="AE40" s="99"/>
      <c r="AF40" s="100"/>
      <c r="AG40" s="100"/>
      <c r="AH40" s="100"/>
      <c r="AI40" s="100"/>
      <c r="AJ40" s="100"/>
      <c r="AK40" s="100"/>
      <c r="AL40" s="100"/>
      <c r="AM40" s="100"/>
      <c r="AN40" s="100"/>
      <c r="AO40" s="100"/>
      <c r="AP40" s="100"/>
      <c r="AQ40" s="100"/>
      <c r="AR40" s="100"/>
      <c r="AS40" s="100"/>
      <c r="AT40" s="100"/>
      <c r="AU40" s="100"/>
      <c r="AV40" s="100"/>
      <c r="AW40" s="100"/>
      <c r="AX40" s="100"/>
      <c r="AY40" s="100"/>
      <c r="AZ40" s="100"/>
      <c r="BA40" s="100"/>
      <c r="BB40" s="100"/>
      <c r="BC40" s="100"/>
      <c r="BD40" s="100"/>
      <c r="BE40" s="100"/>
      <c r="BF40" s="100"/>
      <c r="BG40" s="100"/>
      <c r="BH40" s="100"/>
      <c r="BI40" s="100"/>
      <c r="BJ40" s="100"/>
      <c r="BK40" s="100"/>
      <c r="BL40" s="100"/>
      <c r="BM40" s="100"/>
      <c r="BN40" s="100"/>
      <c r="BO40" s="100"/>
      <c r="BP40" s="100"/>
      <c r="BQ40" s="100"/>
      <c r="BR40" s="100"/>
      <c r="BS40" s="100"/>
      <c r="BT40" s="100"/>
      <c r="BU40" s="100"/>
      <c r="BV40" s="100"/>
      <c r="BW40" s="100"/>
      <c r="BX40" s="100"/>
      <c r="BY40" s="100"/>
      <c r="BZ40" s="100"/>
      <c r="CA40" s="100"/>
      <c r="CB40" s="100"/>
      <c r="CC40" s="100"/>
      <c r="CD40" s="100"/>
      <c r="CE40" s="100"/>
      <c r="CF40" s="101"/>
    </row>
    <row r="41" spans="1:84" s="83" customFormat="1" ht="26" customHeight="1" x14ac:dyDescent="0.25">
      <c r="A41" s="526" t="s">
        <v>78</v>
      </c>
      <c r="B41" s="526" t="s">
        <v>88</v>
      </c>
      <c r="C41" s="541">
        <v>800</v>
      </c>
      <c r="D41" s="526" t="s">
        <v>106</v>
      </c>
      <c r="E41" s="526" t="s">
        <v>109</v>
      </c>
      <c r="F41" s="526" t="s">
        <v>105</v>
      </c>
      <c r="G41" s="172">
        <v>45771</v>
      </c>
      <c r="H41" s="173" t="s">
        <v>75</v>
      </c>
      <c r="I41" s="84" t="s">
        <v>115</v>
      </c>
      <c r="J41" s="84" t="s">
        <v>76</v>
      </c>
      <c r="K41" s="84" t="s">
        <v>87</v>
      </c>
      <c r="L41" s="84" t="str">
        <f t="shared" si="57"/>
        <v>BALL VALVE 3/4" 800# SW, FLOATING, A105</v>
      </c>
      <c r="M41" s="174">
        <v>19</v>
      </c>
      <c r="N41" s="174"/>
      <c r="O41" s="174"/>
      <c r="P41" s="174"/>
      <c r="Q41" s="174"/>
      <c r="R41" s="172">
        <v>45891</v>
      </c>
      <c r="S41" s="172">
        <v>46189</v>
      </c>
      <c r="T41" s="172" t="s">
        <v>1186</v>
      </c>
      <c r="U41" s="172"/>
      <c r="V41" s="172"/>
      <c r="W41" s="172"/>
      <c r="X41" s="172"/>
      <c r="Y41" s="172"/>
      <c r="Z41" s="172"/>
      <c r="AA41" s="86"/>
      <c r="AB41" s="86"/>
      <c r="AC41" s="86"/>
      <c r="AD41" s="86"/>
      <c r="AE41" s="99"/>
      <c r="AF41" s="100"/>
      <c r="AG41" s="100"/>
      <c r="AH41" s="100"/>
      <c r="AI41" s="100"/>
      <c r="AJ41" s="100"/>
      <c r="AK41" s="100"/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100"/>
      <c r="AX41" s="100"/>
      <c r="AY41" s="100"/>
      <c r="AZ41" s="100"/>
      <c r="BA41" s="100"/>
      <c r="BB41" s="100"/>
      <c r="BC41" s="100"/>
      <c r="BD41" s="100"/>
      <c r="BE41" s="100"/>
      <c r="BF41" s="100"/>
      <c r="BG41" s="100"/>
      <c r="BH41" s="100"/>
      <c r="BI41" s="100"/>
      <c r="BJ41" s="100"/>
      <c r="BK41" s="100"/>
      <c r="BL41" s="100"/>
      <c r="BM41" s="100"/>
      <c r="BN41" s="100"/>
      <c r="BO41" s="100"/>
      <c r="BP41" s="100"/>
      <c r="BQ41" s="100"/>
      <c r="BR41" s="100"/>
      <c r="BS41" s="100"/>
      <c r="BT41" s="100"/>
      <c r="BU41" s="100"/>
      <c r="BV41" s="100"/>
      <c r="BW41" s="100"/>
      <c r="BX41" s="100"/>
      <c r="BY41" s="100"/>
      <c r="BZ41" s="100"/>
      <c r="CA41" s="100"/>
      <c r="CB41" s="100"/>
      <c r="CC41" s="100"/>
      <c r="CD41" s="100"/>
      <c r="CE41" s="100"/>
      <c r="CF41" s="101"/>
    </row>
    <row r="42" spans="1:84" s="83" customFormat="1" ht="26" customHeight="1" x14ac:dyDescent="0.25">
      <c r="A42" s="526" t="s">
        <v>78</v>
      </c>
      <c r="B42" s="526" t="s">
        <v>89</v>
      </c>
      <c r="C42" s="541">
        <v>800</v>
      </c>
      <c r="D42" s="526" t="s">
        <v>106</v>
      </c>
      <c r="E42" s="526" t="s">
        <v>109</v>
      </c>
      <c r="F42" s="526" t="s">
        <v>105</v>
      </c>
      <c r="G42" s="172">
        <v>45771</v>
      </c>
      <c r="H42" s="173" t="s">
        <v>75</v>
      </c>
      <c r="I42" s="84" t="s">
        <v>115</v>
      </c>
      <c r="J42" s="84" t="s">
        <v>76</v>
      </c>
      <c r="K42" s="84" t="s">
        <v>87</v>
      </c>
      <c r="L42" s="84" t="str">
        <f t="shared" si="57"/>
        <v>BALL VALVE 1/2" 800# SW, FLOATING, A105</v>
      </c>
      <c r="M42" s="174">
        <v>12</v>
      </c>
      <c r="N42" s="174"/>
      <c r="O42" s="174"/>
      <c r="P42" s="174"/>
      <c r="Q42" s="174"/>
      <c r="R42" s="172">
        <v>45891</v>
      </c>
      <c r="S42" s="172">
        <v>46189</v>
      </c>
      <c r="T42" s="172" t="s">
        <v>1186</v>
      </c>
      <c r="U42" s="172"/>
      <c r="V42" s="172"/>
      <c r="W42" s="172"/>
      <c r="X42" s="172"/>
      <c r="Y42" s="172"/>
      <c r="Z42" s="172"/>
      <c r="AA42" s="86"/>
      <c r="AB42" s="86"/>
      <c r="AC42" s="86"/>
      <c r="AD42" s="86"/>
      <c r="AE42" s="99"/>
      <c r="AF42" s="100"/>
      <c r="AG42" s="100"/>
      <c r="AH42" s="100"/>
      <c r="AI42" s="100"/>
      <c r="AJ42" s="100"/>
      <c r="AK42" s="100"/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100"/>
      <c r="AX42" s="100"/>
      <c r="AY42" s="100"/>
      <c r="AZ42" s="100"/>
      <c r="BA42" s="100"/>
      <c r="BB42" s="100"/>
      <c r="BC42" s="100"/>
      <c r="BD42" s="100"/>
      <c r="BE42" s="100"/>
      <c r="BF42" s="100"/>
      <c r="BG42" s="100"/>
      <c r="BH42" s="100"/>
      <c r="BI42" s="100"/>
      <c r="BJ42" s="100"/>
      <c r="BK42" s="100"/>
      <c r="BL42" s="100"/>
      <c r="BM42" s="100"/>
      <c r="BN42" s="100"/>
      <c r="BO42" s="100"/>
      <c r="BP42" s="100"/>
      <c r="BQ42" s="100"/>
      <c r="BR42" s="100"/>
      <c r="BS42" s="100"/>
      <c r="BT42" s="100"/>
      <c r="BU42" s="100"/>
      <c r="BV42" s="100"/>
      <c r="BW42" s="100"/>
      <c r="BX42" s="100"/>
      <c r="BY42" s="100"/>
      <c r="BZ42" s="100"/>
      <c r="CA42" s="100"/>
      <c r="CB42" s="100"/>
      <c r="CC42" s="100"/>
      <c r="CD42" s="100"/>
      <c r="CE42" s="100"/>
      <c r="CF42" s="101"/>
    </row>
    <row r="43" spans="1:84" s="83" customFormat="1" ht="26" customHeight="1" x14ac:dyDescent="0.25">
      <c r="A43" s="526" t="s">
        <v>90</v>
      </c>
      <c r="B43" s="526" t="s">
        <v>82</v>
      </c>
      <c r="C43" s="541">
        <v>150</v>
      </c>
      <c r="D43" s="526" t="s">
        <v>81</v>
      </c>
      <c r="E43" s="526" t="s">
        <v>1218</v>
      </c>
      <c r="F43" s="526" t="s">
        <v>107</v>
      </c>
      <c r="G43" s="172">
        <v>45771</v>
      </c>
      <c r="H43" s="173" t="s">
        <v>75</v>
      </c>
      <c r="I43" s="84" t="s">
        <v>115</v>
      </c>
      <c r="J43" s="84" t="s">
        <v>76</v>
      </c>
      <c r="K43" s="84" t="s">
        <v>91</v>
      </c>
      <c r="L43" s="84" t="str">
        <f t="shared" si="57"/>
        <v>GATE VALVE 6" 150# RF, BB-OS&amp;Y, A216</v>
      </c>
      <c r="M43" s="174">
        <v>6</v>
      </c>
      <c r="N43" s="174"/>
      <c r="O43" s="174"/>
      <c r="P43" s="174"/>
      <c r="Q43" s="174"/>
      <c r="R43" s="172">
        <v>45891</v>
      </c>
      <c r="S43" s="172">
        <v>46189</v>
      </c>
      <c r="T43" s="172"/>
      <c r="U43" s="172"/>
      <c r="V43" s="172"/>
      <c r="W43" s="172"/>
      <c r="X43" s="172"/>
      <c r="Y43" s="172"/>
      <c r="Z43" s="172"/>
      <c r="AA43" s="86"/>
      <c r="AB43" s="86"/>
      <c r="AC43" s="86"/>
      <c r="AD43" s="86"/>
      <c r="AE43" s="99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100"/>
      <c r="AY43" s="100"/>
      <c r="AZ43" s="100"/>
      <c r="BA43" s="100"/>
      <c r="BB43" s="100"/>
      <c r="BC43" s="100"/>
      <c r="BD43" s="100"/>
      <c r="BE43" s="100"/>
      <c r="BF43" s="100"/>
      <c r="BG43" s="100"/>
      <c r="BH43" s="100"/>
      <c r="BI43" s="100"/>
      <c r="BJ43" s="100"/>
      <c r="BK43" s="100"/>
      <c r="BL43" s="100"/>
      <c r="BM43" s="100"/>
      <c r="BN43" s="100"/>
      <c r="BO43" s="100"/>
      <c r="BP43" s="100"/>
      <c r="BQ43" s="100"/>
      <c r="BR43" s="100"/>
      <c r="BS43" s="100"/>
      <c r="BT43" s="100"/>
      <c r="BU43" s="100"/>
      <c r="BV43" s="100"/>
      <c r="BW43" s="100"/>
      <c r="BX43" s="100"/>
      <c r="BY43" s="100"/>
      <c r="BZ43" s="100"/>
      <c r="CA43" s="100"/>
      <c r="CB43" s="100"/>
      <c r="CC43" s="100"/>
      <c r="CD43" s="100"/>
      <c r="CE43" s="100"/>
      <c r="CF43" s="101"/>
    </row>
    <row r="44" spans="1:84" s="83" customFormat="1" ht="26" customHeight="1" x14ac:dyDescent="0.25">
      <c r="A44" s="526" t="s">
        <v>90</v>
      </c>
      <c r="B44" s="526" t="s">
        <v>84</v>
      </c>
      <c r="C44" s="541">
        <v>150</v>
      </c>
      <c r="D44" s="526" t="s">
        <v>81</v>
      </c>
      <c r="E44" s="526" t="s">
        <v>1218</v>
      </c>
      <c r="F44" s="526" t="s">
        <v>107</v>
      </c>
      <c r="G44" s="172">
        <v>45771</v>
      </c>
      <c r="H44" s="173" t="s">
        <v>75</v>
      </c>
      <c r="I44" s="84" t="s">
        <v>115</v>
      </c>
      <c r="J44" s="84" t="s">
        <v>76</v>
      </c>
      <c r="K44" s="84" t="s">
        <v>91</v>
      </c>
      <c r="L44" s="84" t="str">
        <f t="shared" si="57"/>
        <v>GATE VALVE 4" 150# RF, BB-OS&amp;Y, A216</v>
      </c>
      <c r="M44" s="174">
        <v>8</v>
      </c>
      <c r="N44" s="174"/>
      <c r="O44" s="174"/>
      <c r="P44" s="174"/>
      <c r="Q44" s="174"/>
      <c r="R44" s="172">
        <v>45891</v>
      </c>
      <c r="S44" s="172">
        <v>46189</v>
      </c>
      <c r="T44" s="172"/>
      <c r="U44" s="172"/>
      <c r="V44" s="172"/>
      <c r="W44" s="172"/>
      <c r="X44" s="172"/>
      <c r="Y44" s="172"/>
      <c r="Z44" s="172"/>
      <c r="AA44" s="86"/>
      <c r="AB44" s="86"/>
      <c r="AC44" s="86"/>
      <c r="AD44" s="86"/>
      <c r="AE44" s="99"/>
      <c r="AF44" s="100"/>
      <c r="AG44" s="100"/>
      <c r="AH44" s="100"/>
      <c r="AI44" s="100"/>
      <c r="AJ44" s="100"/>
      <c r="AK44" s="100"/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100"/>
      <c r="AX44" s="100"/>
      <c r="AY44" s="100"/>
      <c r="AZ44" s="100"/>
      <c r="BA44" s="100"/>
      <c r="BB44" s="100"/>
      <c r="BC44" s="100"/>
      <c r="BD44" s="100"/>
      <c r="BE44" s="100"/>
      <c r="BF44" s="100"/>
      <c r="BG44" s="100"/>
      <c r="BH44" s="100"/>
      <c r="BI44" s="100"/>
      <c r="BJ44" s="100"/>
      <c r="BK44" s="100"/>
      <c r="BL44" s="100"/>
      <c r="BM44" s="100"/>
      <c r="BN44" s="100"/>
      <c r="BO44" s="100"/>
      <c r="BP44" s="100"/>
      <c r="BQ44" s="100"/>
      <c r="BR44" s="100"/>
      <c r="BS44" s="100"/>
      <c r="BT44" s="100"/>
      <c r="BU44" s="100"/>
      <c r="BV44" s="100"/>
      <c r="BW44" s="100"/>
      <c r="BX44" s="100"/>
      <c r="BY44" s="100"/>
      <c r="BZ44" s="100"/>
      <c r="CA44" s="100"/>
      <c r="CB44" s="100"/>
      <c r="CC44" s="100"/>
      <c r="CD44" s="100"/>
      <c r="CE44" s="100"/>
      <c r="CF44" s="101"/>
    </row>
    <row r="45" spans="1:84" s="83" customFormat="1" ht="26" customHeight="1" x14ac:dyDescent="0.25">
      <c r="A45" s="526" t="s">
        <v>90</v>
      </c>
      <c r="B45" s="526" t="s">
        <v>86</v>
      </c>
      <c r="C45" s="541">
        <v>150</v>
      </c>
      <c r="D45" s="526" t="s">
        <v>81</v>
      </c>
      <c r="E45" s="526" t="s">
        <v>1218</v>
      </c>
      <c r="F45" s="526" t="s">
        <v>107</v>
      </c>
      <c r="G45" s="172">
        <v>45771</v>
      </c>
      <c r="H45" s="173" t="s">
        <v>75</v>
      </c>
      <c r="I45" s="84" t="s">
        <v>115</v>
      </c>
      <c r="J45" s="84" t="s">
        <v>76</v>
      </c>
      <c r="K45" s="84" t="s">
        <v>91</v>
      </c>
      <c r="L45" s="84" t="str">
        <f t="shared" si="57"/>
        <v>GATE VALVE 2" 150# RF, BB-OS&amp;Y, A216</v>
      </c>
      <c r="M45" s="174">
        <v>1</v>
      </c>
      <c r="N45" s="174"/>
      <c r="O45" s="174"/>
      <c r="P45" s="174"/>
      <c r="Q45" s="174"/>
      <c r="R45" s="172">
        <v>45891</v>
      </c>
      <c r="S45" s="172">
        <v>46189</v>
      </c>
      <c r="T45" s="172"/>
      <c r="U45" s="172"/>
      <c r="V45" s="172"/>
      <c r="W45" s="172"/>
      <c r="X45" s="172"/>
      <c r="Y45" s="172"/>
      <c r="Z45" s="172"/>
      <c r="AA45" s="86"/>
      <c r="AB45" s="86"/>
      <c r="AC45" s="86"/>
      <c r="AD45" s="86"/>
      <c r="AE45" s="99"/>
      <c r="AF45" s="100"/>
      <c r="AG45" s="100"/>
      <c r="AH45" s="100"/>
      <c r="AI45" s="100"/>
      <c r="AJ45" s="100"/>
      <c r="AK45" s="100"/>
      <c r="AL45" s="100"/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100"/>
      <c r="AX45" s="100"/>
      <c r="AY45" s="100"/>
      <c r="AZ45" s="100"/>
      <c r="BA45" s="100"/>
      <c r="BB45" s="100"/>
      <c r="BC45" s="100"/>
      <c r="BD45" s="100"/>
      <c r="BE45" s="100"/>
      <c r="BF45" s="100"/>
      <c r="BG45" s="100"/>
      <c r="BH45" s="100"/>
      <c r="BI45" s="100"/>
      <c r="BJ45" s="100"/>
      <c r="BK45" s="100"/>
      <c r="BL45" s="100"/>
      <c r="BM45" s="100"/>
      <c r="BN45" s="100"/>
      <c r="BO45" s="100"/>
      <c r="BP45" s="100"/>
      <c r="BQ45" s="100"/>
      <c r="BR45" s="100"/>
      <c r="BS45" s="100"/>
      <c r="BT45" s="100"/>
      <c r="BU45" s="100"/>
      <c r="BV45" s="100"/>
      <c r="BW45" s="100"/>
      <c r="BX45" s="100"/>
      <c r="BY45" s="100"/>
      <c r="BZ45" s="100"/>
      <c r="CA45" s="100"/>
      <c r="CB45" s="100"/>
      <c r="CC45" s="100"/>
      <c r="CD45" s="100"/>
      <c r="CE45" s="100"/>
      <c r="CF45" s="101"/>
    </row>
    <row r="46" spans="1:84" s="83" customFormat="1" ht="26" customHeight="1" x14ac:dyDescent="0.25">
      <c r="A46" s="526" t="s">
        <v>92</v>
      </c>
      <c r="B46" s="526" t="s">
        <v>82</v>
      </c>
      <c r="C46" s="541">
        <v>150</v>
      </c>
      <c r="D46" s="526" t="s">
        <v>81</v>
      </c>
      <c r="E46" s="526" t="s">
        <v>1218</v>
      </c>
      <c r="F46" s="526" t="s">
        <v>107</v>
      </c>
      <c r="G46" s="172">
        <v>45771</v>
      </c>
      <c r="H46" s="173" t="s">
        <v>75</v>
      </c>
      <c r="I46" s="84" t="s">
        <v>115</v>
      </c>
      <c r="J46" s="84" t="s">
        <v>76</v>
      </c>
      <c r="K46" s="84" t="s">
        <v>93</v>
      </c>
      <c r="L46" s="84" t="str">
        <f t="shared" si="57"/>
        <v>GLOBE VALVE 6" 150# RF, BB-OS&amp;Y, A216</v>
      </c>
      <c r="M46" s="174">
        <v>3</v>
      </c>
      <c r="N46" s="174"/>
      <c r="O46" s="174"/>
      <c r="P46" s="174"/>
      <c r="Q46" s="174"/>
      <c r="R46" s="172">
        <v>45891</v>
      </c>
      <c r="S46" s="172">
        <v>46189</v>
      </c>
      <c r="T46" s="172"/>
      <c r="U46" s="172"/>
      <c r="V46" s="172"/>
      <c r="W46" s="172"/>
      <c r="X46" s="172"/>
      <c r="Y46" s="172"/>
      <c r="Z46" s="172"/>
      <c r="AA46" s="86"/>
      <c r="AB46" s="86"/>
      <c r="AC46" s="86"/>
      <c r="AD46" s="86"/>
      <c r="AE46" s="99"/>
      <c r="AF46" s="100"/>
      <c r="AG46" s="100"/>
      <c r="AH46" s="100"/>
      <c r="AI46" s="100"/>
      <c r="AJ46" s="100"/>
      <c r="AK46" s="100"/>
      <c r="AL46" s="100"/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100"/>
      <c r="AX46" s="100"/>
      <c r="AY46" s="100"/>
      <c r="AZ46" s="100"/>
      <c r="BA46" s="100"/>
      <c r="BB46" s="100"/>
      <c r="BC46" s="100"/>
      <c r="BD46" s="100"/>
      <c r="BE46" s="100"/>
      <c r="BF46" s="100"/>
      <c r="BG46" s="100"/>
      <c r="BH46" s="100"/>
      <c r="BI46" s="100"/>
      <c r="BJ46" s="100"/>
      <c r="BK46" s="100"/>
      <c r="BL46" s="100"/>
      <c r="BM46" s="100"/>
      <c r="BN46" s="100"/>
      <c r="BO46" s="100"/>
      <c r="BP46" s="100"/>
      <c r="BQ46" s="100"/>
      <c r="BR46" s="100"/>
      <c r="BS46" s="100"/>
      <c r="BT46" s="100"/>
      <c r="BU46" s="100"/>
      <c r="BV46" s="100"/>
      <c r="BW46" s="100"/>
      <c r="BX46" s="100"/>
      <c r="BY46" s="100"/>
      <c r="BZ46" s="100"/>
      <c r="CA46" s="100"/>
      <c r="CB46" s="100"/>
      <c r="CC46" s="100"/>
      <c r="CD46" s="100"/>
      <c r="CE46" s="100"/>
      <c r="CF46" s="101"/>
    </row>
    <row r="47" spans="1:84" s="83" customFormat="1" ht="26" customHeight="1" x14ac:dyDescent="0.25">
      <c r="A47" s="526" t="s">
        <v>92</v>
      </c>
      <c r="B47" s="526" t="s">
        <v>84</v>
      </c>
      <c r="C47" s="541">
        <v>150</v>
      </c>
      <c r="D47" s="526" t="s">
        <v>81</v>
      </c>
      <c r="E47" s="526" t="s">
        <v>1218</v>
      </c>
      <c r="F47" s="526" t="s">
        <v>107</v>
      </c>
      <c r="G47" s="172">
        <v>45771</v>
      </c>
      <c r="H47" s="173" t="s">
        <v>75</v>
      </c>
      <c r="I47" s="84" t="s">
        <v>115</v>
      </c>
      <c r="J47" s="84" t="s">
        <v>76</v>
      </c>
      <c r="K47" s="84" t="s">
        <v>93</v>
      </c>
      <c r="L47" s="84" t="str">
        <f t="shared" si="57"/>
        <v>GLOBE VALVE 4" 150# RF, BB-OS&amp;Y, A216</v>
      </c>
      <c r="M47" s="174">
        <v>2</v>
      </c>
      <c r="N47" s="174"/>
      <c r="O47" s="174"/>
      <c r="P47" s="174"/>
      <c r="Q47" s="174"/>
      <c r="R47" s="172">
        <v>45891</v>
      </c>
      <c r="S47" s="172">
        <v>46189</v>
      </c>
      <c r="T47" s="172"/>
      <c r="U47" s="172"/>
      <c r="V47" s="172"/>
      <c r="W47" s="172"/>
      <c r="X47" s="172"/>
      <c r="Y47" s="172"/>
      <c r="Z47" s="172"/>
      <c r="AA47" s="86"/>
      <c r="AB47" s="86"/>
      <c r="AC47" s="86"/>
      <c r="AD47" s="86"/>
      <c r="AE47" s="99"/>
      <c r="AF47" s="100"/>
      <c r="AG47" s="100"/>
      <c r="AH47" s="100"/>
      <c r="AI47" s="100"/>
      <c r="AJ47" s="100"/>
      <c r="AK47" s="100"/>
      <c r="AL47" s="100"/>
      <c r="AM47" s="100"/>
      <c r="AN47" s="100"/>
      <c r="AO47" s="100"/>
      <c r="AP47" s="100"/>
      <c r="AQ47" s="100"/>
      <c r="AR47" s="100"/>
      <c r="AS47" s="100"/>
      <c r="AT47" s="100"/>
      <c r="AU47" s="100"/>
      <c r="AV47" s="100"/>
      <c r="AW47" s="100"/>
      <c r="AX47" s="100"/>
      <c r="AY47" s="100"/>
      <c r="AZ47" s="100"/>
      <c r="BA47" s="100"/>
      <c r="BB47" s="100"/>
      <c r="BC47" s="100"/>
      <c r="BD47" s="100"/>
      <c r="BE47" s="100"/>
      <c r="BF47" s="100"/>
      <c r="BG47" s="100"/>
      <c r="BH47" s="100"/>
      <c r="BI47" s="100"/>
      <c r="BJ47" s="100"/>
      <c r="BK47" s="100"/>
      <c r="BL47" s="100"/>
      <c r="BM47" s="100"/>
      <c r="BN47" s="100"/>
      <c r="BO47" s="100"/>
      <c r="BP47" s="100"/>
      <c r="BQ47" s="100"/>
      <c r="BR47" s="100"/>
      <c r="BS47" s="100"/>
      <c r="BT47" s="100"/>
      <c r="BU47" s="100"/>
      <c r="BV47" s="100"/>
      <c r="BW47" s="100"/>
      <c r="BX47" s="100"/>
      <c r="BY47" s="100"/>
      <c r="BZ47" s="100"/>
      <c r="CA47" s="100"/>
      <c r="CB47" s="100"/>
      <c r="CC47" s="100"/>
      <c r="CD47" s="100"/>
      <c r="CE47" s="100"/>
      <c r="CF47" s="101"/>
    </row>
    <row r="48" spans="1:84" s="83" customFormat="1" ht="26" customHeight="1" x14ac:dyDescent="0.25">
      <c r="A48" s="526" t="s">
        <v>94</v>
      </c>
      <c r="B48" s="526" t="s">
        <v>82</v>
      </c>
      <c r="C48" s="541">
        <v>150</v>
      </c>
      <c r="D48" s="526" t="s">
        <v>81</v>
      </c>
      <c r="E48" s="526" t="s">
        <v>97</v>
      </c>
      <c r="F48" s="526" t="s">
        <v>107</v>
      </c>
      <c r="G48" s="172">
        <v>45771</v>
      </c>
      <c r="H48" s="173" t="s">
        <v>75</v>
      </c>
      <c r="I48" s="84" t="s">
        <v>115</v>
      </c>
      <c r="J48" s="84" t="s">
        <v>76</v>
      </c>
      <c r="K48" s="84" t="s">
        <v>95</v>
      </c>
      <c r="L48" s="84" t="str">
        <f t="shared" si="57"/>
        <v>CHECK VALVE 6" 150# RF, BOLTED CAP, A216</v>
      </c>
      <c r="M48" s="174">
        <v>2</v>
      </c>
      <c r="N48" s="174"/>
      <c r="O48" s="174"/>
      <c r="P48" s="174"/>
      <c r="Q48" s="174"/>
      <c r="R48" s="172">
        <v>45891</v>
      </c>
      <c r="S48" s="172">
        <v>46189</v>
      </c>
      <c r="T48" s="172"/>
      <c r="U48" s="172"/>
      <c r="V48" s="172"/>
      <c r="W48" s="172"/>
      <c r="X48" s="172"/>
      <c r="Y48" s="172"/>
      <c r="Z48" s="172"/>
      <c r="AA48" s="86"/>
      <c r="AB48" s="86"/>
      <c r="AC48" s="86"/>
      <c r="AD48" s="86"/>
      <c r="AE48" s="99"/>
      <c r="AF48" s="100"/>
      <c r="AG48" s="100"/>
      <c r="AH48" s="100"/>
      <c r="AI48" s="100"/>
      <c r="AJ48" s="100"/>
      <c r="AK48" s="100"/>
      <c r="AL48" s="100"/>
      <c r="AM48" s="100"/>
      <c r="AN48" s="100"/>
      <c r="AO48" s="100"/>
      <c r="AP48" s="100"/>
      <c r="AQ48" s="100"/>
      <c r="AR48" s="100"/>
      <c r="AS48" s="100"/>
      <c r="AT48" s="100"/>
      <c r="AU48" s="100"/>
      <c r="AV48" s="100"/>
      <c r="AW48" s="100"/>
      <c r="AX48" s="100"/>
      <c r="AY48" s="100"/>
      <c r="AZ48" s="100"/>
      <c r="BA48" s="100"/>
      <c r="BB48" s="100"/>
      <c r="BC48" s="100"/>
      <c r="BD48" s="100"/>
      <c r="BE48" s="100"/>
      <c r="BF48" s="100"/>
      <c r="BG48" s="100"/>
      <c r="BH48" s="100"/>
      <c r="BI48" s="100"/>
      <c r="BJ48" s="100"/>
      <c r="BK48" s="100"/>
      <c r="BL48" s="100"/>
      <c r="BM48" s="100"/>
      <c r="BN48" s="100"/>
      <c r="BO48" s="100"/>
      <c r="BP48" s="100"/>
      <c r="BQ48" s="100"/>
      <c r="BR48" s="100"/>
      <c r="BS48" s="100"/>
      <c r="BT48" s="100"/>
      <c r="BU48" s="100"/>
      <c r="BV48" s="100"/>
      <c r="BW48" s="100"/>
      <c r="BX48" s="100"/>
      <c r="BY48" s="100"/>
      <c r="BZ48" s="100"/>
      <c r="CA48" s="100"/>
      <c r="CB48" s="100"/>
      <c r="CC48" s="100"/>
      <c r="CD48" s="100"/>
      <c r="CE48" s="100"/>
      <c r="CF48" s="101"/>
    </row>
    <row r="49" spans="1:84" s="83" customFormat="1" ht="26" customHeight="1" x14ac:dyDescent="0.25">
      <c r="A49" s="526" t="s">
        <v>94</v>
      </c>
      <c r="B49" s="526" t="s">
        <v>84</v>
      </c>
      <c r="C49" s="541">
        <v>150</v>
      </c>
      <c r="D49" s="526" t="s">
        <v>81</v>
      </c>
      <c r="E49" s="526" t="s">
        <v>97</v>
      </c>
      <c r="F49" s="526" t="s">
        <v>107</v>
      </c>
      <c r="G49" s="172">
        <v>45771</v>
      </c>
      <c r="H49" s="173" t="s">
        <v>75</v>
      </c>
      <c r="I49" s="84" t="s">
        <v>115</v>
      </c>
      <c r="J49" s="84" t="s">
        <v>76</v>
      </c>
      <c r="K49" s="84" t="s">
        <v>95</v>
      </c>
      <c r="L49" s="84" t="str">
        <f t="shared" si="57"/>
        <v>CHECK VALVE 4" 150# RF, BOLTED CAP, A216</v>
      </c>
      <c r="M49" s="174">
        <v>1</v>
      </c>
      <c r="N49" s="174"/>
      <c r="O49" s="174"/>
      <c r="P49" s="174"/>
      <c r="Q49" s="174"/>
      <c r="R49" s="172">
        <v>45891</v>
      </c>
      <c r="S49" s="172">
        <v>46189</v>
      </c>
      <c r="T49" s="172"/>
      <c r="U49" s="172"/>
      <c r="V49" s="172"/>
      <c r="W49" s="172"/>
      <c r="X49" s="172"/>
      <c r="Y49" s="172"/>
      <c r="Z49" s="172"/>
      <c r="AA49" s="86"/>
      <c r="AB49" s="86"/>
      <c r="AC49" s="86"/>
      <c r="AD49" s="86"/>
      <c r="AE49" s="99"/>
      <c r="AF49" s="100"/>
      <c r="AG49" s="100"/>
      <c r="AH49" s="100"/>
      <c r="AI49" s="100"/>
      <c r="AJ49" s="100"/>
      <c r="AK49" s="100"/>
      <c r="AL49" s="100"/>
      <c r="AM49" s="100"/>
      <c r="AN49" s="100"/>
      <c r="AO49" s="100"/>
      <c r="AP49" s="100"/>
      <c r="AQ49" s="100"/>
      <c r="AR49" s="100"/>
      <c r="AS49" s="100"/>
      <c r="AT49" s="100"/>
      <c r="AU49" s="100"/>
      <c r="AV49" s="100"/>
      <c r="AW49" s="100"/>
      <c r="AX49" s="100"/>
      <c r="AY49" s="100"/>
      <c r="AZ49" s="100"/>
      <c r="BA49" s="100"/>
      <c r="BB49" s="100"/>
      <c r="BC49" s="100"/>
      <c r="BD49" s="100"/>
      <c r="BE49" s="100"/>
      <c r="BF49" s="100"/>
      <c r="BG49" s="100"/>
      <c r="BH49" s="100"/>
      <c r="BI49" s="100"/>
      <c r="BJ49" s="100"/>
      <c r="BK49" s="100"/>
      <c r="BL49" s="100"/>
      <c r="BM49" s="100"/>
      <c r="BN49" s="100"/>
      <c r="BO49" s="100"/>
      <c r="BP49" s="100"/>
      <c r="BQ49" s="100"/>
      <c r="BR49" s="100"/>
      <c r="BS49" s="100"/>
      <c r="BT49" s="100"/>
      <c r="BU49" s="100"/>
      <c r="BV49" s="100"/>
      <c r="BW49" s="100"/>
      <c r="BX49" s="100"/>
      <c r="BY49" s="100"/>
      <c r="BZ49" s="100"/>
      <c r="CA49" s="100"/>
      <c r="CB49" s="100"/>
      <c r="CC49" s="100"/>
      <c r="CD49" s="100"/>
      <c r="CE49" s="100"/>
      <c r="CF49" s="101"/>
    </row>
    <row r="50" spans="1:84" s="83" customFormat="1" ht="26" customHeight="1" x14ac:dyDescent="0.25">
      <c r="A50" s="526" t="s">
        <v>110</v>
      </c>
      <c r="B50" s="526" t="s">
        <v>82</v>
      </c>
      <c r="C50" s="541">
        <v>150</v>
      </c>
      <c r="D50" s="526" t="s">
        <v>81</v>
      </c>
      <c r="E50" s="526" t="s">
        <v>1217</v>
      </c>
      <c r="F50" s="526" t="s">
        <v>107</v>
      </c>
      <c r="G50" s="172">
        <v>45771</v>
      </c>
      <c r="H50" s="173" t="s">
        <v>75</v>
      </c>
      <c r="I50" s="84" t="s">
        <v>115</v>
      </c>
      <c r="J50" s="84" t="s">
        <v>76</v>
      </c>
      <c r="K50" s="84" t="s">
        <v>96</v>
      </c>
      <c r="L50" s="84" t="str">
        <f t="shared" si="57"/>
        <v>T-STRAINER VALVE 6" 150# RF, REGULAR, A216</v>
      </c>
      <c r="M50" s="174">
        <v>1</v>
      </c>
      <c r="N50" s="174"/>
      <c r="O50" s="174"/>
      <c r="P50" s="174"/>
      <c r="Q50" s="174"/>
      <c r="R50" s="172">
        <v>45891</v>
      </c>
      <c r="S50" s="172">
        <v>46189</v>
      </c>
      <c r="T50" s="172"/>
      <c r="U50" s="172"/>
      <c r="V50" s="172"/>
      <c r="W50" s="172"/>
      <c r="X50" s="172"/>
      <c r="Y50" s="172"/>
      <c r="Z50" s="172"/>
      <c r="AA50" s="86"/>
      <c r="AB50" s="86"/>
      <c r="AC50" s="86"/>
      <c r="AD50" s="86"/>
      <c r="AE50" s="99"/>
      <c r="AF50" s="100"/>
      <c r="AG50" s="100"/>
      <c r="AH50" s="100"/>
      <c r="AI50" s="100"/>
      <c r="AJ50" s="100"/>
      <c r="AK50" s="100"/>
      <c r="AL50" s="100"/>
      <c r="AM50" s="100"/>
      <c r="AN50" s="100"/>
      <c r="AO50" s="100"/>
      <c r="AP50" s="100"/>
      <c r="AQ50" s="100"/>
      <c r="AR50" s="100"/>
      <c r="AS50" s="100"/>
      <c r="AT50" s="100"/>
      <c r="AU50" s="100"/>
      <c r="AV50" s="100"/>
      <c r="AW50" s="100"/>
      <c r="AX50" s="100"/>
      <c r="AY50" s="100"/>
      <c r="AZ50" s="100"/>
      <c r="BA50" s="100"/>
      <c r="BB50" s="100"/>
      <c r="BC50" s="100"/>
      <c r="BD50" s="100"/>
      <c r="BE50" s="100"/>
      <c r="BF50" s="100"/>
      <c r="BG50" s="100"/>
      <c r="BH50" s="100"/>
      <c r="BI50" s="100"/>
      <c r="BJ50" s="100"/>
      <c r="BK50" s="100"/>
      <c r="BL50" s="100"/>
      <c r="BM50" s="100"/>
      <c r="BN50" s="100"/>
      <c r="BO50" s="100"/>
      <c r="BP50" s="100"/>
      <c r="BQ50" s="100"/>
      <c r="BR50" s="100"/>
      <c r="BS50" s="100"/>
      <c r="BT50" s="100"/>
      <c r="BU50" s="100"/>
      <c r="BV50" s="100"/>
      <c r="BW50" s="100"/>
      <c r="BX50" s="100"/>
      <c r="BY50" s="100"/>
      <c r="BZ50" s="100"/>
      <c r="CA50" s="100"/>
      <c r="CB50" s="100"/>
      <c r="CC50" s="100"/>
      <c r="CD50" s="100"/>
      <c r="CE50" s="100"/>
      <c r="CF50" s="101"/>
    </row>
    <row r="51" spans="1:84" s="83" customFormat="1" ht="26" customHeight="1" x14ac:dyDescent="0.25">
      <c r="A51" s="526" t="s">
        <v>110</v>
      </c>
      <c r="B51" s="526" t="s">
        <v>84</v>
      </c>
      <c r="C51" s="541">
        <v>150</v>
      </c>
      <c r="D51" s="526" t="s">
        <v>81</v>
      </c>
      <c r="E51" s="526" t="s">
        <v>1217</v>
      </c>
      <c r="F51" s="526" t="s">
        <v>107</v>
      </c>
      <c r="G51" s="172">
        <v>45771</v>
      </c>
      <c r="H51" s="173" t="s">
        <v>75</v>
      </c>
      <c r="I51" s="84" t="s">
        <v>115</v>
      </c>
      <c r="J51" s="84" t="s">
        <v>76</v>
      </c>
      <c r="K51" s="84" t="s">
        <v>96</v>
      </c>
      <c r="L51" s="84" t="str">
        <f t="shared" si="57"/>
        <v>T-STRAINER VALVE 4" 150# RF, REGULAR, A216</v>
      </c>
      <c r="M51" s="174">
        <v>1</v>
      </c>
      <c r="N51" s="174"/>
      <c r="O51" s="174"/>
      <c r="P51" s="174"/>
      <c r="Q51" s="174"/>
      <c r="R51" s="172">
        <v>45891</v>
      </c>
      <c r="S51" s="172">
        <v>46189</v>
      </c>
      <c r="T51" s="172"/>
      <c r="U51" s="172"/>
      <c r="V51" s="172"/>
      <c r="W51" s="172"/>
      <c r="X51" s="172"/>
      <c r="Y51" s="172"/>
      <c r="Z51" s="172"/>
      <c r="AA51" s="86"/>
      <c r="AB51" s="86"/>
      <c r="AC51" s="86"/>
      <c r="AD51" s="86"/>
      <c r="AE51" s="99"/>
      <c r="AF51" s="100"/>
      <c r="AG51" s="100"/>
      <c r="AH51" s="100"/>
      <c r="AI51" s="100"/>
      <c r="AJ51" s="100"/>
      <c r="AK51" s="100"/>
      <c r="AL51" s="100"/>
      <c r="AM51" s="100"/>
      <c r="AN51" s="100"/>
      <c r="AO51" s="100"/>
      <c r="AP51" s="100"/>
      <c r="AQ51" s="100"/>
      <c r="AR51" s="100"/>
      <c r="AS51" s="100"/>
      <c r="AT51" s="100"/>
      <c r="AU51" s="100"/>
      <c r="AV51" s="100"/>
      <c r="AW51" s="100"/>
      <c r="AX51" s="100"/>
      <c r="AY51" s="100"/>
      <c r="AZ51" s="100"/>
      <c r="BA51" s="100"/>
      <c r="BB51" s="100"/>
      <c r="BC51" s="100"/>
      <c r="BD51" s="100"/>
      <c r="BE51" s="100"/>
      <c r="BF51" s="100"/>
      <c r="BG51" s="100"/>
      <c r="BH51" s="100"/>
      <c r="BI51" s="100"/>
      <c r="BJ51" s="100"/>
      <c r="BK51" s="100"/>
      <c r="BL51" s="100"/>
      <c r="BM51" s="100"/>
      <c r="BN51" s="100"/>
      <c r="BO51" s="100"/>
      <c r="BP51" s="100"/>
      <c r="BQ51" s="100"/>
      <c r="BR51" s="100"/>
      <c r="BS51" s="100"/>
      <c r="BT51" s="100"/>
      <c r="BU51" s="100"/>
      <c r="BV51" s="100"/>
      <c r="BW51" s="100"/>
      <c r="BX51" s="100"/>
      <c r="BY51" s="100"/>
      <c r="BZ51" s="100"/>
      <c r="CA51" s="100"/>
      <c r="CB51" s="100"/>
      <c r="CC51" s="100"/>
      <c r="CD51" s="100"/>
      <c r="CE51" s="100"/>
      <c r="CF51" s="101"/>
    </row>
    <row r="52" spans="1:84" s="83" customFormat="1" ht="26" customHeight="1" x14ac:dyDescent="0.25">
      <c r="A52" s="526" t="s">
        <v>78</v>
      </c>
      <c r="B52" s="526" t="s">
        <v>88</v>
      </c>
      <c r="C52" s="541">
        <v>800</v>
      </c>
      <c r="D52" s="526" t="s">
        <v>106</v>
      </c>
      <c r="E52" s="526" t="s">
        <v>109</v>
      </c>
      <c r="F52" s="526" t="s">
        <v>105</v>
      </c>
      <c r="G52" s="172">
        <v>45993</v>
      </c>
      <c r="H52" s="173" t="s">
        <v>264</v>
      </c>
      <c r="I52" s="84" t="s">
        <v>138</v>
      </c>
      <c r="J52" s="84" t="s">
        <v>121</v>
      </c>
      <c r="K52" s="84" t="s">
        <v>122</v>
      </c>
      <c r="L52" s="84" t="str">
        <f t="shared" si="57"/>
        <v>BALL VALVE 3/4" 800# SW, FLOATING, A105</v>
      </c>
      <c r="M52" s="174">
        <v>6</v>
      </c>
      <c r="N52" s="174"/>
      <c r="O52" s="174"/>
      <c r="P52" s="174"/>
      <c r="Q52" s="174"/>
      <c r="R52" s="172">
        <v>46133</v>
      </c>
      <c r="S52" s="172"/>
      <c r="T52" s="172"/>
      <c r="U52" s="172"/>
      <c r="V52" s="172"/>
      <c r="W52" s="172"/>
      <c r="X52" s="172"/>
      <c r="Y52" s="172"/>
      <c r="Z52" s="172"/>
      <c r="AA52" s="86"/>
      <c r="AB52" s="86"/>
      <c r="AC52" s="86"/>
      <c r="AD52" s="86"/>
      <c r="AE52" s="99"/>
      <c r="AF52" s="100"/>
      <c r="AG52" s="100"/>
      <c r="AH52" s="100"/>
      <c r="AI52" s="100"/>
      <c r="AJ52" s="100"/>
      <c r="AK52" s="100"/>
      <c r="AL52" s="100"/>
      <c r="AM52" s="100"/>
      <c r="AN52" s="100"/>
      <c r="AO52" s="100"/>
      <c r="AP52" s="100"/>
      <c r="AQ52" s="100"/>
      <c r="AR52" s="100"/>
      <c r="AS52" s="100"/>
      <c r="AT52" s="100"/>
      <c r="AU52" s="100"/>
      <c r="AV52" s="100"/>
      <c r="AW52" s="100"/>
      <c r="AX52" s="100"/>
      <c r="AY52" s="100"/>
      <c r="AZ52" s="100"/>
      <c r="BA52" s="100"/>
      <c r="BB52" s="100"/>
      <c r="BC52" s="100"/>
      <c r="BD52" s="100"/>
      <c r="BE52" s="100"/>
      <c r="BF52" s="100"/>
      <c r="BG52" s="100"/>
      <c r="BH52" s="100"/>
      <c r="BI52" s="100"/>
      <c r="BJ52" s="100"/>
      <c r="BK52" s="100"/>
      <c r="BL52" s="100"/>
      <c r="BM52" s="100"/>
      <c r="BN52" s="100"/>
      <c r="BO52" s="100"/>
      <c r="BP52" s="100"/>
      <c r="BQ52" s="100"/>
      <c r="BR52" s="100"/>
      <c r="BS52" s="100"/>
      <c r="BT52" s="100"/>
      <c r="BU52" s="100"/>
      <c r="BV52" s="100"/>
      <c r="BW52" s="100"/>
      <c r="BX52" s="100"/>
      <c r="BY52" s="100"/>
      <c r="BZ52" s="100"/>
      <c r="CA52" s="100"/>
      <c r="CB52" s="100"/>
      <c r="CC52" s="100"/>
      <c r="CD52" s="100"/>
      <c r="CE52" s="100"/>
      <c r="CF52" s="101"/>
    </row>
    <row r="53" spans="1:84" s="83" customFormat="1" ht="26" customHeight="1" x14ac:dyDescent="0.25">
      <c r="A53" s="526" t="s">
        <v>78</v>
      </c>
      <c r="B53" s="526" t="s">
        <v>88</v>
      </c>
      <c r="C53" s="541">
        <v>800</v>
      </c>
      <c r="D53" s="526" t="s">
        <v>106</v>
      </c>
      <c r="E53" s="526" t="s">
        <v>109</v>
      </c>
      <c r="F53" s="526" t="s">
        <v>105</v>
      </c>
      <c r="G53" s="172">
        <v>45993</v>
      </c>
      <c r="H53" s="173" t="s">
        <v>264</v>
      </c>
      <c r="I53" s="84" t="s">
        <v>138</v>
      </c>
      <c r="J53" s="84" t="s">
        <v>121</v>
      </c>
      <c r="K53" s="84" t="s">
        <v>123</v>
      </c>
      <c r="L53" s="84" t="str">
        <f t="shared" si="57"/>
        <v>BALL VALVE 3/4" 800# SW, FLOATING, A105</v>
      </c>
      <c r="M53" s="174">
        <v>7</v>
      </c>
      <c r="N53" s="174"/>
      <c r="O53" s="174"/>
      <c r="P53" s="174"/>
      <c r="Q53" s="174"/>
      <c r="R53" s="172">
        <v>46133</v>
      </c>
      <c r="S53" s="172"/>
      <c r="T53" s="172"/>
      <c r="U53" s="172"/>
      <c r="V53" s="172"/>
      <c r="W53" s="172"/>
      <c r="X53" s="172"/>
      <c r="Y53" s="172"/>
      <c r="Z53" s="172"/>
      <c r="AA53" s="86"/>
      <c r="AB53" s="86"/>
      <c r="AC53" s="86"/>
      <c r="AD53" s="86"/>
      <c r="AE53" s="99"/>
      <c r="AF53" s="100"/>
      <c r="AG53" s="100"/>
      <c r="AH53" s="100"/>
      <c r="AI53" s="100"/>
      <c r="AJ53" s="100"/>
      <c r="AK53" s="100"/>
      <c r="AL53" s="100"/>
      <c r="AM53" s="100"/>
      <c r="AN53" s="100"/>
      <c r="AO53" s="100"/>
      <c r="AP53" s="100"/>
      <c r="AQ53" s="100"/>
      <c r="AR53" s="100"/>
      <c r="AS53" s="100"/>
      <c r="AT53" s="100"/>
      <c r="AU53" s="100"/>
      <c r="AV53" s="100"/>
      <c r="AW53" s="100"/>
      <c r="AX53" s="100"/>
      <c r="AY53" s="100"/>
      <c r="AZ53" s="100"/>
      <c r="BA53" s="100"/>
      <c r="BB53" s="100"/>
      <c r="BC53" s="100"/>
      <c r="BD53" s="100"/>
      <c r="BE53" s="100"/>
      <c r="BF53" s="100"/>
      <c r="BG53" s="100"/>
      <c r="BH53" s="100"/>
      <c r="BI53" s="100"/>
      <c r="BJ53" s="100"/>
      <c r="BK53" s="100"/>
      <c r="BL53" s="100"/>
      <c r="BM53" s="100"/>
      <c r="BN53" s="100"/>
      <c r="BO53" s="100"/>
      <c r="BP53" s="100"/>
      <c r="BQ53" s="100"/>
      <c r="BR53" s="100"/>
      <c r="BS53" s="100"/>
      <c r="BT53" s="100"/>
      <c r="BU53" s="100"/>
      <c r="BV53" s="100"/>
      <c r="BW53" s="100"/>
      <c r="BX53" s="100"/>
      <c r="BY53" s="100"/>
      <c r="BZ53" s="100"/>
      <c r="CA53" s="100"/>
      <c r="CB53" s="100"/>
      <c r="CC53" s="100"/>
      <c r="CD53" s="100"/>
      <c r="CE53" s="100"/>
      <c r="CF53" s="101"/>
    </row>
    <row r="54" spans="1:84" s="83" customFormat="1" ht="26" customHeight="1" x14ac:dyDescent="0.25">
      <c r="A54" s="526" t="s">
        <v>90</v>
      </c>
      <c r="B54" s="526" t="s">
        <v>117</v>
      </c>
      <c r="C54" s="541">
        <v>800</v>
      </c>
      <c r="D54" s="526" t="s">
        <v>106</v>
      </c>
      <c r="E54" s="526" t="s">
        <v>1218</v>
      </c>
      <c r="F54" s="526" t="s">
        <v>105</v>
      </c>
      <c r="G54" s="172">
        <v>45993</v>
      </c>
      <c r="H54" s="173" t="s">
        <v>264</v>
      </c>
      <c r="I54" s="84" t="s">
        <v>138</v>
      </c>
      <c r="J54" s="84" t="s">
        <v>121</v>
      </c>
      <c r="K54" s="84" t="s">
        <v>124</v>
      </c>
      <c r="L54" s="84" t="str">
        <f t="shared" si="57"/>
        <v>GATE VALVE 1" 800# SW, BB-OS&amp;Y, A105</v>
      </c>
      <c r="M54" s="174">
        <v>3</v>
      </c>
      <c r="N54" s="174"/>
      <c r="O54" s="174"/>
      <c r="P54" s="174"/>
      <c r="Q54" s="174"/>
      <c r="R54" s="172">
        <v>46133</v>
      </c>
      <c r="S54" s="172"/>
      <c r="T54" s="172"/>
      <c r="U54" s="172"/>
      <c r="V54" s="172"/>
      <c r="W54" s="172"/>
      <c r="X54" s="172"/>
      <c r="Y54" s="172"/>
      <c r="Z54" s="172"/>
      <c r="AA54" s="86"/>
      <c r="AB54" s="86"/>
      <c r="AC54" s="86"/>
      <c r="AD54" s="86"/>
      <c r="AE54" s="99"/>
      <c r="AF54" s="100"/>
      <c r="AG54" s="100"/>
      <c r="AH54" s="100"/>
      <c r="AI54" s="100"/>
      <c r="AJ54" s="100"/>
      <c r="AK54" s="100"/>
      <c r="AL54" s="100"/>
      <c r="AM54" s="100"/>
      <c r="AN54" s="100"/>
      <c r="AO54" s="100"/>
      <c r="AP54" s="100"/>
      <c r="AQ54" s="100"/>
      <c r="AR54" s="100"/>
      <c r="AS54" s="100"/>
      <c r="AT54" s="100"/>
      <c r="AU54" s="100"/>
      <c r="AV54" s="100"/>
      <c r="AW54" s="100"/>
      <c r="AX54" s="100"/>
      <c r="AY54" s="100"/>
      <c r="AZ54" s="100"/>
      <c r="BA54" s="100"/>
      <c r="BB54" s="100"/>
      <c r="BC54" s="100"/>
      <c r="BD54" s="100"/>
      <c r="BE54" s="100"/>
      <c r="BF54" s="100"/>
      <c r="BG54" s="100"/>
      <c r="BH54" s="100"/>
      <c r="BI54" s="100"/>
      <c r="BJ54" s="100"/>
      <c r="BK54" s="100"/>
      <c r="BL54" s="100"/>
      <c r="BM54" s="100"/>
      <c r="BN54" s="100"/>
      <c r="BO54" s="100"/>
      <c r="BP54" s="100"/>
      <c r="BQ54" s="100"/>
      <c r="BR54" s="100"/>
      <c r="BS54" s="100"/>
      <c r="BT54" s="100"/>
      <c r="BU54" s="100"/>
      <c r="BV54" s="100"/>
      <c r="BW54" s="100"/>
      <c r="BX54" s="100"/>
      <c r="BY54" s="100"/>
      <c r="BZ54" s="100"/>
      <c r="CA54" s="100"/>
      <c r="CB54" s="100"/>
      <c r="CC54" s="100"/>
      <c r="CD54" s="100"/>
      <c r="CE54" s="100"/>
      <c r="CF54" s="101"/>
    </row>
    <row r="55" spans="1:84" s="83" customFormat="1" ht="26" customHeight="1" x14ac:dyDescent="0.25">
      <c r="A55" s="526" t="s">
        <v>94</v>
      </c>
      <c r="B55" s="526" t="s">
        <v>80</v>
      </c>
      <c r="C55" s="541">
        <v>150</v>
      </c>
      <c r="D55" s="526" t="s">
        <v>81</v>
      </c>
      <c r="E55" s="526" t="s">
        <v>97</v>
      </c>
      <c r="F55" s="526" t="s">
        <v>107</v>
      </c>
      <c r="G55" s="172">
        <v>45993</v>
      </c>
      <c r="H55" s="173" t="s">
        <v>263</v>
      </c>
      <c r="I55" s="84" t="s">
        <v>138</v>
      </c>
      <c r="J55" s="84" t="s">
        <v>121</v>
      </c>
      <c r="K55" s="84" t="s">
        <v>95</v>
      </c>
      <c r="L55" s="84" t="str">
        <f t="shared" si="57"/>
        <v>CHECK VALVE 10" 150# RF, BOLTED CAP, A216</v>
      </c>
      <c r="M55" s="174">
        <v>1</v>
      </c>
      <c r="N55" s="174"/>
      <c r="O55" s="175"/>
      <c r="P55" s="176"/>
      <c r="Q55" s="176"/>
      <c r="R55" s="172">
        <v>46133</v>
      </c>
      <c r="S55" s="172">
        <v>46193</v>
      </c>
      <c r="T55" s="172">
        <v>46203</v>
      </c>
      <c r="U55" s="172">
        <v>46210</v>
      </c>
      <c r="V55" s="172">
        <v>46204</v>
      </c>
      <c r="W55" s="172">
        <v>46206</v>
      </c>
      <c r="X55" s="172">
        <v>46209</v>
      </c>
      <c r="Y55" s="172">
        <v>46211</v>
      </c>
      <c r="Z55" s="172"/>
      <c r="AA55" s="86"/>
      <c r="AB55" s="86"/>
      <c r="AC55" s="86"/>
      <c r="AD55" s="86"/>
      <c r="AE55" s="99"/>
      <c r="AF55" s="100"/>
      <c r="AG55" s="100"/>
      <c r="AH55" s="100"/>
      <c r="AI55" s="100"/>
      <c r="AJ55" s="100"/>
      <c r="AK55" s="100"/>
      <c r="AL55" s="100"/>
      <c r="AM55" s="100"/>
      <c r="AN55" s="100"/>
      <c r="AO55" s="100"/>
      <c r="AP55" s="100"/>
      <c r="AQ55" s="100"/>
      <c r="AR55" s="100"/>
      <c r="AS55" s="100"/>
      <c r="AT55" s="100"/>
      <c r="AU55" s="100"/>
      <c r="AV55" s="100"/>
      <c r="AW55" s="100"/>
      <c r="AX55" s="100"/>
      <c r="AY55" s="100"/>
      <c r="AZ55" s="100"/>
      <c r="BA55" s="100"/>
      <c r="BB55" s="100"/>
      <c r="BC55" s="100"/>
      <c r="BD55" s="100"/>
      <c r="BE55" s="100"/>
      <c r="BF55" s="100"/>
      <c r="BG55" s="100"/>
      <c r="BH55" s="100"/>
      <c r="BI55" s="100"/>
      <c r="BJ55" s="100"/>
      <c r="BK55" s="100"/>
      <c r="BL55" s="100"/>
      <c r="BM55" s="100"/>
      <c r="BN55" s="100"/>
      <c r="BO55" s="100"/>
      <c r="BP55" s="100"/>
      <c r="BQ55" s="100"/>
      <c r="BR55" s="100"/>
      <c r="BS55" s="100"/>
      <c r="BT55" s="100"/>
      <c r="BU55" s="100"/>
      <c r="BV55" s="100"/>
      <c r="BW55" s="100"/>
      <c r="BX55" s="100"/>
      <c r="BY55" s="100"/>
      <c r="BZ55" s="100"/>
      <c r="CA55" s="100"/>
      <c r="CB55" s="100"/>
      <c r="CC55" s="100"/>
      <c r="CD55" s="100"/>
      <c r="CE55" s="100"/>
      <c r="CF55" s="101"/>
    </row>
    <row r="56" spans="1:84" s="83" customFormat="1" ht="26" customHeight="1" x14ac:dyDescent="0.25">
      <c r="A56" s="526" t="s">
        <v>90</v>
      </c>
      <c r="B56" s="526" t="s">
        <v>80</v>
      </c>
      <c r="C56" s="541">
        <v>150</v>
      </c>
      <c r="D56" s="526" t="s">
        <v>81</v>
      </c>
      <c r="E56" s="526" t="s">
        <v>1218</v>
      </c>
      <c r="F56" s="526" t="s">
        <v>107</v>
      </c>
      <c r="G56" s="172">
        <v>45993</v>
      </c>
      <c r="H56" s="173" t="s">
        <v>263</v>
      </c>
      <c r="I56" s="84" t="s">
        <v>138</v>
      </c>
      <c r="J56" s="84" t="s">
        <v>121</v>
      </c>
      <c r="K56" s="84" t="s">
        <v>125</v>
      </c>
      <c r="L56" s="84" t="str">
        <f t="shared" si="57"/>
        <v>GATE VALVE 10" 150# RF, BB-OS&amp;Y, A216</v>
      </c>
      <c r="M56" s="174">
        <v>4</v>
      </c>
      <c r="N56" s="174"/>
      <c r="O56" s="175"/>
      <c r="P56" s="176"/>
      <c r="Q56" s="176"/>
      <c r="R56" s="172">
        <v>46133</v>
      </c>
      <c r="S56" s="172">
        <v>46193</v>
      </c>
      <c r="T56" s="172">
        <v>46203</v>
      </c>
      <c r="U56" s="172">
        <v>46210</v>
      </c>
      <c r="V56" s="172">
        <v>46204</v>
      </c>
      <c r="W56" s="172">
        <v>46206</v>
      </c>
      <c r="X56" s="172">
        <v>46209</v>
      </c>
      <c r="Y56" s="172">
        <v>46211</v>
      </c>
      <c r="Z56" s="172"/>
      <c r="AA56" s="86"/>
      <c r="AB56" s="86"/>
      <c r="AC56" s="86"/>
      <c r="AD56" s="86"/>
      <c r="AE56" s="99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  <c r="BI56" s="100"/>
      <c r="BJ56" s="100"/>
      <c r="BK56" s="100"/>
      <c r="BL56" s="100"/>
      <c r="BM56" s="100"/>
      <c r="BN56" s="100"/>
      <c r="BO56" s="100"/>
      <c r="BP56" s="100"/>
      <c r="BQ56" s="100"/>
      <c r="BR56" s="100"/>
      <c r="BS56" s="100"/>
      <c r="BT56" s="100"/>
      <c r="BU56" s="100"/>
      <c r="BV56" s="100"/>
      <c r="BW56" s="100"/>
      <c r="BX56" s="100"/>
      <c r="BY56" s="100"/>
      <c r="BZ56" s="100"/>
      <c r="CA56" s="100"/>
      <c r="CB56" s="100"/>
      <c r="CC56" s="100"/>
      <c r="CD56" s="100"/>
      <c r="CE56" s="100"/>
      <c r="CF56" s="101"/>
    </row>
    <row r="57" spans="1:84" s="83" customFormat="1" ht="26" customHeight="1" x14ac:dyDescent="0.25">
      <c r="A57" s="526" t="s">
        <v>94</v>
      </c>
      <c r="B57" s="526" t="s">
        <v>118</v>
      </c>
      <c r="C57" s="541">
        <v>150</v>
      </c>
      <c r="D57" s="526" t="s">
        <v>81</v>
      </c>
      <c r="E57" s="526" t="s">
        <v>97</v>
      </c>
      <c r="F57" s="526" t="s">
        <v>107</v>
      </c>
      <c r="G57" s="172">
        <v>45993</v>
      </c>
      <c r="H57" s="173" t="s">
        <v>263</v>
      </c>
      <c r="I57" s="84" t="s">
        <v>138</v>
      </c>
      <c r="J57" s="84" t="s">
        <v>121</v>
      </c>
      <c r="K57" s="84" t="s">
        <v>95</v>
      </c>
      <c r="L57" s="84" t="str">
        <f t="shared" si="57"/>
        <v>CHECK VALVE 16" 150# RF, BOLTED CAP, A216</v>
      </c>
      <c r="M57" s="174">
        <v>2</v>
      </c>
      <c r="N57" s="174"/>
      <c r="O57" s="175"/>
      <c r="P57" s="176"/>
      <c r="Q57" s="176"/>
      <c r="R57" s="172">
        <v>46133</v>
      </c>
      <c r="S57" s="172">
        <v>46193</v>
      </c>
      <c r="T57" s="172">
        <v>46203</v>
      </c>
      <c r="U57" s="172">
        <v>46210</v>
      </c>
      <c r="V57" s="172">
        <v>46204</v>
      </c>
      <c r="W57" s="172">
        <v>46206</v>
      </c>
      <c r="X57" s="172">
        <v>46209</v>
      </c>
      <c r="Y57" s="172">
        <v>46211</v>
      </c>
      <c r="Z57" s="172"/>
      <c r="AA57" s="86"/>
      <c r="AB57" s="86"/>
      <c r="AC57" s="86"/>
      <c r="AD57" s="86"/>
      <c r="AE57" s="99"/>
      <c r="AF57" s="100"/>
      <c r="AG57" s="100"/>
      <c r="AH57" s="100"/>
      <c r="AI57" s="100"/>
      <c r="AJ57" s="100"/>
      <c r="AK57" s="100"/>
      <c r="AL57" s="100"/>
      <c r="AM57" s="100"/>
      <c r="AN57" s="100"/>
      <c r="AO57" s="100"/>
      <c r="AP57" s="100"/>
      <c r="AQ57" s="100"/>
      <c r="AR57" s="100"/>
      <c r="AS57" s="100"/>
      <c r="AT57" s="100"/>
      <c r="AU57" s="100"/>
      <c r="AV57" s="100"/>
      <c r="AW57" s="100"/>
      <c r="AX57" s="100"/>
      <c r="AY57" s="100"/>
      <c r="AZ57" s="100"/>
      <c r="BA57" s="100"/>
      <c r="BB57" s="100"/>
      <c r="BC57" s="100"/>
      <c r="BD57" s="100"/>
      <c r="BE57" s="100"/>
      <c r="BF57" s="100"/>
      <c r="BG57" s="100"/>
      <c r="BH57" s="100"/>
      <c r="BI57" s="100"/>
      <c r="BJ57" s="100"/>
      <c r="BK57" s="100"/>
      <c r="BL57" s="100"/>
      <c r="BM57" s="100"/>
      <c r="BN57" s="100"/>
      <c r="BO57" s="100"/>
      <c r="BP57" s="100"/>
      <c r="BQ57" s="100"/>
      <c r="BR57" s="100"/>
      <c r="BS57" s="100"/>
      <c r="BT57" s="100"/>
      <c r="BU57" s="100"/>
      <c r="BV57" s="100"/>
      <c r="BW57" s="100"/>
      <c r="BX57" s="100"/>
      <c r="BY57" s="100"/>
      <c r="BZ57" s="100"/>
      <c r="CA57" s="100"/>
      <c r="CB57" s="100"/>
      <c r="CC57" s="100"/>
      <c r="CD57" s="100"/>
      <c r="CE57" s="100"/>
      <c r="CF57" s="101"/>
    </row>
    <row r="58" spans="1:84" s="83" customFormat="1" ht="26" customHeight="1" x14ac:dyDescent="0.25">
      <c r="A58" s="526" t="s">
        <v>90</v>
      </c>
      <c r="B58" s="526" t="s">
        <v>118</v>
      </c>
      <c r="C58" s="541">
        <v>150</v>
      </c>
      <c r="D58" s="526" t="s">
        <v>81</v>
      </c>
      <c r="E58" s="526" t="s">
        <v>1218</v>
      </c>
      <c r="F58" s="526" t="s">
        <v>107</v>
      </c>
      <c r="G58" s="172">
        <v>45993</v>
      </c>
      <c r="H58" s="173" t="s">
        <v>263</v>
      </c>
      <c r="I58" s="84" t="s">
        <v>138</v>
      </c>
      <c r="J58" s="84" t="s">
        <v>121</v>
      </c>
      <c r="K58" s="84" t="s">
        <v>125</v>
      </c>
      <c r="L58" s="84" t="str">
        <f t="shared" si="57"/>
        <v>GATE VALVE 16" 150# RF, BB-OS&amp;Y, A216</v>
      </c>
      <c r="M58" s="174">
        <v>4</v>
      </c>
      <c r="N58" s="174"/>
      <c r="O58" s="175"/>
      <c r="P58" s="176"/>
      <c r="Q58" s="176"/>
      <c r="R58" s="172">
        <v>46133</v>
      </c>
      <c r="S58" s="172">
        <v>46193</v>
      </c>
      <c r="T58" s="172">
        <v>46203</v>
      </c>
      <c r="U58" s="172">
        <v>46210</v>
      </c>
      <c r="V58" s="172">
        <v>46204</v>
      </c>
      <c r="W58" s="172">
        <v>46206</v>
      </c>
      <c r="X58" s="172">
        <v>46209</v>
      </c>
      <c r="Y58" s="172">
        <v>46211</v>
      </c>
      <c r="Z58" s="172"/>
      <c r="AA58" s="86"/>
      <c r="AB58" s="86"/>
      <c r="AC58" s="86"/>
      <c r="AD58" s="86"/>
      <c r="AE58" s="99"/>
      <c r="AF58" s="100"/>
      <c r="AG58" s="100"/>
      <c r="AH58" s="100"/>
      <c r="AI58" s="100"/>
      <c r="AJ58" s="100"/>
      <c r="AK58" s="100"/>
      <c r="AL58" s="100"/>
      <c r="AM58" s="100"/>
      <c r="AN58" s="100"/>
      <c r="AO58" s="100"/>
      <c r="AP58" s="100"/>
      <c r="AQ58" s="100"/>
      <c r="AR58" s="100"/>
      <c r="AS58" s="100"/>
      <c r="AT58" s="100"/>
      <c r="AU58" s="100"/>
      <c r="AV58" s="100"/>
      <c r="AW58" s="100"/>
      <c r="AX58" s="100"/>
      <c r="AY58" s="100"/>
      <c r="AZ58" s="100"/>
      <c r="BA58" s="100"/>
      <c r="BB58" s="100"/>
      <c r="BC58" s="100"/>
      <c r="BD58" s="100"/>
      <c r="BE58" s="100"/>
      <c r="BF58" s="100"/>
      <c r="BG58" s="100"/>
      <c r="BH58" s="100"/>
      <c r="BI58" s="100"/>
      <c r="BJ58" s="100"/>
      <c r="BK58" s="100"/>
      <c r="BL58" s="100"/>
      <c r="BM58" s="100"/>
      <c r="BN58" s="100"/>
      <c r="BO58" s="100"/>
      <c r="BP58" s="100"/>
      <c r="BQ58" s="100"/>
      <c r="BR58" s="100"/>
      <c r="BS58" s="100"/>
      <c r="BT58" s="100"/>
      <c r="BU58" s="100"/>
      <c r="BV58" s="100"/>
      <c r="BW58" s="100"/>
      <c r="BX58" s="100"/>
      <c r="BY58" s="100"/>
      <c r="BZ58" s="100"/>
      <c r="CA58" s="100"/>
      <c r="CB58" s="100"/>
      <c r="CC58" s="100"/>
      <c r="CD58" s="100"/>
      <c r="CE58" s="100"/>
      <c r="CF58" s="101"/>
    </row>
    <row r="59" spans="1:84" s="83" customFormat="1" ht="26" customHeight="1" x14ac:dyDescent="0.25">
      <c r="A59" s="526" t="s">
        <v>78</v>
      </c>
      <c r="B59" s="526" t="s">
        <v>88</v>
      </c>
      <c r="C59" s="541">
        <v>800</v>
      </c>
      <c r="D59" s="526" t="s">
        <v>106</v>
      </c>
      <c r="E59" s="526" t="s">
        <v>109</v>
      </c>
      <c r="F59" s="526" t="s">
        <v>105</v>
      </c>
      <c r="G59" s="172">
        <v>45993</v>
      </c>
      <c r="H59" s="173" t="s">
        <v>264</v>
      </c>
      <c r="I59" s="84" t="s">
        <v>138</v>
      </c>
      <c r="J59" s="84" t="s">
        <v>121</v>
      </c>
      <c r="K59" s="84" t="s">
        <v>122</v>
      </c>
      <c r="L59" s="84" t="str">
        <f t="shared" si="57"/>
        <v>BALL VALVE 3/4" 800# SW, FLOATING, A105</v>
      </c>
      <c r="M59" s="174">
        <v>3</v>
      </c>
      <c r="N59" s="174"/>
      <c r="O59" s="175"/>
      <c r="P59" s="176"/>
      <c r="Q59" s="176"/>
      <c r="R59" s="172">
        <v>46133</v>
      </c>
      <c r="S59" s="172"/>
      <c r="T59" s="172"/>
      <c r="U59" s="172"/>
      <c r="V59" s="172"/>
      <c r="W59" s="172"/>
      <c r="X59" s="172"/>
      <c r="Y59" s="172"/>
      <c r="Z59" s="172"/>
      <c r="AA59" s="86"/>
      <c r="AB59" s="86"/>
      <c r="AC59" s="86"/>
      <c r="AD59" s="86"/>
      <c r="AE59" s="99"/>
      <c r="AF59" s="100"/>
      <c r="AG59" s="100"/>
      <c r="AH59" s="100"/>
      <c r="AI59" s="100"/>
      <c r="AJ59" s="100"/>
      <c r="AK59" s="100"/>
      <c r="AL59" s="100"/>
      <c r="AM59" s="100"/>
      <c r="AN59" s="100"/>
      <c r="AO59" s="100"/>
      <c r="AP59" s="100"/>
      <c r="AQ59" s="100"/>
      <c r="AR59" s="100"/>
      <c r="AS59" s="100"/>
      <c r="AT59" s="100"/>
      <c r="AU59" s="100"/>
      <c r="AV59" s="100"/>
      <c r="AW59" s="100"/>
      <c r="AX59" s="100"/>
      <c r="AY59" s="100"/>
      <c r="AZ59" s="100"/>
      <c r="BA59" s="100"/>
      <c r="BB59" s="100"/>
      <c r="BC59" s="100"/>
      <c r="BD59" s="100"/>
      <c r="BE59" s="100"/>
      <c r="BF59" s="100"/>
      <c r="BG59" s="100"/>
      <c r="BH59" s="100"/>
      <c r="BI59" s="100"/>
      <c r="BJ59" s="100"/>
      <c r="BK59" s="100"/>
      <c r="BL59" s="100"/>
      <c r="BM59" s="100"/>
      <c r="BN59" s="100"/>
      <c r="BO59" s="100"/>
      <c r="BP59" s="100"/>
      <c r="BQ59" s="100"/>
      <c r="BR59" s="100"/>
      <c r="BS59" s="100"/>
      <c r="BT59" s="100"/>
      <c r="BU59" s="100"/>
      <c r="BV59" s="100"/>
      <c r="BW59" s="100"/>
      <c r="BX59" s="100"/>
      <c r="BY59" s="100"/>
      <c r="BZ59" s="100"/>
      <c r="CA59" s="100"/>
      <c r="CB59" s="100"/>
      <c r="CC59" s="100"/>
      <c r="CD59" s="100"/>
      <c r="CE59" s="100"/>
      <c r="CF59" s="101"/>
    </row>
    <row r="60" spans="1:84" s="83" customFormat="1" ht="26" customHeight="1" x14ac:dyDescent="0.25">
      <c r="A60" s="526" t="s">
        <v>78</v>
      </c>
      <c r="B60" s="526" t="s">
        <v>88</v>
      </c>
      <c r="C60" s="541">
        <v>800</v>
      </c>
      <c r="D60" s="526" t="s">
        <v>106</v>
      </c>
      <c r="E60" s="526" t="s">
        <v>109</v>
      </c>
      <c r="F60" s="526" t="s">
        <v>105</v>
      </c>
      <c r="G60" s="172">
        <v>45993</v>
      </c>
      <c r="H60" s="173" t="s">
        <v>264</v>
      </c>
      <c r="I60" s="84" t="s">
        <v>138</v>
      </c>
      <c r="J60" s="84" t="s">
        <v>121</v>
      </c>
      <c r="K60" s="84" t="s">
        <v>123</v>
      </c>
      <c r="L60" s="84" t="str">
        <f t="shared" si="57"/>
        <v>BALL VALVE 3/4" 800# SW, FLOATING, A105</v>
      </c>
      <c r="M60" s="174">
        <v>8</v>
      </c>
      <c r="N60" s="174"/>
      <c r="O60" s="175"/>
      <c r="P60" s="176"/>
      <c r="Q60" s="176"/>
      <c r="R60" s="172">
        <v>46133</v>
      </c>
      <c r="S60" s="172"/>
      <c r="T60" s="172"/>
      <c r="U60" s="172"/>
      <c r="V60" s="172"/>
      <c r="W60" s="172"/>
      <c r="X60" s="172"/>
      <c r="Y60" s="172"/>
      <c r="Z60" s="172"/>
      <c r="AA60" s="86"/>
      <c r="AB60" s="86"/>
      <c r="AC60" s="86"/>
      <c r="AD60" s="86"/>
      <c r="AE60" s="99"/>
      <c r="AF60" s="100"/>
      <c r="AG60" s="100"/>
      <c r="AH60" s="100"/>
      <c r="AI60" s="100"/>
      <c r="AJ60" s="100"/>
      <c r="AK60" s="100"/>
      <c r="AL60" s="100"/>
      <c r="AM60" s="100"/>
      <c r="AN60" s="100"/>
      <c r="AO60" s="100"/>
      <c r="AP60" s="100"/>
      <c r="AQ60" s="100"/>
      <c r="AR60" s="100"/>
      <c r="AS60" s="100"/>
      <c r="AT60" s="100"/>
      <c r="AU60" s="100"/>
      <c r="AV60" s="100"/>
      <c r="AW60" s="100"/>
      <c r="AX60" s="100"/>
      <c r="AY60" s="100"/>
      <c r="AZ60" s="100"/>
      <c r="BA60" s="100"/>
      <c r="BB60" s="100"/>
      <c r="BC60" s="100"/>
      <c r="BD60" s="100"/>
      <c r="BE60" s="100"/>
      <c r="BF60" s="100"/>
      <c r="BG60" s="100"/>
      <c r="BH60" s="100"/>
      <c r="BI60" s="100"/>
      <c r="BJ60" s="100"/>
      <c r="BK60" s="100"/>
      <c r="BL60" s="100"/>
      <c r="BM60" s="100"/>
      <c r="BN60" s="100"/>
      <c r="BO60" s="100"/>
      <c r="BP60" s="100"/>
      <c r="BQ60" s="100"/>
      <c r="BR60" s="100"/>
      <c r="BS60" s="100"/>
      <c r="BT60" s="100"/>
      <c r="BU60" s="100"/>
      <c r="BV60" s="100"/>
      <c r="BW60" s="100"/>
      <c r="BX60" s="100"/>
      <c r="BY60" s="100"/>
      <c r="BZ60" s="100"/>
      <c r="CA60" s="100"/>
      <c r="CB60" s="100"/>
      <c r="CC60" s="100"/>
      <c r="CD60" s="100"/>
      <c r="CE60" s="100"/>
      <c r="CF60" s="101"/>
    </row>
    <row r="61" spans="1:84" s="83" customFormat="1" ht="26" customHeight="1" x14ac:dyDescent="0.25">
      <c r="A61" s="526" t="s">
        <v>78</v>
      </c>
      <c r="B61" s="526" t="s">
        <v>119</v>
      </c>
      <c r="C61" s="541">
        <v>150</v>
      </c>
      <c r="D61" s="526" t="s">
        <v>81</v>
      </c>
      <c r="E61" s="526" t="s">
        <v>108</v>
      </c>
      <c r="F61" s="526" t="s">
        <v>107</v>
      </c>
      <c r="G61" s="172">
        <v>45993</v>
      </c>
      <c r="H61" s="173" t="s">
        <v>263</v>
      </c>
      <c r="I61" s="84" t="s">
        <v>138</v>
      </c>
      <c r="J61" s="84" t="s">
        <v>121</v>
      </c>
      <c r="K61" s="84" t="s">
        <v>126</v>
      </c>
      <c r="L61" s="84" t="str">
        <f t="shared" si="57"/>
        <v>BALL VALVE 12" 150# RF, TRUNNION, A216</v>
      </c>
      <c r="M61" s="174">
        <v>1</v>
      </c>
      <c r="N61" s="174"/>
      <c r="O61" s="175"/>
      <c r="P61" s="176"/>
      <c r="Q61" s="176"/>
      <c r="R61" s="172">
        <v>46133</v>
      </c>
      <c r="S61" s="172">
        <v>46193</v>
      </c>
      <c r="T61" s="172">
        <v>46203</v>
      </c>
      <c r="U61" s="172">
        <v>46210</v>
      </c>
      <c r="V61" s="172">
        <v>46204</v>
      </c>
      <c r="W61" s="172">
        <v>46206</v>
      </c>
      <c r="X61" s="172">
        <v>46209</v>
      </c>
      <c r="Y61" s="172">
        <v>46211</v>
      </c>
      <c r="Z61" s="172"/>
      <c r="AA61" s="86"/>
      <c r="AB61" s="86"/>
      <c r="AC61" s="86"/>
      <c r="AD61" s="86"/>
      <c r="AE61" s="99"/>
      <c r="AF61" s="100"/>
      <c r="AG61" s="100"/>
      <c r="AH61" s="100"/>
      <c r="AI61" s="100"/>
      <c r="AJ61" s="100"/>
      <c r="AK61" s="100"/>
      <c r="AL61" s="100"/>
      <c r="AM61" s="100"/>
      <c r="AN61" s="100"/>
      <c r="AO61" s="100"/>
      <c r="AP61" s="100"/>
      <c r="AQ61" s="100"/>
      <c r="AR61" s="100"/>
      <c r="AS61" s="100"/>
      <c r="AT61" s="100"/>
      <c r="AU61" s="100"/>
      <c r="AV61" s="100"/>
      <c r="AW61" s="100"/>
      <c r="AX61" s="100"/>
      <c r="AY61" s="100"/>
      <c r="AZ61" s="100"/>
      <c r="BA61" s="100"/>
      <c r="BB61" s="100"/>
      <c r="BC61" s="100"/>
      <c r="BD61" s="100"/>
      <c r="BE61" s="100"/>
      <c r="BF61" s="100"/>
      <c r="BG61" s="100"/>
      <c r="BH61" s="100"/>
      <c r="BI61" s="100"/>
      <c r="BJ61" s="100"/>
      <c r="BK61" s="100"/>
      <c r="BL61" s="100"/>
      <c r="BM61" s="100"/>
      <c r="BN61" s="100"/>
      <c r="BO61" s="100"/>
      <c r="BP61" s="100"/>
      <c r="BQ61" s="100"/>
      <c r="BR61" s="100"/>
      <c r="BS61" s="100"/>
      <c r="BT61" s="100"/>
      <c r="BU61" s="100"/>
      <c r="BV61" s="100"/>
      <c r="BW61" s="100"/>
      <c r="BX61" s="100"/>
      <c r="BY61" s="100"/>
      <c r="BZ61" s="100"/>
      <c r="CA61" s="100"/>
      <c r="CB61" s="100"/>
      <c r="CC61" s="100"/>
      <c r="CD61" s="100"/>
      <c r="CE61" s="100"/>
      <c r="CF61" s="101"/>
    </row>
    <row r="62" spans="1:84" s="83" customFormat="1" ht="26" customHeight="1" x14ac:dyDescent="0.25">
      <c r="A62" s="526" t="s">
        <v>90</v>
      </c>
      <c r="B62" s="526" t="s">
        <v>119</v>
      </c>
      <c r="C62" s="541">
        <v>150</v>
      </c>
      <c r="D62" s="526" t="s">
        <v>81</v>
      </c>
      <c r="E62" s="526" t="s">
        <v>1218</v>
      </c>
      <c r="F62" s="526" t="s">
        <v>107</v>
      </c>
      <c r="G62" s="172">
        <v>45993</v>
      </c>
      <c r="H62" s="173" t="s">
        <v>263</v>
      </c>
      <c r="I62" s="84" t="s">
        <v>138</v>
      </c>
      <c r="J62" s="84" t="s">
        <v>121</v>
      </c>
      <c r="K62" s="84" t="s">
        <v>125</v>
      </c>
      <c r="L62" s="84" t="str">
        <f t="shared" si="57"/>
        <v>GATE VALVE 12" 150# RF, BB-OS&amp;Y, A216</v>
      </c>
      <c r="M62" s="174">
        <v>2</v>
      </c>
      <c r="N62" s="174"/>
      <c r="O62" s="175"/>
      <c r="P62" s="176"/>
      <c r="Q62" s="176"/>
      <c r="R62" s="172">
        <v>46133</v>
      </c>
      <c r="S62" s="172">
        <v>46193</v>
      </c>
      <c r="T62" s="172">
        <v>46203</v>
      </c>
      <c r="U62" s="172">
        <v>46210</v>
      </c>
      <c r="V62" s="172">
        <v>46204</v>
      </c>
      <c r="W62" s="172">
        <v>46206</v>
      </c>
      <c r="X62" s="172">
        <v>46209</v>
      </c>
      <c r="Y62" s="172">
        <v>46211</v>
      </c>
      <c r="Z62" s="172"/>
      <c r="AA62" s="86"/>
      <c r="AB62" s="86"/>
      <c r="AC62" s="86"/>
      <c r="AD62" s="86"/>
      <c r="AE62" s="99"/>
      <c r="AF62" s="100"/>
      <c r="AG62" s="100"/>
      <c r="AH62" s="100"/>
      <c r="AI62" s="100"/>
      <c r="AJ62" s="100"/>
      <c r="AK62" s="100"/>
      <c r="AL62" s="100"/>
      <c r="AM62" s="100"/>
      <c r="AN62" s="100"/>
      <c r="AO62" s="100"/>
      <c r="AP62" s="100"/>
      <c r="AQ62" s="100"/>
      <c r="AR62" s="100"/>
      <c r="AS62" s="100"/>
      <c r="AT62" s="100"/>
      <c r="AU62" s="100"/>
      <c r="AV62" s="100"/>
      <c r="AW62" s="100"/>
      <c r="AX62" s="100"/>
      <c r="AY62" s="100"/>
      <c r="AZ62" s="100"/>
      <c r="BA62" s="100"/>
      <c r="BB62" s="100"/>
      <c r="BC62" s="100"/>
      <c r="BD62" s="100"/>
      <c r="BE62" s="100"/>
      <c r="BF62" s="100"/>
      <c r="BG62" s="100"/>
      <c r="BH62" s="100"/>
      <c r="BI62" s="100"/>
      <c r="BJ62" s="100"/>
      <c r="BK62" s="100"/>
      <c r="BL62" s="100"/>
      <c r="BM62" s="100"/>
      <c r="BN62" s="100"/>
      <c r="BO62" s="100"/>
      <c r="BP62" s="100"/>
      <c r="BQ62" s="100"/>
      <c r="BR62" s="100"/>
      <c r="BS62" s="100"/>
      <c r="BT62" s="100"/>
      <c r="BU62" s="100"/>
      <c r="BV62" s="100"/>
      <c r="BW62" s="100"/>
      <c r="BX62" s="100"/>
      <c r="BY62" s="100"/>
      <c r="BZ62" s="100"/>
      <c r="CA62" s="100"/>
      <c r="CB62" s="100"/>
      <c r="CC62" s="100"/>
      <c r="CD62" s="100"/>
      <c r="CE62" s="100"/>
      <c r="CF62" s="101"/>
    </row>
    <row r="63" spans="1:84" s="83" customFormat="1" ht="26" customHeight="1" x14ac:dyDescent="0.25">
      <c r="A63" s="526" t="s">
        <v>90</v>
      </c>
      <c r="B63" s="526" t="s">
        <v>118</v>
      </c>
      <c r="C63" s="541">
        <v>150</v>
      </c>
      <c r="D63" s="526" t="s">
        <v>81</v>
      </c>
      <c r="E63" s="526" t="s">
        <v>1218</v>
      </c>
      <c r="F63" s="526" t="s">
        <v>107</v>
      </c>
      <c r="G63" s="172">
        <v>45993</v>
      </c>
      <c r="H63" s="173" t="s">
        <v>263</v>
      </c>
      <c r="I63" s="84" t="s">
        <v>138</v>
      </c>
      <c r="J63" s="84" t="s">
        <v>121</v>
      </c>
      <c r="K63" s="84" t="s">
        <v>125</v>
      </c>
      <c r="L63" s="84" t="str">
        <f t="shared" si="57"/>
        <v>GATE VALVE 16" 150# RF, BB-OS&amp;Y, A216</v>
      </c>
      <c r="M63" s="174">
        <v>2</v>
      </c>
      <c r="N63" s="174"/>
      <c r="O63" s="175"/>
      <c r="P63" s="176"/>
      <c r="Q63" s="176"/>
      <c r="R63" s="172">
        <v>46133</v>
      </c>
      <c r="S63" s="172">
        <v>46193</v>
      </c>
      <c r="T63" s="172">
        <v>46203</v>
      </c>
      <c r="U63" s="172">
        <v>46210</v>
      </c>
      <c r="V63" s="172">
        <v>46204</v>
      </c>
      <c r="W63" s="172">
        <v>46206</v>
      </c>
      <c r="X63" s="172">
        <v>46209</v>
      </c>
      <c r="Y63" s="172">
        <v>46211</v>
      </c>
      <c r="Z63" s="172"/>
      <c r="AA63" s="86"/>
      <c r="AB63" s="86"/>
      <c r="AC63" s="86"/>
      <c r="AD63" s="86"/>
      <c r="AE63" s="99"/>
      <c r="AF63" s="100"/>
      <c r="AG63" s="100"/>
      <c r="AH63" s="100"/>
      <c r="AI63" s="100"/>
      <c r="AJ63" s="100"/>
      <c r="AK63" s="100"/>
      <c r="AL63" s="100"/>
      <c r="AM63" s="100"/>
      <c r="AN63" s="100"/>
      <c r="AO63" s="100"/>
      <c r="AP63" s="100"/>
      <c r="AQ63" s="100"/>
      <c r="AR63" s="100"/>
      <c r="AS63" s="100"/>
      <c r="AT63" s="100"/>
      <c r="AU63" s="100"/>
      <c r="AV63" s="100"/>
      <c r="AW63" s="100"/>
      <c r="AX63" s="100"/>
      <c r="AY63" s="100"/>
      <c r="AZ63" s="100"/>
      <c r="BA63" s="100"/>
      <c r="BB63" s="100"/>
      <c r="BC63" s="100"/>
      <c r="BD63" s="100"/>
      <c r="BE63" s="100"/>
      <c r="BF63" s="100"/>
      <c r="BG63" s="100"/>
      <c r="BH63" s="100"/>
      <c r="BI63" s="100"/>
      <c r="BJ63" s="100"/>
      <c r="BK63" s="100"/>
      <c r="BL63" s="100"/>
      <c r="BM63" s="100"/>
      <c r="BN63" s="100"/>
      <c r="BO63" s="100"/>
      <c r="BP63" s="100"/>
      <c r="BQ63" s="100"/>
      <c r="BR63" s="100"/>
      <c r="BS63" s="100"/>
      <c r="BT63" s="100"/>
      <c r="BU63" s="100"/>
      <c r="BV63" s="100"/>
      <c r="BW63" s="100"/>
      <c r="BX63" s="100"/>
      <c r="BY63" s="100"/>
      <c r="BZ63" s="100"/>
      <c r="CA63" s="100"/>
      <c r="CB63" s="100"/>
      <c r="CC63" s="100"/>
      <c r="CD63" s="100"/>
      <c r="CE63" s="100"/>
      <c r="CF63" s="101"/>
    </row>
    <row r="64" spans="1:84" s="83" customFormat="1" ht="26" customHeight="1" x14ac:dyDescent="0.25">
      <c r="A64" s="526" t="s">
        <v>94</v>
      </c>
      <c r="B64" s="526" t="s">
        <v>118</v>
      </c>
      <c r="C64" s="541">
        <v>150</v>
      </c>
      <c r="D64" s="526" t="s">
        <v>81</v>
      </c>
      <c r="E64" s="526" t="s">
        <v>97</v>
      </c>
      <c r="F64" s="526" t="s">
        <v>107</v>
      </c>
      <c r="G64" s="172">
        <v>45993</v>
      </c>
      <c r="H64" s="173" t="s">
        <v>263</v>
      </c>
      <c r="I64" s="84" t="s">
        <v>138</v>
      </c>
      <c r="J64" s="84" t="s">
        <v>121</v>
      </c>
      <c r="K64" s="84" t="s">
        <v>127</v>
      </c>
      <c r="L64" s="84" t="str">
        <f t="shared" si="57"/>
        <v>CHECK VALVE 16" 150# RF, BOLTED CAP, A216</v>
      </c>
      <c r="M64" s="174">
        <v>1</v>
      </c>
      <c r="N64" s="174"/>
      <c r="O64" s="175"/>
      <c r="P64" s="176"/>
      <c r="Q64" s="176"/>
      <c r="R64" s="172">
        <v>46133</v>
      </c>
      <c r="S64" s="172">
        <v>46193</v>
      </c>
      <c r="T64" s="172">
        <v>46203</v>
      </c>
      <c r="U64" s="172">
        <v>46210</v>
      </c>
      <c r="V64" s="172">
        <v>46204</v>
      </c>
      <c r="W64" s="172">
        <v>46206</v>
      </c>
      <c r="X64" s="172">
        <v>46209</v>
      </c>
      <c r="Y64" s="172">
        <v>46211</v>
      </c>
      <c r="Z64" s="172"/>
      <c r="AA64" s="86"/>
      <c r="AB64" s="86"/>
      <c r="AC64" s="86"/>
      <c r="AD64" s="86"/>
      <c r="AE64" s="99"/>
      <c r="AF64" s="100"/>
      <c r="AG64" s="100"/>
      <c r="AH64" s="100"/>
      <c r="AI64" s="100"/>
      <c r="AJ64" s="100"/>
      <c r="AK64" s="100"/>
      <c r="AL64" s="100"/>
      <c r="AM64" s="100"/>
      <c r="AN64" s="100"/>
      <c r="AO64" s="100"/>
      <c r="AP64" s="100"/>
      <c r="AQ64" s="100"/>
      <c r="AR64" s="100"/>
      <c r="AS64" s="100"/>
      <c r="AT64" s="100"/>
      <c r="AU64" s="100"/>
      <c r="AV64" s="100"/>
      <c r="AW64" s="100"/>
      <c r="AX64" s="100"/>
      <c r="AY64" s="100"/>
      <c r="AZ64" s="100"/>
      <c r="BA64" s="100"/>
      <c r="BB64" s="100"/>
      <c r="BC64" s="100"/>
      <c r="BD64" s="100"/>
      <c r="BE64" s="100"/>
      <c r="BF64" s="100"/>
      <c r="BG64" s="100"/>
      <c r="BH64" s="100"/>
      <c r="BI64" s="100"/>
      <c r="BJ64" s="100"/>
      <c r="BK64" s="100"/>
      <c r="BL64" s="100"/>
      <c r="BM64" s="100"/>
      <c r="BN64" s="100"/>
      <c r="BO64" s="100"/>
      <c r="BP64" s="100"/>
      <c r="BQ64" s="100"/>
      <c r="BR64" s="100"/>
      <c r="BS64" s="100"/>
      <c r="BT64" s="100"/>
      <c r="BU64" s="100"/>
      <c r="BV64" s="100"/>
      <c r="BW64" s="100"/>
      <c r="BX64" s="100"/>
      <c r="BY64" s="100"/>
      <c r="BZ64" s="100"/>
      <c r="CA64" s="100"/>
      <c r="CB64" s="100"/>
      <c r="CC64" s="100"/>
      <c r="CD64" s="100"/>
      <c r="CE64" s="100"/>
      <c r="CF64" s="101"/>
    </row>
    <row r="65" spans="1:84" s="83" customFormat="1" ht="26" customHeight="1" x14ac:dyDescent="0.25">
      <c r="A65" s="526" t="s">
        <v>78</v>
      </c>
      <c r="B65" s="526" t="s">
        <v>88</v>
      </c>
      <c r="C65" s="541">
        <v>800</v>
      </c>
      <c r="D65" s="526" t="s">
        <v>106</v>
      </c>
      <c r="E65" s="526" t="s">
        <v>109</v>
      </c>
      <c r="F65" s="526" t="s">
        <v>180</v>
      </c>
      <c r="G65" s="172">
        <v>45993</v>
      </c>
      <c r="H65" s="173" t="s">
        <v>264</v>
      </c>
      <c r="I65" s="84" t="s">
        <v>138</v>
      </c>
      <c r="J65" s="84" t="s">
        <v>121</v>
      </c>
      <c r="K65" s="84" t="s">
        <v>128</v>
      </c>
      <c r="L65" s="84" t="str">
        <f t="shared" si="57"/>
        <v>BALL VALVE 3/4" 800# SW, FLOATING, A182</v>
      </c>
      <c r="M65" s="174">
        <v>4</v>
      </c>
      <c r="N65" s="174"/>
      <c r="O65" s="175"/>
      <c r="P65" s="176"/>
      <c r="Q65" s="176"/>
      <c r="R65" s="172">
        <v>46133</v>
      </c>
      <c r="S65" s="172"/>
      <c r="T65" s="172"/>
      <c r="U65" s="172"/>
      <c r="V65" s="172"/>
      <c r="W65" s="172"/>
      <c r="X65" s="172"/>
      <c r="Y65" s="172"/>
      <c r="Z65" s="172"/>
      <c r="AA65" s="86"/>
      <c r="AB65" s="86"/>
      <c r="AC65" s="86"/>
      <c r="AD65" s="86"/>
      <c r="AE65" s="99"/>
      <c r="AF65" s="100"/>
      <c r="AG65" s="100"/>
      <c r="AH65" s="100"/>
      <c r="AI65" s="100"/>
      <c r="AJ65" s="100"/>
      <c r="AK65" s="100"/>
      <c r="AL65" s="100"/>
      <c r="AM65" s="100"/>
      <c r="AN65" s="100"/>
      <c r="AO65" s="100"/>
      <c r="AP65" s="100"/>
      <c r="AQ65" s="100"/>
      <c r="AR65" s="100"/>
      <c r="AS65" s="100"/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100"/>
      <c r="BH65" s="100"/>
      <c r="BI65" s="100"/>
      <c r="BJ65" s="100"/>
      <c r="BK65" s="100"/>
      <c r="BL65" s="100"/>
      <c r="BM65" s="100"/>
      <c r="BN65" s="100"/>
      <c r="BO65" s="100"/>
      <c r="BP65" s="100"/>
      <c r="BQ65" s="100"/>
      <c r="BR65" s="100"/>
      <c r="BS65" s="100"/>
      <c r="BT65" s="100"/>
      <c r="BU65" s="100"/>
      <c r="BV65" s="100"/>
      <c r="BW65" s="100"/>
      <c r="BX65" s="100"/>
      <c r="BY65" s="100"/>
      <c r="BZ65" s="100"/>
      <c r="CA65" s="100"/>
      <c r="CB65" s="100"/>
      <c r="CC65" s="100"/>
      <c r="CD65" s="100"/>
      <c r="CE65" s="100"/>
      <c r="CF65" s="101"/>
    </row>
    <row r="66" spans="1:84" s="83" customFormat="1" ht="26" customHeight="1" x14ac:dyDescent="0.25">
      <c r="A66" s="526" t="s">
        <v>78</v>
      </c>
      <c r="B66" s="526" t="s">
        <v>88</v>
      </c>
      <c r="C66" s="541">
        <v>800</v>
      </c>
      <c r="D66" s="526" t="s">
        <v>106</v>
      </c>
      <c r="E66" s="526" t="s">
        <v>109</v>
      </c>
      <c r="F66" s="526" t="s">
        <v>180</v>
      </c>
      <c r="G66" s="172">
        <v>45993</v>
      </c>
      <c r="H66" s="173" t="s">
        <v>264</v>
      </c>
      <c r="I66" s="84" t="s">
        <v>138</v>
      </c>
      <c r="J66" s="84" t="s">
        <v>121</v>
      </c>
      <c r="K66" s="84" t="s">
        <v>129</v>
      </c>
      <c r="L66" s="84" t="str">
        <f t="shared" si="57"/>
        <v>BALL VALVE 3/4" 800# SW, FLOATING, A182</v>
      </c>
      <c r="M66" s="174">
        <v>11</v>
      </c>
      <c r="N66" s="174"/>
      <c r="O66" s="175"/>
      <c r="P66" s="176"/>
      <c r="Q66" s="176"/>
      <c r="R66" s="172">
        <v>46133</v>
      </c>
      <c r="S66" s="172"/>
      <c r="T66" s="172"/>
      <c r="U66" s="172"/>
      <c r="V66" s="172"/>
      <c r="W66" s="172"/>
      <c r="X66" s="172"/>
      <c r="Y66" s="172"/>
      <c r="Z66" s="172"/>
      <c r="AA66" s="86"/>
      <c r="AB66" s="86"/>
      <c r="AC66" s="86"/>
      <c r="AD66" s="86"/>
      <c r="AE66" s="99"/>
      <c r="AF66" s="100"/>
      <c r="AG66" s="100"/>
      <c r="AH66" s="100"/>
      <c r="AI66" s="100"/>
      <c r="AJ66" s="100"/>
      <c r="AK66" s="100"/>
      <c r="AL66" s="100"/>
      <c r="AM66" s="100"/>
      <c r="AN66" s="100"/>
      <c r="AO66" s="100"/>
      <c r="AP66" s="100"/>
      <c r="AQ66" s="100"/>
      <c r="AR66" s="100"/>
      <c r="AS66" s="100"/>
      <c r="AT66" s="100"/>
      <c r="AU66" s="100"/>
      <c r="AV66" s="100"/>
      <c r="AW66" s="100"/>
      <c r="AX66" s="100"/>
      <c r="AY66" s="100"/>
      <c r="AZ66" s="100"/>
      <c r="BA66" s="100"/>
      <c r="BB66" s="100"/>
      <c r="BC66" s="100"/>
      <c r="BD66" s="100"/>
      <c r="BE66" s="100"/>
      <c r="BF66" s="100"/>
      <c r="BG66" s="100"/>
      <c r="BH66" s="100"/>
      <c r="BI66" s="100"/>
      <c r="BJ66" s="100"/>
      <c r="BK66" s="100"/>
      <c r="BL66" s="100"/>
      <c r="BM66" s="100"/>
      <c r="BN66" s="100"/>
      <c r="BO66" s="100"/>
      <c r="BP66" s="100"/>
      <c r="BQ66" s="100"/>
      <c r="BR66" s="100"/>
      <c r="BS66" s="100"/>
      <c r="BT66" s="100"/>
      <c r="BU66" s="100"/>
      <c r="BV66" s="100"/>
      <c r="BW66" s="100"/>
      <c r="BX66" s="100"/>
      <c r="BY66" s="100"/>
      <c r="BZ66" s="100"/>
      <c r="CA66" s="100"/>
      <c r="CB66" s="100"/>
      <c r="CC66" s="100"/>
      <c r="CD66" s="100"/>
      <c r="CE66" s="100"/>
      <c r="CF66" s="101"/>
    </row>
    <row r="67" spans="1:84" s="83" customFormat="1" ht="26" customHeight="1" x14ac:dyDescent="0.25">
      <c r="A67" s="526" t="s">
        <v>90</v>
      </c>
      <c r="B67" s="526" t="s">
        <v>117</v>
      </c>
      <c r="C67" s="541">
        <v>800</v>
      </c>
      <c r="D67" s="526" t="s">
        <v>106</v>
      </c>
      <c r="E67" s="526" t="s">
        <v>1218</v>
      </c>
      <c r="F67" s="526" t="s">
        <v>180</v>
      </c>
      <c r="G67" s="172">
        <v>45993</v>
      </c>
      <c r="H67" s="173" t="s">
        <v>264</v>
      </c>
      <c r="I67" s="84" t="s">
        <v>138</v>
      </c>
      <c r="J67" s="84" t="s">
        <v>121</v>
      </c>
      <c r="K67" s="84" t="s">
        <v>130</v>
      </c>
      <c r="L67" s="84" t="str">
        <f t="shared" si="57"/>
        <v>GATE VALVE 1" 800# SW, BB-OS&amp;Y, A182</v>
      </c>
      <c r="M67" s="174">
        <v>2</v>
      </c>
      <c r="N67" s="174"/>
      <c r="O67" s="175"/>
      <c r="P67" s="176"/>
      <c r="Q67" s="176"/>
      <c r="R67" s="172">
        <v>46133</v>
      </c>
      <c r="S67" s="172"/>
      <c r="T67" s="172"/>
      <c r="U67" s="172"/>
      <c r="V67" s="172"/>
      <c r="W67" s="172"/>
      <c r="X67" s="172"/>
      <c r="Y67" s="172"/>
      <c r="Z67" s="172"/>
      <c r="AA67" s="86"/>
      <c r="AB67" s="86"/>
      <c r="AC67" s="86"/>
      <c r="AD67" s="86"/>
      <c r="AE67" s="99"/>
      <c r="AF67" s="100"/>
      <c r="AG67" s="100"/>
      <c r="AH67" s="100"/>
      <c r="AI67" s="100"/>
      <c r="AJ67" s="100"/>
      <c r="AK67" s="100"/>
      <c r="AL67" s="100"/>
      <c r="AM67" s="100"/>
      <c r="AN67" s="100"/>
      <c r="AO67" s="100"/>
      <c r="AP67" s="100"/>
      <c r="AQ67" s="100"/>
      <c r="AR67" s="100"/>
      <c r="AS67" s="100"/>
      <c r="AT67" s="100"/>
      <c r="AU67" s="100"/>
      <c r="AV67" s="100"/>
      <c r="AW67" s="100"/>
      <c r="AX67" s="100"/>
      <c r="AY67" s="100"/>
      <c r="AZ67" s="100"/>
      <c r="BA67" s="100"/>
      <c r="BB67" s="100"/>
      <c r="BC67" s="100"/>
      <c r="BD67" s="100"/>
      <c r="BE67" s="100"/>
      <c r="BF67" s="100"/>
      <c r="BG67" s="100"/>
      <c r="BH67" s="100"/>
      <c r="BI67" s="100"/>
      <c r="BJ67" s="100"/>
      <c r="BK67" s="100"/>
      <c r="BL67" s="100"/>
      <c r="BM67" s="100"/>
      <c r="BN67" s="100"/>
      <c r="BO67" s="100"/>
      <c r="BP67" s="100"/>
      <c r="BQ67" s="100"/>
      <c r="BR67" s="100"/>
      <c r="BS67" s="100"/>
      <c r="BT67" s="100"/>
      <c r="BU67" s="100"/>
      <c r="BV67" s="100"/>
      <c r="BW67" s="100"/>
      <c r="BX67" s="100"/>
      <c r="BY67" s="100"/>
      <c r="BZ67" s="100"/>
      <c r="CA67" s="100"/>
      <c r="CB67" s="100"/>
      <c r="CC67" s="100"/>
      <c r="CD67" s="100"/>
      <c r="CE67" s="100"/>
      <c r="CF67" s="101"/>
    </row>
    <row r="68" spans="1:84" s="83" customFormat="1" ht="26" customHeight="1" x14ac:dyDescent="0.25">
      <c r="A68" s="526" t="s">
        <v>94</v>
      </c>
      <c r="B68" s="526" t="s">
        <v>86</v>
      </c>
      <c r="C68" s="541">
        <v>150</v>
      </c>
      <c r="D68" s="526" t="s">
        <v>81</v>
      </c>
      <c r="E68" s="526" t="s">
        <v>97</v>
      </c>
      <c r="F68" s="526" t="s">
        <v>181</v>
      </c>
      <c r="G68" s="172">
        <v>45993</v>
      </c>
      <c r="H68" s="173" t="s">
        <v>263</v>
      </c>
      <c r="I68" s="84" t="s">
        <v>138</v>
      </c>
      <c r="J68" s="84" t="s">
        <v>121</v>
      </c>
      <c r="K68" s="84" t="s">
        <v>131</v>
      </c>
      <c r="L68" s="84" t="str">
        <f t="shared" si="57"/>
        <v>CHECK VALVE 2" 150# RF, BOLTED CAP, A351</v>
      </c>
      <c r="M68" s="174">
        <v>4</v>
      </c>
      <c r="N68" s="174"/>
      <c r="O68" s="175"/>
      <c r="P68" s="176"/>
      <c r="Q68" s="176"/>
      <c r="R68" s="172">
        <v>46133</v>
      </c>
      <c r="S68" s="172">
        <v>46193</v>
      </c>
      <c r="T68" s="172">
        <v>46203</v>
      </c>
      <c r="U68" s="172">
        <v>46210</v>
      </c>
      <c r="V68" s="172">
        <v>46204</v>
      </c>
      <c r="W68" s="172">
        <v>46206</v>
      </c>
      <c r="X68" s="172">
        <v>46209</v>
      </c>
      <c r="Y68" s="172">
        <v>46211</v>
      </c>
      <c r="Z68" s="172"/>
      <c r="AA68" s="86"/>
      <c r="AB68" s="86"/>
      <c r="AC68" s="86"/>
      <c r="AD68" s="86"/>
      <c r="AE68" s="99"/>
      <c r="AF68" s="100"/>
      <c r="AG68" s="100"/>
      <c r="AH68" s="100"/>
      <c r="AI68" s="100"/>
      <c r="AJ68" s="100"/>
      <c r="AK68" s="100"/>
      <c r="AL68" s="100"/>
      <c r="AM68" s="100"/>
      <c r="AN68" s="100"/>
      <c r="AO68" s="100"/>
      <c r="AP68" s="100"/>
      <c r="AQ68" s="100"/>
      <c r="AR68" s="100"/>
      <c r="AS68" s="100"/>
      <c r="AT68" s="100"/>
      <c r="AU68" s="100"/>
      <c r="AV68" s="100"/>
      <c r="AW68" s="100"/>
      <c r="AX68" s="100"/>
      <c r="AY68" s="100"/>
      <c r="AZ68" s="100"/>
      <c r="BA68" s="100"/>
      <c r="BB68" s="100"/>
      <c r="BC68" s="100"/>
      <c r="BD68" s="100"/>
      <c r="BE68" s="100"/>
      <c r="BF68" s="100"/>
      <c r="BG68" s="100"/>
      <c r="BH68" s="100"/>
      <c r="BI68" s="100"/>
      <c r="BJ68" s="100"/>
      <c r="BK68" s="100"/>
      <c r="BL68" s="100"/>
      <c r="BM68" s="100"/>
      <c r="BN68" s="100"/>
      <c r="BO68" s="100"/>
      <c r="BP68" s="100"/>
      <c r="BQ68" s="100"/>
      <c r="BR68" s="100"/>
      <c r="BS68" s="100"/>
      <c r="BT68" s="100"/>
      <c r="BU68" s="100"/>
      <c r="BV68" s="100"/>
      <c r="BW68" s="100"/>
      <c r="BX68" s="100"/>
      <c r="BY68" s="100"/>
      <c r="BZ68" s="100"/>
      <c r="CA68" s="100"/>
      <c r="CB68" s="100"/>
      <c r="CC68" s="100"/>
      <c r="CD68" s="100"/>
      <c r="CE68" s="100"/>
      <c r="CF68" s="101"/>
    </row>
    <row r="69" spans="1:84" s="83" customFormat="1" ht="26" customHeight="1" x14ac:dyDescent="0.25">
      <c r="A69" s="526" t="s">
        <v>90</v>
      </c>
      <c r="B69" s="526" t="s">
        <v>86</v>
      </c>
      <c r="C69" s="541">
        <v>150</v>
      </c>
      <c r="D69" s="526" t="s">
        <v>81</v>
      </c>
      <c r="E69" s="526" t="s">
        <v>1218</v>
      </c>
      <c r="F69" s="526" t="s">
        <v>181</v>
      </c>
      <c r="G69" s="172">
        <v>45993</v>
      </c>
      <c r="H69" s="173" t="s">
        <v>263</v>
      </c>
      <c r="I69" s="84" t="s">
        <v>138</v>
      </c>
      <c r="J69" s="84" t="s">
        <v>121</v>
      </c>
      <c r="K69" s="84" t="s">
        <v>132</v>
      </c>
      <c r="L69" s="84" t="str">
        <f t="shared" si="57"/>
        <v>GATE VALVE 2" 150# RF, BB-OS&amp;Y, A351</v>
      </c>
      <c r="M69" s="174">
        <v>10</v>
      </c>
      <c r="N69" s="174"/>
      <c r="O69" s="175"/>
      <c r="P69" s="176"/>
      <c r="Q69" s="176"/>
      <c r="R69" s="172">
        <v>46133</v>
      </c>
      <c r="S69" s="172">
        <v>46193</v>
      </c>
      <c r="T69" s="172">
        <v>46203</v>
      </c>
      <c r="U69" s="172">
        <v>46210</v>
      </c>
      <c r="V69" s="172">
        <v>46204</v>
      </c>
      <c r="W69" s="172">
        <v>46206</v>
      </c>
      <c r="X69" s="172">
        <v>46209</v>
      </c>
      <c r="Y69" s="172">
        <v>46211</v>
      </c>
      <c r="Z69" s="172"/>
      <c r="AA69" s="86"/>
      <c r="AB69" s="86"/>
      <c r="AC69" s="86"/>
      <c r="AD69" s="86"/>
      <c r="AE69" s="99"/>
      <c r="AF69" s="100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100"/>
      <c r="AY69" s="100"/>
      <c r="AZ69" s="100"/>
      <c r="BA69" s="100"/>
      <c r="BB69" s="100"/>
      <c r="BC69" s="100"/>
      <c r="BD69" s="100"/>
      <c r="BE69" s="100"/>
      <c r="BF69" s="100"/>
      <c r="BG69" s="100"/>
      <c r="BH69" s="100"/>
      <c r="BI69" s="100"/>
      <c r="BJ69" s="100"/>
      <c r="BK69" s="100"/>
      <c r="BL69" s="100"/>
      <c r="BM69" s="100"/>
      <c r="BN69" s="100"/>
      <c r="BO69" s="100"/>
      <c r="BP69" s="100"/>
      <c r="BQ69" s="100"/>
      <c r="BR69" s="100"/>
      <c r="BS69" s="100"/>
      <c r="BT69" s="100"/>
      <c r="BU69" s="100"/>
      <c r="BV69" s="100"/>
      <c r="BW69" s="100"/>
      <c r="BX69" s="100"/>
      <c r="BY69" s="100"/>
      <c r="BZ69" s="100"/>
      <c r="CA69" s="100"/>
      <c r="CB69" s="100"/>
      <c r="CC69" s="100"/>
      <c r="CD69" s="100"/>
      <c r="CE69" s="100"/>
      <c r="CF69" s="101"/>
    </row>
    <row r="70" spans="1:84" s="83" customFormat="1" ht="26" customHeight="1" x14ac:dyDescent="0.25">
      <c r="A70" s="526" t="s">
        <v>90</v>
      </c>
      <c r="B70" s="526" t="s">
        <v>85</v>
      </c>
      <c r="C70" s="541">
        <v>150</v>
      </c>
      <c r="D70" s="526" t="s">
        <v>81</v>
      </c>
      <c r="E70" s="526" t="s">
        <v>1218</v>
      </c>
      <c r="F70" s="526" t="s">
        <v>181</v>
      </c>
      <c r="G70" s="172">
        <v>45993</v>
      </c>
      <c r="H70" s="173" t="s">
        <v>263</v>
      </c>
      <c r="I70" s="84" t="s">
        <v>138</v>
      </c>
      <c r="J70" s="84" t="s">
        <v>121</v>
      </c>
      <c r="K70" s="84" t="s">
        <v>132</v>
      </c>
      <c r="L70" s="84" t="str">
        <f t="shared" si="57"/>
        <v>GATE VALVE 3" 150# RF, BB-OS&amp;Y, A351</v>
      </c>
      <c r="M70" s="174">
        <v>5</v>
      </c>
      <c r="N70" s="174"/>
      <c r="O70" s="175"/>
      <c r="P70" s="176"/>
      <c r="Q70" s="176"/>
      <c r="R70" s="172">
        <v>46133</v>
      </c>
      <c r="S70" s="172">
        <v>46193</v>
      </c>
      <c r="T70" s="172">
        <v>46203</v>
      </c>
      <c r="U70" s="172">
        <v>46210</v>
      </c>
      <c r="V70" s="172">
        <v>46204</v>
      </c>
      <c r="W70" s="172">
        <v>46206</v>
      </c>
      <c r="X70" s="172">
        <v>46209</v>
      </c>
      <c r="Y70" s="172">
        <v>46211</v>
      </c>
      <c r="Z70" s="172"/>
      <c r="AA70" s="86"/>
      <c r="AB70" s="86"/>
      <c r="AC70" s="86"/>
      <c r="AD70" s="86"/>
      <c r="AE70" s="99"/>
      <c r="AF70" s="100"/>
      <c r="AG70" s="100"/>
      <c r="AH70" s="100"/>
      <c r="AI70" s="100"/>
      <c r="AJ70" s="100"/>
      <c r="AK70" s="100"/>
      <c r="AL70" s="100"/>
      <c r="AM70" s="100"/>
      <c r="AN70" s="100"/>
      <c r="AO70" s="100"/>
      <c r="AP70" s="100"/>
      <c r="AQ70" s="100"/>
      <c r="AR70" s="100"/>
      <c r="AS70" s="100"/>
      <c r="AT70" s="100"/>
      <c r="AU70" s="100"/>
      <c r="AV70" s="100"/>
      <c r="AW70" s="100"/>
      <c r="AX70" s="100"/>
      <c r="AY70" s="100"/>
      <c r="AZ70" s="100"/>
      <c r="BA70" s="100"/>
      <c r="BB70" s="100"/>
      <c r="BC70" s="100"/>
      <c r="BD70" s="100"/>
      <c r="BE70" s="100"/>
      <c r="BF70" s="100"/>
      <c r="BG70" s="100"/>
      <c r="BH70" s="100"/>
      <c r="BI70" s="100"/>
      <c r="BJ70" s="100"/>
      <c r="BK70" s="100"/>
      <c r="BL70" s="100"/>
      <c r="BM70" s="100"/>
      <c r="BN70" s="100"/>
      <c r="BO70" s="100"/>
      <c r="BP70" s="100"/>
      <c r="BQ70" s="100"/>
      <c r="BR70" s="100"/>
      <c r="BS70" s="100"/>
      <c r="BT70" s="100"/>
      <c r="BU70" s="100"/>
      <c r="BV70" s="100"/>
      <c r="BW70" s="100"/>
      <c r="BX70" s="100"/>
      <c r="BY70" s="100"/>
      <c r="BZ70" s="100"/>
      <c r="CA70" s="100"/>
      <c r="CB70" s="100"/>
      <c r="CC70" s="100"/>
      <c r="CD70" s="100"/>
      <c r="CE70" s="100"/>
      <c r="CF70" s="101"/>
    </row>
    <row r="71" spans="1:84" s="83" customFormat="1" ht="26" customHeight="1" x14ac:dyDescent="0.25">
      <c r="A71" s="526" t="s">
        <v>94</v>
      </c>
      <c r="B71" s="526" t="s">
        <v>119</v>
      </c>
      <c r="C71" s="541">
        <v>150</v>
      </c>
      <c r="D71" s="526" t="s">
        <v>81</v>
      </c>
      <c r="E71" s="526" t="s">
        <v>97</v>
      </c>
      <c r="F71" s="526" t="s">
        <v>181</v>
      </c>
      <c r="G71" s="172">
        <v>45993</v>
      </c>
      <c r="H71" s="173" t="s">
        <v>264</v>
      </c>
      <c r="I71" s="84" t="s">
        <v>138</v>
      </c>
      <c r="J71" s="84" t="s">
        <v>121</v>
      </c>
      <c r="K71" s="84" t="s">
        <v>131</v>
      </c>
      <c r="L71" s="84" t="str">
        <f t="shared" ref="L71:L134" si="58">IF(A71="","",A71&amp;" VALVE "&amp;B71&amp;" "&amp;C71&amp;"# "&amp;D71&amp;", "&amp;E71&amp;", "&amp;F71)</f>
        <v>CHECK VALVE 12" 150# RF, BOLTED CAP, A351</v>
      </c>
      <c r="M71" s="174">
        <v>1</v>
      </c>
      <c r="N71" s="174"/>
      <c r="O71" s="175"/>
      <c r="P71" s="176"/>
      <c r="Q71" s="176"/>
      <c r="R71" s="172">
        <v>46133</v>
      </c>
      <c r="S71" s="172">
        <v>46193</v>
      </c>
      <c r="T71" s="172">
        <v>46203</v>
      </c>
      <c r="U71" s="172">
        <v>46210</v>
      </c>
      <c r="V71" s="172">
        <v>46204</v>
      </c>
      <c r="W71" s="172">
        <v>46206</v>
      </c>
      <c r="X71" s="172">
        <v>46209</v>
      </c>
      <c r="Y71" s="172">
        <v>46211</v>
      </c>
      <c r="Z71" s="172"/>
      <c r="AA71" s="86"/>
      <c r="AB71" s="86"/>
      <c r="AC71" s="86"/>
      <c r="AD71" s="86"/>
      <c r="AE71" s="99"/>
      <c r="AF71" s="100"/>
      <c r="AG71" s="100"/>
      <c r="AH71" s="100"/>
      <c r="AI71" s="100"/>
      <c r="AJ71" s="100"/>
      <c r="AK71" s="100"/>
      <c r="AL71" s="100"/>
      <c r="AM71" s="100"/>
      <c r="AN71" s="100"/>
      <c r="AO71" s="100"/>
      <c r="AP71" s="100"/>
      <c r="AQ71" s="100"/>
      <c r="AR71" s="100"/>
      <c r="AS71" s="100"/>
      <c r="AT71" s="100"/>
      <c r="AU71" s="100"/>
      <c r="AV71" s="100"/>
      <c r="AW71" s="100"/>
      <c r="AX71" s="100"/>
      <c r="AY71" s="100"/>
      <c r="AZ71" s="100"/>
      <c r="BA71" s="100"/>
      <c r="BB71" s="100"/>
      <c r="BC71" s="100"/>
      <c r="BD71" s="100"/>
      <c r="BE71" s="100"/>
      <c r="BF71" s="100"/>
      <c r="BG71" s="100"/>
      <c r="BH71" s="100"/>
      <c r="BI71" s="100"/>
      <c r="BJ71" s="100"/>
      <c r="BK71" s="100"/>
      <c r="BL71" s="100"/>
      <c r="BM71" s="100"/>
      <c r="BN71" s="100"/>
      <c r="BO71" s="100"/>
      <c r="BP71" s="100"/>
      <c r="BQ71" s="100"/>
      <c r="BR71" s="100"/>
      <c r="BS71" s="100"/>
      <c r="BT71" s="100"/>
      <c r="BU71" s="100"/>
      <c r="BV71" s="100"/>
      <c r="BW71" s="100"/>
      <c r="BX71" s="100"/>
      <c r="BY71" s="100"/>
      <c r="BZ71" s="100"/>
      <c r="CA71" s="100"/>
      <c r="CB71" s="100"/>
      <c r="CC71" s="100"/>
      <c r="CD71" s="100"/>
      <c r="CE71" s="100"/>
      <c r="CF71" s="101"/>
    </row>
    <row r="72" spans="1:84" s="83" customFormat="1" ht="26" customHeight="1" x14ac:dyDescent="0.25">
      <c r="A72" s="526" t="s">
        <v>90</v>
      </c>
      <c r="B72" s="526" t="s">
        <v>119</v>
      </c>
      <c r="C72" s="541">
        <v>150</v>
      </c>
      <c r="D72" s="526" t="s">
        <v>81</v>
      </c>
      <c r="E72" s="526" t="s">
        <v>1218</v>
      </c>
      <c r="F72" s="526" t="s">
        <v>181</v>
      </c>
      <c r="G72" s="172">
        <v>45993</v>
      </c>
      <c r="H72" s="173" t="s">
        <v>263</v>
      </c>
      <c r="I72" s="84" t="s">
        <v>138</v>
      </c>
      <c r="J72" s="84" t="s">
        <v>121</v>
      </c>
      <c r="K72" s="84" t="s">
        <v>133</v>
      </c>
      <c r="L72" s="84" t="str">
        <f t="shared" si="58"/>
        <v>GATE VALVE 12" 150# RF, BB-OS&amp;Y, A351</v>
      </c>
      <c r="M72" s="174">
        <v>2</v>
      </c>
      <c r="N72" s="174"/>
      <c r="O72" s="175"/>
      <c r="P72" s="176"/>
      <c r="Q72" s="176"/>
      <c r="R72" s="172">
        <v>46133</v>
      </c>
      <c r="S72" s="172">
        <v>46193</v>
      </c>
      <c r="T72" s="172">
        <v>46203</v>
      </c>
      <c r="U72" s="172">
        <v>46210</v>
      </c>
      <c r="V72" s="172">
        <v>46204</v>
      </c>
      <c r="W72" s="172">
        <v>46206</v>
      </c>
      <c r="X72" s="172">
        <v>46209</v>
      </c>
      <c r="Y72" s="172">
        <v>46211</v>
      </c>
      <c r="Z72" s="172"/>
      <c r="AA72" s="86"/>
      <c r="AB72" s="86"/>
      <c r="AC72" s="86"/>
      <c r="AD72" s="86"/>
      <c r="AE72" s="99"/>
      <c r="AF72" s="100"/>
      <c r="AG72" s="100"/>
      <c r="AH72" s="100"/>
      <c r="AI72" s="100"/>
      <c r="AJ72" s="100"/>
      <c r="AK72" s="100"/>
      <c r="AL72" s="100"/>
      <c r="AM72" s="100"/>
      <c r="AN72" s="100"/>
      <c r="AO72" s="100"/>
      <c r="AP72" s="100"/>
      <c r="AQ72" s="100"/>
      <c r="AR72" s="100"/>
      <c r="AS72" s="100"/>
      <c r="AT72" s="100"/>
      <c r="AU72" s="100"/>
      <c r="AV72" s="100"/>
      <c r="AW72" s="100"/>
      <c r="AX72" s="100"/>
      <c r="AY72" s="100"/>
      <c r="AZ72" s="100"/>
      <c r="BA72" s="100"/>
      <c r="BB72" s="100"/>
      <c r="BC72" s="100"/>
      <c r="BD72" s="100"/>
      <c r="BE72" s="100"/>
      <c r="BF72" s="100"/>
      <c r="BG72" s="100"/>
      <c r="BH72" s="100"/>
      <c r="BI72" s="100"/>
      <c r="BJ72" s="100"/>
      <c r="BK72" s="100"/>
      <c r="BL72" s="100"/>
      <c r="BM72" s="100"/>
      <c r="BN72" s="100"/>
      <c r="BO72" s="100"/>
      <c r="BP72" s="100"/>
      <c r="BQ72" s="100"/>
      <c r="BR72" s="100"/>
      <c r="BS72" s="100"/>
      <c r="BT72" s="100"/>
      <c r="BU72" s="100"/>
      <c r="BV72" s="100"/>
      <c r="BW72" s="100"/>
      <c r="BX72" s="100"/>
      <c r="BY72" s="100"/>
      <c r="BZ72" s="100"/>
      <c r="CA72" s="100"/>
      <c r="CB72" s="100"/>
      <c r="CC72" s="100"/>
      <c r="CD72" s="100"/>
      <c r="CE72" s="100"/>
      <c r="CF72" s="101"/>
    </row>
    <row r="73" spans="1:84" s="83" customFormat="1" ht="26" customHeight="1" x14ac:dyDescent="0.25">
      <c r="A73" s="526" t="s">
        <v>78</v>
      </c>
      <c r="B73" s="526" t="s">
        <v>88</v>
      </c>
      <c r="C73" s="541">
        <v>800</v>
      </c>
      <c r="D73" s="526" t="s">
        <v>106</v>
      </c>
      <c r="E73" s="526" t="s">
        <v>109</v>
      </c>
      <c r="F73" s="526" t="s">
        <v>105</v>
      </c>
      <c r="G73" s="172">
        <v>45993</v>
      </c>
      <c r="H73" s="173" t="s">
        <v>264</v>
      </c>
      <c r="I73" s="84" t="s">
        <v>138</v>
      </c>
      <c r="J73" s="84" t="s">
        <v>121</v>
      </c>
      <c r="K73" s="84" t="s">
        <v>122</v>
      </c>
      <c r="L73" s="84" t="str">
        <f t="shared" si="58"/>
        <v>BALL VALVE 3/4" 800# SW, FLOATING, A105</v>
      </c>
      <c r="M73" s="174">
        <v>5</v>
      </c>
      <c r="N73" s="174"/>
      <c r="O73" s="175"/>
      <c r="P73" s="176"/>
      <c r="Q73" s="176"/>
      <c r="R73" s="172">
        <v>46133</v>
      </c>
      <c r="S73" s="172"/>
      <c r="T73" s="172"/>
      <c r="U73" s="172"/>
      <c r="V73" s="172"/>
      <c r="W73" s="172"/>
      <c r="X73" s="172"/>
      <c r="Y73" s="172"/>
      <c r="Z73" s="172"/>
      <c r="AA73" s="86"/>
      <c r="AB73" s="86"/>
      <c r="AC73" s="86"/>
      <c r="AD73" s="86"/>
      <c r="AE73" s="99"/>
      <c r="AF73" s="100"/>
      <c r="AG73" s="100"/>
      <c r="AH73" s="100"/>
      <c r="AI73" s="100"/>
      <c r="AJ73" s="100"/>
      <c r="AK73" s="100"/>
      <c r="AL73" s="100"/>
      <c r="AM73" s="100"/>
      <c r="AN73" s="100"/>
      <c r="AO73" s="100"/>
      <c r="AP73" s="100"/>
      <c r="AQ73" s="100"/>
      <c r="AR73" s="100"/>
      <c r="AS73" s="100"/>
      <c r="AT73" s="100"/>
      <c r="AU73" s="100"/>
      <c r="AV73" s="100"/>
      <c r="AW73" s="100"/>
      <c r="AX73" s="100"/>
      <c r="AY73" s="100"/>
      <c r="AZ73" s="100"/>
      <c r="BA73" s="100"/>
      <c r="BB73" s="100"/>
      <c r="BC73" s="100"/>
      <c r="BD73" s="100"/>
      <c r="BE73" s="100"/>
      <c r="BF73" s="100"/>
      <c r="BG73" s="100"/>
      <c r="BH73" s="100"/>
      <c r="BI73" s="100"/>
      <c r="BJ73" s="100"/>
      <c r="BK73" s="100"/>
      <c r="BL73" s="100"/>
      <c r="BM73" s="100"/>
      <c r="BN73" s="100"/>
      <c r="BO73" s="100"/>
      <c r="BP73" s="100"/>
      <c r="BQ73" s="100"/>
      <c r="BR73" s="100"/>
      <c r="BS73" s="100"/>
      <c r="BT73" s="100"/>
      <c r="BU73" s="100"/>
      <c r="BV73" s="100"/>
      <c r="BW73" s="100"/>
      <c r="BX73" s="100"/>
      <c r="BY73" s="100"/>
      <c r="BZ73" s="100"/>
      <c r="CA73" s="100"/>
      <c r="CB73" s="100"/>
      <c r="CC73" s="100"/>
      <c r="CD73" s="100"/>
      <c r="CE73" s="100"/>
      <c r="CF73" s="101"/>
    </row>
    <row r="74" spans="1:84" s="83" customFormat="1" ht="26" customHeight="1" x14ac:dyDescent="0.25">
      <c r="A74" s="526" t="s">
        <v>78</v>
      </c>
      <c r="B74" s="526" t="s">
        <v>88</v>
      </c>
      <c r="C74" s="541">
        <v>800</v>
      </c>
      <c r="D74" s="526" t="s">
        <v>106</v>
      </c>
      <c r="E74" s="526" t="s">
        <v>109</v>
      </c>
      <c r="F74" s="526" t="s">
        <v>105</v>
      </c>
      <c r="G74" s="172">
        <v>45993</v>
      </c>
      <c r="H74" s="173" t="s">
        <v>264</v>
      </c>
      <c r="I74" s="84" t="s">
        <v>138</v>
      </c>
      <c r="J74" s="84" t="s">
        <v>121</v>
      </c>
      <c r="K74" s="84" t="s">
        <v>123</v>
      </c>
      <c r="L74" s="84" t="str">
        <f t="shared" si="58"/>
        <v>BALL VALVE 3/4" 800# SW, FLOATING, A105</v>
      </c>
      <c r="M74" s="174">
        <v>5</v>
      </c>
      <c r="N74" s="174"/>
      <c r="O74" s="175"/>
      <c r="P74" s="176"/>
      <c r="Q74" s="176"/>
      <c r="R74" s="172">
        <v>46133</v>
      </c>
      <c r="S74" s="172"/>
      <c r="T74" s="172"/>
      <c r="U74" s="172"/>
      <c r="V74" s="172"/>
      <c r="W74" s="172"/>
      <c r="X74" s="172"/>
      <c r="Y74" s="172"/>
      <c r="Z74" s="172"/>
      <c r="AA74" s="86"/>
      <c r="AB74" s="86"/>
      <c r="AC74" s="86"/>
      <c r="AD74" s="86"/>
      <c r="AE74" s="99"/>
      <c r="AF74" s="100"/>
      <c r="AG74" s="100"/>
      <c r="AH74" s="100"/>
      <c r="AI74" s="100"/>
      <c r="AJ74" s="100"/>
      <c r="AK74" s="100"/>
      <c r="AL74" s="100"/>
      <c r="AM74" s="100"/>
      <c r="AN74" s="100"/>
      <c r="AO74" s="100"/>
      <c r="AP74" s="100"/>
      <c r="AQ74" s="100"/>
      <c r="AR74" s="100"/>
      <c r="AS74" s="100"/>
      <c r="AT74" s="100"/>
      <c r="AU74" s="100"/>
      <c r="AV74" s="100"/>
      <c r="AW74" s="100"/>
      <c r="AX74" s="100"/>
      <c r="AY74" s="100"/>
      <c r="AZ74" s="100"/>
      <c r="BA74" s="100"/>
      <c r="BB74" s="100"/>
      <c r="BC74" s="100"/>
      <c r="BD74" s="100"/>
      <c r="BE74" s="100"/>
      <c r="BF74" s="100"/>
      <c r="BG74" s="100"/>
      <c r="BH74" s="100"/>
      <c r="BI74" s="100"/>
      <c r="BJ74" s="100"/>
      <c r="BK74" s="100"/>
      <c r="BL74" s="100"/>
      <c r="BM74" s="100"/>
      <c r="BN74" s="100"/>
      <c r="BO74" s="100"/>
      <c r="BP74" s="100"/>
      <c r="BQ74" s="100"/>
      <c r="BR74" s="100"/>
      <c r="BS74" s="100"/>
      <c r="BT74" s="100"/>
      <c r="BU74" s="100"/>
      <c r="BV74" s="100"/>
      <c r="BW74" s="100"/>
      <c r="BX74" s="100"/>
      <c r="BY74" s="100"/>
      <c r="BZ74" s="100"/>
      <c r="CA74" s="100"/>
      <c r="CB74" s="100"/>
      <c r="CC74" s="100"/>
      <c r="CD74" s="100"/>
      <c r="CE74" s="100"/>
      <c r="CF74" s="101"/>
    </row>
    <row r="75" spans="1:84" s="83" customFormat="1" ht="26" customHeight="1" x14ac:dyDescent="0.25">
      <c r="A75" s="526" t="s">
        <v>78</v>
      </c>
      <c r="B75" s="526" t="s">
        <v>117</v>
      </c>
      <c r="C75" s="541">
        <v>800</v>
      </c>
      <c r="D75" s="526" t="s">
        <v>106</v>
      </c>
      <c r="E75" s="526" t="s">
        <v>109</v>
      </c>
      <c r="F75" s="526" t="s">
        <v>105</v>
      </c>
      <c r="G75" s="172">
        <v>45993</v>
      </c>
      <c r="H75" s="173" t="s">
        <v>264</v>
      </c>
      <c r="I75" s="84" t="s">
        <v>138</v>
      </c>
      <c r="J75" s="84" t="s">
        <v>121</v>
      </c>
      <c r="K75" s="84" t="s">
        <v>122</v>
      </c>
      <c r="L75" s="84" t="str">
        <f t="shared" si="58"/>
        <v>BALL VALVE 1" 800# SW, FLOATING, A105</v>
      </c>
      <c r="M75" s="174">
        <v>3</v>
      </c>
      <c r="N75" s="174"/>
      <c r="O75" s="175"/>
      <c r="P75" s="176"/>
      <c r="Q75" s="176"/>
      <c r="R75" s="172">
        <v>46133</v>
      </c>
      <c r="S75" s="172"/>
      <c r="T75" s="172"/>
      <c r="U75" s="172"/>
      <c r="V75" s="172"/>
      <c r="W75" s="172"/>
      <c r="X75" s="172"/>
      <c r="Y75" s="172"/>
      <c r="Z75" s="172"/>
      <c r="AA75" s="86"/>
      <c r="AB75" s="86"/>
      <c r="AC75" s="86"/>
      <c r="AD75" s="86"/>
      <c r="AE75" s="99"/>
      <c r="AF75" s="100"/>
      <c r="AG75" s="100"/>
      <c r="AH75" s="100"/>
      <c r="AI75" s="100"/>
      <c r="AJ75" s="100"/>
      <c r="AK75" s="100"/>
      <c r="AL75" s="100"/>
      <c r="AM75" s="100"/>
      <c r="AN75" s="100"/>
      <c r="AO75" s="100"/>
      <c r="AP75" s="100"/>
      <c r="AQ75" s="100"/>
      <c r="AR75" s="100"/>
      <c r="AS75" s="100"/>
      <c r="AT75" s="100"/>
      <c r="AU75" s="100"/>
      <c r="AV75" s="100"/>
      <c r="AW75" s="100"/>
      <c r="AX75" s="100"/>
      <c r="AY75" s="100"/>
      <c r="AZ75" s="100"/>
      <c r="BA75" s="100"/>
      <c r="BB75" s="100"/>
      <c r="BC75" s="100"/>
      <c r="BD75" s="100"/>
      <c r="BE75" s="100"/>
      <c r="BF75" s="100"/>
      <c r="BG75" s="100"/>
      <c r="BH75" s="100"/>
      <c r="BI75" s="100"/>
      <c r="BJ75" s="100"/>
      <c r="BK75" s="100"/>
      <c r="BL75" s="100"/>
      <c r="BM75" s="100"/>
      <c r="BN75" s="100"/>
      <c r="BO75" s="100"/>
      <c r="BP75" s="100"/>
      <c r="BQ75" s="100"/>
      <c r="BR75" s="100"/>
      <c r="BS75" s="100"/>
      <c r="BT75" s="100"/>
      <c r="BU75" s="100"/>
      <c r="BV75" s="100"/>
      <c r="BW75" s="100"/>
      <c r="BX75" s="100"/>
      <c r="BY75" s="100"/>
      <c r="BZ75" s="100"/>
      <c r="CA75" s="100"/>
      <c r="CB75" s="100"/>
      <c r="CC75" s="100"/>
      <c r="CD75" s="100"/>
      <c r="CE75" s="100"/>
      <c r="CF75" s="101"/>
    </row>
    <row r="76" spans="1:84" s="83" customFormat="1" ht="26" customHeight="1" x14ac:dyDescent="0.25">
      <c r="A76" s="526" t="s">
        <v>78</v>
      </c>
      <c r="B76" s="526" t="s">
        <v>86</v>
      </c>
      <c r="C76" s="541">
        <v>300</v>
      </c>
      <c r="D76" s="526" t="s">
        <v>81</v>
      </c>
      <c r="E76" s="526" t="s">
        <v>109</v>
      </c>
      <c r="F76" s="526" t="s">
        <v>107</v>
      </c>
      <c r="G76" s="172">
        <v>45993</v>
      </c>
      <c r="H76" s="173" t="s">
        <v>264</v>
      </c>
      <c r="I76" s="84" t="s">
        <v>138</v>
      </c>
      <c r="J76" s="84" t="s">
        <v>121</v>
      </c>
      <c r="K76" s="84" t="s">
        <v>134</v>
      </c>
      <c r="L76" s="84" t="str">
        <f t="shared" si="58"/>
        <v>BALL VALVE 2" 300# RF, FLOATING, A216</v>
      </c>
      <c r="M76" s="174">
        <v>1</v>
      </c>
      <c r="N76" s="174"/>
      <c r="O76" s="175"/>
      <c r="P76" s="176"/>
      <c r="Q76" s="176"/>
      <c r="R76" s="172">
        <v>46133</v>
      </c>
      <c r="S76" s="172">
        <v>46193</v>
      </c>
      <c r="T76" s="172">
        <v>46203</v>
      </c>
      <c r="U76" s="172">
        <v>46210</v>
      </c>
      <c r="V76" s="172">
        <v>46204</v>
      </c>
      <c r="W76" s="172">
        <v>46206</v>
      </c>
      <c r="X76" s="172">
        <v>46209</v>
      </c>
      <c r="Y76" s="172">
        <v>46211</v>
      </c>
      <c r="Z76" s="172"/>
      <c r="AA76" s="86"/>
      <c r="AB76" s="86"/>
      <c r="AC76" s="86"/>
      <c r="AD76" s="86"/>
      <c r="AE76" s="99"/>
      <c r="AF76" s="100"/>
      <c r="AG76" s="100"/>
      <c r="AH76" s="100"/>
      <c r="AI76" s="100"/>
      <c r="AJ76" s="100"/>
      <c r="AK76" s="100"/>
      <c r="AL76" s="100"/>
      <c r="AM76" s="100"/>
      <c r="AN76" s="100"/>
      <c r="AO76" s="100"/>
      <c r="AP76" s="100"/>
      <c r="AQ76" s="100"/>
      <c r="AR76" s="100"/>
      <c r="AS76" s="100"/>
      <c r="AT76" s="100"/>
      <c r="AU76" s="100"/>
      <c r="AV76" s="100"/>
      <c r="AW76" s="100"/>
      <c r="AX76" s="100"/>
      <c r="AY76" s="100"/>
      <c r="AZ76" s="100"/>
      <c r="BA76" s="100"/>
      <c r="BB76" s="100"/>
      <c r="BC76" s="100"/>
      <c r="BD76" s="100"/>
      <c r="BE76" s="100"/>
      <c r="BF76" s="100"/>
      <c r="BG76" s="100"/>
      <c r="BH76" s="100"/>
      <c r="BI76" s="100"/>
      <c r="BJ76" s="100"/>
      <c r="BK76" s="100"/>
      <c r="BL76" s="100"/>
      <c r="BM76" s="100"/>
      <c r="BN76" s="100"/>
      <c r="BO76" s="100"/>
      <c r="BP76" s="100"/>
      <c r="BQ76" s="100"/>
      <c r="BR76" s="100"/>
      <c r="BS76" s="100"/>
      <c r="BT76" s="100"/>
      <c r="BU76" s="100"/>
      <c r="BV76" s="100"/>
      <c r="BW76" s="100"/>
      <c r="BX76" s="100"/>
      <c r="BY76" s="100"/>
      <c r="BZ76" s="100"/>
      <c r="CA76" s="100"/>
      <c r="CB76" s="100"/>
      <c r="CC76" s="100"/>
      <c r="CD76" s="100"/>
      <c r="CE76" s="100"/>
      <c r="CF76" s="101"/>
    </row>
    <row r="77" spans="1:84" s="83" customFormat="1" ht="26" customHeight="1" x14ac:dyDescent="0.25">
      <c r="A77" s="526" t="s">
        <v>78</v>
      </c>
      <c r="B77" s="526" t="s">
        <v>85</v>
      </c>
      <c r="C77" s="541">
        <v>300</v>
      </c>
      <c r="D77" s="526" t="s">
        <v>81</v>
      </c>
      <c r="E77" s="526" t="s">
        <v>109</v>
      </c>
      <c r="F77" s="526" t="s">
        <v>107</v>
      </c>
      <c r="G77" s="172">
        <v>45993</v>
      </c>
      <c r="H77" s="173" t="s">
        <v>264</v>
      </c>
      <c r="I77" s="84" t="s">
        <v>138</v>
      </c>
      <c r="J77" s="84" t="s">
        <v>121</v>
      </c>
      <c r="K77" s="84" t="s">
        <v>134</v>
      </c>
      <c r="L77" s="84" t="str">
        <f t="shared" si="58"/>
        <v>BALL VALVE 3" 300# RF, FLOATING, A216</v>
      </c>
      <c r="M77" s="174">
        <v>3</v>
      </c>
      <c r="N77" s="174"/>
      <c r="O77" s="175"/>
      <c r="P77" s="176"/>
      <c r="Q77" s="176"/>
      <c r="R77" s="172">
        <v>46133</v>
      </c>
      <c r="S77" s="172">
        <v>46193</v>
      </c>
      <c r="T77" s="172">
        <v>46203</v>
      </c>
      <c r="U77" s="172">
        <v>46210</v>
      </c>
      <c r="V77" s="172">
        <v>46204</v>
      </c>
      <c r="W77" s="172">
        <v>46206</v>
      </c>
      <c r="X77" s="172">
        <v>46209</v>
      </c>
      <c r="Y77" s="172">
        <v>46211</v>
      </c>
      <c r="Z77" s="172"/>
      <c r="AA77" s="86"/>
      <c r="AB77" s="86"/>
      <c r="AC77" s="86"/>
      <c r="AD77" s="86"/>
      <c r="AE77" s="99"/>
      <c r="AF77" s="100"/>
      <c r="AG77" s="100"/>
      <c r="AH77" s="100"/>
      <c r="AI77" s="100"/>
      <c r="AJ77" s="100"/>
      <c r="AK77" s="100"/>
      <c r="AL77" s="100"/>
      <c r="AM77" s="100"/>
      <c r="AN77" s="100"/>
      <c r="AO77" s="100"/>
      <c r="AP77" s="100"/>
      <c r="AQ77" s="100"/>
      <c r="AR77" s="100"/>
      <c r="AS77" s="100"/>
      <c r="AT77" s="100"/>
      <c r="AU77" s="100"/>
      <c r="AV77" s="100"/>
      <c r="AW77" s="100"/>
      <c r="AX77" s="100"/>
      <c r="AY77" s="100"/>
      <c r="AZ77" s="100"/>
      <c r="BA77" s="100"/>
      <c r="BB77" s="100"/>
      <c r="BC77" s="100"/>
      <c r="BD77" s="100"/>
      <c r="BE77" s="100"/>
      <c r="BF77" s="100"/>
      <c r="BG77" s="100"/>
      <c r="BH77" s="100"/>
      <c r="BI77" s="100"/>
      <c r="BJ77" s="100"/>
      <c r="BK77" s="100"/>
      <c r="BL77" s="100"/>
      <c r="BM77" s="100"/>
      <c r="BN77" s="100"/>
      <c r="BO77" s="100"/>
      <c r="BP77" s="100"/>
      <c r="BQ77" s="100"/>
      <c r="BR77" s="100"/>
      <c r="BS77" s="100"/>
      <c r="BT77" s="100"/>
      <c r="BU77" s="100"/>
      <c r="BV77" s="100"/>
      <c r="BW77" s="100"/>
      <c r="BX77" s="100"/>
      <c r="BY77" s="100"/>
      <c r="BZ77" s="100"/>
      <c r="CA77" s="100"/>
      <c r="CB77" s="100"/>
      <c r="CC77" s="100"/>
      <c r="CD77" s="100"/>
      <c r="CE77" s="100"/>
      <c r="CF77" s="101"/>
    </row>
    <row r="78" spans="1:84" s="83" customFormat="1" ht="26" customHeight="1" x14ac:dyDescent="0.25">
      <c r="A78" s="526" t="s">
        <v>94</v>
      </c>
      <c r="B78" s="526" t="s">
        <v>85</v>
      </c>
      <c r="C78" s="541">
        <v>300</v>
      </c>
      <c r="D78" s="526" t="s">
        <v>81</v>
      </c>
      <c r="E78" s="526" t="s">
        <v>97</v>
      </c>
      <c r="F78" s="526" t="s">
        <v>107</v>
      </c>
      <c r="G78" s="172">
        <v>45993</v>
      </c>
      <c r="H78" s="173" t="s">
        <v>263</v>
      </c>
      <c r="I78" s="84" t="s">
        <v>138</v>
      </c>
      <c r="J78" s="84" t="s">
        <v>121</v>
      </c>
      <c r="K78" s="84" t="s">
        <v>135</v>
      </c>
      <c r="L78" s="84" t="str">
        <f t="shared" si="58"/>
        <v>CHECK VALVE 3" 300# RF, BOLTED CAP, A216</v>
      </c>
      <c r="M78" s="174">
        <v>1</v>
      </c>
      <c r="N78" s="174"/>
      <c r="O78" s="175"/>
      <c r="P78" s="176"/>
      <c r="Q78" s="176"/>
      <c r="R78" s="172">
        <v>46133</v>
      </c>
      <c r="S78" s="172">
        <v>46193</v>
      </c>
      <c r="T78" s="172">
        <v>46203</v>
      </c>
      <c r="U78" s="172">
        <v>46210</v>
      </c>
      <c r="V78" s="172">
        <v>46204</v>
      </c>
      <c r="W78" s="172">
        <v>46206</v>
      </c>
      <c r="X78" s="172">
        <v>46209</v>
      </c>
      <c r="Y78" s="172">
        <v>46211</v>
      </c>
      <c r="Z78" s="172"/>
      <c r="AA78" s="86"/>
      <c r="AB78" s="86"/>
      <c r="AC78" s="86"/>
      <c r="AD78" s="86"/>
      <c r="AE78" s="99"/>
      <c r="AF78" s="100"/>
      <c r="AG78" s="100"/>
      <c r="AH78" s="100"/>
      <c r="AI78" s="100"/>
      <c r="AJ78" s="100"/>
      <c r="AK78" s="100"/>
      <c r="AL78" s="100"/>
      <c r="AM78" s="100"/>
      <c r="AN78" s="100"/>
      <c r="AO78" s="100"/>
      <c r="AP78" s="100"/>
      <c r="AQ78" s="100"/>
      <c r="AR78" s="100"/>
      <c r="AS78" s="100"/>
      <c r="AT78" s="100"/>
      <c r="AU78" s="100"/>
      <c r="AV78" s="100"/>
      <c r="AW78" s="100"/>
      <c r="AX78" s="100"/>
      <c r="AY78" s="100"/>
      <c r="AZ78" s="100"/>
      <c r="BA78" s="100"/>
      <c r="BB78" s="100"/>
      <c r="BC78" s="100"/>
      <c r="BD78" s="100"/>
      <c r="BE78" s="100"/>
      <c r="BF78" s="100"/>
      <c r="BG78" s="100"/>
      <c r="BH78" s="100"/>
      <c r="BI78" s="100"/>
      <c r="BJ78" s="100"/>
      <c r="BK78" s="100"/>
      <c r="BL78" s="100"/>
      <c r="BM78" s="100"/>
      <c r="BN78" s="100"/>
      <c r="BO78" s="100"/>
      <c r="BP78" s="100"/>
      <c r="BQ78" s="100"/>
      <c r="BR78" s="100"/>
      <c r="BS78" s="100"/>
      <c r="BT78" s="100"/>
      <c r="BU78" s="100"/>
      <c r="BV78" s="100"/>
      <c r="BW78" s="100"/>
      <c r="BX78" s="100"/>
      <c r="BY78" s="100"/>
      <c r="BZ78" s="100"/>
      <c r="CA78" s="100"/>
      <c r="CB78" s="100"/>
      <c r="CC78" s="100"/>
      <c r="CD78" s="100"/>
      <c r="CE78" s="100"/>
      <c r="CF78" s="101"/>
    </row>
    <row r="79" spans="1:84" s="83" customFormat="1" ht="26" customHeight="1" x14ac:dyDescent="0.25">
      <c r="A79" s="526" t="s">
        <v>78</v>
      </c>
      <c r="B79" s="526" t="s">
        <v>84</v>
      </c>
      <c r="C79" s="541">
        <v>300</v>
      </c>
      <c r="D79" s="526" t="s">
        <v>81</v>
      </c>
      <c r="E79" s="526" t="s">
        <v>109</v>
      </c>
      <c r="F79" s="526" t="s">
        <v>107</v>
      </c>
      <c r="G79" s="172">
        <v>45993</v>
      </c>
      <c r="H79" s="173" t="s">
        <v>264</v>
      </c>
      <c r="I79" s="84" t="s">
        <v>138</v>
      </c>
      <c r="J79" s="84" t="s">
        <v>121</v>
      </c>
      <c r="K79" s="84" t="s">
        <v>134</v>
      </c>
      <c r="L79" s="84" t="str">
        <f t="shared" si="58"/>
        <v>BALL VALVE 4" 300# RF, FLOATING, A216</v>
      </c>
      <c r="M79" s="174">
        <v>1</v>
      </c>
      <c r="N79" s="174"/>
      <c r="O79" s="175"/>
      <c r="P79" s="176"/>
      <c r="Q79" s="176"/>
      <c r="R79" s="172">
        <v>46133</v>
      </c>
      <c r="S79" s="172">
        <v>46193</v>
      </c>
      <c r="T79" s="172">
        <v>46203</v>
      </c>
      <c r="U79" s="172">
        <v>46210</v>
      </c>
      <c r="V79" s="172">
        <v>46204</v>
      </c>
      <c r="W79" s="172">
        <v>46206</v>
      </c>
      <c r="X79" s="172">
        <v>46209</v>
      </c>
      <c r="Y79" s="172">
        <v>46211</v>
      </c>
      <c r="Z79" s="172"/>
      <c r="AA79" s="86"/>
      <c r="AB79" s="86"/>
      <c r="AC79" s="86"/>
      <c r="AD79" s="86"/>
      <c r="AE79" s="99"/>
      <c r="AF79" s="100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0"/>
      <c r="AV79" s="100"/>
      <c r="AW79" s="100"/>
      <c r="AX79" s="100"/>
      <c r="AY79" s="100"/>
      <c r="AZ79" s="100"/>
      <c r="BA79" s="100"/>
      <c r="BB79" s="100"/>
      <c r="BC79" s="100"/>
      <c r="BD79" s="100"/>
      <c r="BE79" s="100"/>
      <c r="BF79" s="100"/>
      <c r="BG79" s="100"/>
      <c r="BH79" s="100"/>
      <c r="BI79" s="100"/>
      <c r="BJ79" s="100"/>
      <c r="BK79" s="100"/>
      <c r="BL79" s="100"/>
      <c r="BM79" s="100"/>
      <c r="BN79" s="100"/>
      <c r="BO79" s="100"/>
      <c r="BP79" s="100"/>
      <c r="BQ79" s="100"/>
      <c r="BR79" s="100"/>
      <c r="BS79" s="100"/>
      <c r="BT79" s="100"/>
      <c r="BU79" s="100"/>
      <c r="BV79" s="100"/>
      <c r="BW79" s="100"/>
      <c r="BX79" s="100"/>
      <c r="BY79" s="100"/>
      <c r="BZ79" s="100"/>
      <c r="CA79" s="100"/>
      <c r="CB79" s="100"/>
      <c r="CC79" s="100"/>
      <c r="CD79" s="100"/>
      <c r="CE79" s="100"/>
      <c r="CF79" s="101"/>
    </row>
    <row r="80" spans="1:84" s="83" customFormat="1" ht="26" customHeight="1" x14ac:dyDescent="0.25">
      <c r="A80" s="526" t="s">
        <v>92</v>
      </c>
      <c r="B80" s="526" t="s">
        <v>84</v>
      </c>
      <c r="C80" s="541">
        <v>300</v>
      </c>
      <c r="D80" s="526" t="s">
        <v>81</v>
      </c>
      <c r="E80" s="526" t="s">
        <v>1218</v>
      </c>
      <c r="F80" s="526" t="s">
        <v>107</v>
      </c>
      <c r="G80" s="172">
        <v>45993</v>
      </c>
      <c r="H80" s="173" t="s">
        <v>263</v>
      </c>
      <c r="I80" s="84" t="s">
        <v>138</v>
      </c>
      <c r="J80" s="84" t="s">
        <v>121</v>
      </c>
      <c r="K80" s="84" t="s">
        <v>136</v>
      </c>
      <c r="L80" s="84" t="str">
        <f t="shared" si="58"/>
        <v>GLOBE VALVE 4" 300# RF, BB-OS&amp;Y, A216</v>
      </c>
      <c r="M80" s="174">
        <v>1</v>
      </c>
      <c r="N80" s="174"/>
      <c r="O80" s="175"/>
      <c r="P80" s="176"/>
      <c r="Q80" s="176"/>
      <c r="R80" s="172">
        <v>46133</v>
      </c>
      <c r="S80" s="172">
        <v>46193</v>
      </c>
      <c r="T80" s="172">
        <v>46203</v>
      </c>
      <c r="U80" s="172">
        <v>46210</v>
      </c>
      <c r="V80" s="172">
        <v>46204</v>
      </c>
      <c r="W80" s="172">
        <v>46206</v>
      </c>
      <c r="X80" s="172">
        <v>46209</v>
      </c>
      <c r="Y80" s="172">
        <v>46211</v>
      </c>
      <c r="Z80" s="172"/>
      <c r="AA80" s="86"/>
      <c r="AB80" s="86"/>
      <c r="AC80" s="86"/>
      <c r="AD80" s="86"/>
      <c r="AE80" s="99"/>
      <c r="AF80" s="100"/>
      <c r="AG80" s="100"/>
      <c r="AH80" s="100"/>
      <c r="AI80" s="100"/>
      <c r="AJ80" s="100"/>
      <c r="AK80" s="100"/>
      <c r="AL80" s="100"/>
      <c r="AM80" s="100"/>
      <c r="AN80" s="100"/>
      <c r="AO80" s="100"/>
      <c r="AP80" s="100"/>
      <c r="AQ80" s="100"/>
      <c r="AR80" s="100"/>
      <c r="AS80" s="100"/>
      <c r="AT80" s="100"/>
      <c r="AU80" s="100"/>
      <c r="AV80" s="100"/>
      <c r="AW80" s="100"/>
      <c r="AX80" s="100"/>
      <c r="AY80" s="100"/>
      <c r="AZ80" s="100"/>
      <c r="BA80" s="100"/>
      <c r="BB80" s="100"/>
      <c r="BC80" s="100"/>
      <c r="BD80" s="100"/>
      <c r="BE80" s="100"/>
      <c r="BF80" s="100"/>
      <c r="BG80" s="100"/>
      <c r="BH80" s="100"/>
      <c r="BI80" s="100"/>
      <c r="BJ80" s="100"/>
      <c r="BK80" s="100"/>
      <c r="BL80" s="100"/>
      <c r="BM80" s="100"/>
      <c r="BN80" s="100"/>
      <c r="BO80" s="100"/>
      <c r="BP80" s="100"/>
      <c r="BQ80" s="100"/>
      <c r="BR80" s="100"/>
      <c r="BS80" s="100"/>
      <c r="BT80" s="100"/>
      <c r="BU80" s="100"/>
      <c r="BV80" s="100"/>
      <c r="BW80" s="100"/>
      <c r="BX80" s="100"/>
      <c r="BY80" s="100"/>
      <c r="BZ80" s="100"/>
      <c r="CA80" s="100"/>
      <c r="CB80" s="100"/>
      <c r="CC80" s="100"/>
      <c r="CD80" s="100"/>
      <c r="CE80" s="100"/>
      <c r="CF80" s="101"/>
    </row>
    <row r="81" spans="1:84" s="83" customFormat="1" ht="26" customHeight="1" x14ac:dyDescent="0.25">
      <c r="A81" s="526" t="s">
        <v>78</v>
      </c>
      <c r="B81" s="526" t="s">
        <v>80</v>
      </c>
      <c r="C81" s="541">
        <v>300</v>
      </c>
      <c r="D81" s="526" t="s">
        <v>81</v>
      </c>
      <c r="E81" s="526" t="s">
        <v>108</v>
      </c>
      <c r="F81" s="526" t="s">
        <v>107</v>
      </c>
      <c r="G81" s="172">
        <v>45993</v>
      </c>
      <c r="H81" s="173" t="s">
        <v>264</v>
      </c>
      <c r="I81" s="84" t="s">
        <v>138</v>
      </c>
      <c r="J81" s="84" t="s">
        <v>121</v>
      </c>
      <c r="K81" s="84" t="s">
        <v>137</v>
      </c>
      <c r="L81" s="84" t="str">
        <f t="shared" si="58"/>
        <v>BALL VALVE 10" 300# RF, TRUNNION, A216</v>
      </c>
      <c r="M81" s="174">
        <v>4</v>
      </c>
      <c r="N81" s="174"/>
      <c r="O81" s="175"/>
      <c r="P81" s="176"/>
      <c r="Q81" s="176"/>
      <c r="R81" s="172">
        <v>46133</v>
      </c>
      <c r="S81" s="172">
        <v>46193</v>
      </c>
      <c r="T81" s="172">
        <v>46203</v>
      </c>
      <c r="U81" s="172">
        <v>46210</v>
      </c>
      <c r="V81" s="172">
        <v>46204</v>
      </c>
      <c r="W81" s="172">
        <v>46206</v>
      </c>
      <c r="X81" s="172">
        <v>46209</v>
      </c>
      <c r="Y81" s="172">
        <v>46211</v>
      </c>
      <c r="Z81" s="172"/>
      <c r="AA81" s="86"/>
      <c r="AB81" s="86"/>
      <c r="AC81" s="86"/>
      <c r="AD81" s="86"/>
      <c r="AE81" s="99"/>
      <c r="AF81" s="100"/>
      <c r="AG81" s="100"/>
      <c r="AH81" s="100"/>
      <c r="AI81" s="100"/>
      <c r="AJ81" s="100"/>
      <c r="AK81" s="100"/>
      <c r="AL81" s="100"/>
      <c r="AM81" s="100"/>
      <c r="AN81" s="100"/>
      <c r="AO81" s="100"/>
      <c r="AP81" s="100"/>
      <c r="AQ81" s="100"/>
      <c r="AR81" s="100"/>
      <c r="AS81" s="100"/>
      <c r="AT81" s="100"/>
      <c r="AU81" s="100"/>
      <c r="AV81" s="100"/>
      <c r="AW81" s="100"/>
      <c r="AX81" s="100"/>
      <c r="AY81" s="100"/>
      <c r="AZ81" s="100"/>
      <c r="BA81" s="100"/>
      <c r="BB81" s="100"/>
      <c r="BC81" s="100"/>
      <c r="BD81" s="100"/>
      <c r="BE81" s="100"/>
      <c r="BF81" s="100"/>
      <c r="BG81" s="100"/>
      <c r="BH81" s="100"/>
      <c r="BI81" s="100"/>
      <c r="BJ81" s="100"/>
      <c r="BK81" s="100"/>
      <c r="BL81" s="100"/>
      <c r="BM81" s="100"/>
      <c r="BN81" s="100"/>
      <c r="BO81" s="100"/>
      <c r="BP81" s="100"/>
      <c r="BQ81" s="100"/>
      <c r="BR81" s="100"/>
      <c r="BS81" s="100"/>
      <c r="BT81" s="100"/>
      <c r="BU81" s="100"/>
      <c r="BV81" s="100"/>
      <c r="BW81" s="100"/>
      <c r="BX81" s="100"/>
      <c r="BY81" s="100"/>
      <c r="BZ81" s="100"/>
      <c r="CA81" s="100"/>
      <c r="CB81" s="100"/>
      <c r="CC81" s="100"/>
      <c r="CD81" s="100"/>
      <c r="CE81" s="100"/>
      <c r="CF81" s="101"/>
    </row>
    <row r="82" spans="1:84" s="83" customFormat="1" ht="26" customHeight="1" x14ac:dyDescent="0.25">
      <c r="A82" s="526" t="s">
        <v>94</v>
      </c>
      <c r="B82" s="526" t="s">
        <v>80</v>
      </c>
      <c r="C82" s="541">
        <v>300</v>
      </c>
      <c r="D82" s="526" t="s">
        <v>81</v>
      </c>
      <c r="E82" s="526" t="s">
        <v>97</v>
      </c>
      <c r="F82" s="526" t="s">
        <v>107</v>
      </c>
      <c r="G82" s="172">
        <v>45993</v>
      </c>
      <c r="H82" s="173" t="s">
        <v>263</v>
      </c>
      <c r="I82" s="84" t="s">
        <v>138</v>
      </c>
      <c r="J82" s="84" t="s">
        <v>121</v>
      </c>
      <c r="K82" s="84" t="s">
        <v>135</v>
      </c>
      <c r="L82" s="84" t="str">
        <f t="shared" si="58"/>
        <v>CHECK VALVE 10" 300# RF, BOLTED CAP, A216</v>
      </c>
      <c r="M82" s="174">
        <v>1</v>
      </c>
      <c r="N82" s="174"/>
      <c r="O82" s="175"/>
      <c r="P82" s="176"/>
      <c r="Q82" s="176"/>
      <c r="R82" s="172">
        <v>46133</v>
      </c>
      <c r="S82" s="172">
        <v>46193</v>
      </c>
      <c r="T82" s="172">
        <v>46203</v>
      </c>
      <c r="U82" s="172">
        <v>46210</v>
      </c>
      <c r="V82" s="172">
        <v>46204</v>
      </c>
      <c r="W82" s="172">
        <v>46206</v>
      </c>
      <c r="X82" s="172">
        <v>46209</v>
      </c>
      <c r="Y82" s="172">
        <v>46211</v>
      </c>
      <c r="Z82" s="172"/>
      <c r="AA82" s="86"/>
      <c r="AB82" s="86"/>
      <c r="AC82" s="86"/>
      <c r="AD82" s="86"/>
      <c r="AE82" s="99"/>
      <c r="AF82" s="100"/>
      <c r="AG82" s="100"/>
      <c r="AH82" s="100"/>
      <c r="AI82" s="100"/>
      <c r="AJ82" s="100"/>
      <c r="AK82" s="100"/>
      <c r="AL82" s="100"/>
      <c r="AM82" s="100"/>
      <c r="AN82" s="100"/>
      <c r="AO82" s="100"/>
      <c r="AP82" s="100"/>
      <c r="AQ82" s="100"/>
      <c r="AR82" s="100"/>
      <c r="AS82" s="100"/>
      <c r="AT82" s="100"/>
      <c r="AU82" s="100"/>
      <c r="AV82" s="100"/>
      <c r="AW82" s="100"/>
      <c r="AX82" s="100"/>
      <c r="AY82" s="100"/>
      <c r="AZ82" s="100"/>
      <c r="BA82" s="100"/>
      <c r="BB82" s="100"/>
      <c r="BC82" s="100"/>
      <c r="BD82" s="100"/>
      <c r="BE82" s="100"/>
      <c r="BF82" s="100"/>
      <c r="BG82" s="100"/>
      <c r="BH82" s="100"/>
      <c r="BI82" s="100"/>
      <c r="BJ82" s="100"/>
      <c r="BK82" s="100"/>
      <c r="BL82" s="100"/>
      <c r="BM82" s="100"/>
      <c r="BN82" s="100"/>
      <c r="BO82" s="100"/>
      <c r="BP82" s="100"/>
      <c r="BQ82" s="100"/>
      <c r="BR82" s="100"/>
      <c r="BS82" s="100"/>
      <c r="BT82" s="100"/>
      <c r="BU82" s="100"/>
      <c r="BV82" s="100"/>
      <c r="BW82" s="100"/>
      <c r="BX82" s="100"/>
      <c r="BY82" s="100"/>
      <c r="BZ82" s="100"/>
      <c r="CA82" s="100"/>
      <c r="CB82" s="100"/>
      <c r="CC82" s="100"/>
      <c r="CD82" s="100"/>
      <c r="CE82" s="100"/>
      <c r="CF82" s="101"/>
    </row>
    <row r="83" spans="1:84" s="83" customFormat="1" ht="26" customHeight="1" x14ac:dyDescent="0.25">
      <c r="A83" s="526" t="s">
        <v>78</v>
      </c>
      <c r="B83" s="526" t="s">
        <v>88</v>
      </c>
      <c r="C83" s="541">
        <v>800</v>
      </c>
      <c r="D83" s="526" t="s">
        <v>106</v>
      </c>
      <c r="E83" s="526" t="s">
        <v>109</v>
      </c>
      <c r="F83" s="526" t="s">
        <v>105</v>
      </c>
      <c r="G83" s="172">
        <v>45993</v>
      </c>
      <c r="H83" s="173" t="s">
        <v>264</v>
      </c>
      <c r="I83" s="84" t="s">
        <v>138</v>
      </c>
      <c r="J83" s="84" t="s">
        <v>121</v>
      </c>
      <c r="K83" s="84" t="s">
        <v>123</v>
      </c>
      <c r="L83" s="84" t="str">
        <f t="shared" si="58"/>
        <v>BALL VALVE 3/4" 800# SW, FLOATING, A105</v>
      </c>
      <c r="M83" s="174">
        <v>2</v>
      </c>
      <c r="N83" s="174"/>
      <c r="O83" s="175"/>
      <c r="P83" s="176"/>
      <c r="Q83" s="176"/>
      <c r="R83" s="172">
        <v>46133</v>
      </c>
      <c r="S83" s="172"/>
      <c r="T83" s="172"/>
      <c r="U83" s="172"/>
      <c r="V83" s="172"/>
      <c r="W83" s="172"/>
      <c r="X83" s="172"/>
      <c r="Y83" s="172"/>
      <c r="Z83" s="172"/>
      <c r="AA83" s="86"/>
      <c r="AB83" s="86"/>
      <c r="AC83" s="86"/>
      <c r="AD83" s="86"/>
      <c r="AE83" s="99"/>
      <c r="AF83" s="100"/>
      <c r="AG83" s="100"/>
      <c r="AH83" s="100"/>
      <c r="AI83" s="100"/>
      <c r="AJ83" s="100"/>
      <c r="AK83" s="100"/>
      <c r="AL83" s="100"/>
      <c r="AM83" s="100"/>
      <c r="AN83" s="100"/>
      <c r="AO83" s="100"/>
      <c r="AP83" s="100"/>
      <c r="AQ83" s="100"/>
      <c r="AR83" s="100"/>
      <c r="AS83" s="100"/>
      <c r="AT83" s="100"/>
      <c r="AU83" s="100"/>
      <c r="AV83" s="100"/>
      <c r="AW83" s="100"/>
      <c r="AX83" s="100"/>
      <c r="AY83" s="100"/>
      <c r="AZ83" s="100"/>
      <c r="BA83" s="100"/>
      <c r="BB83" s="100"/>
      <c r="BC83" s="100"/>
      <c r="BD83" s="100"/>
      <c r="BE83" s="100"/>
      <c r="BF83" s="100"/>
      <c r="BG83" s="100"/>
      <c r="BH83" s="100"/>
      <c r="BI83" s="100"/>
      <c r="BJ83" s="100"/>
      <c r="BK83" s="100"/>
      <c r="BL83" s="100"/>
      <c r="BM83" s="100"/>
      <c r="BN83" s="100"/>
      <c r="BO83" s="100"/>
      <c r="BP83" s="100"/>
      <c r="BQ83" s="100"/>
      <c r="BR83" s="100"/>
      <c r="BS83" s="100"/>
      <c r="BT83" s="100"/>
      <c r="BU83" s="100"/>
      <c r="BV83" s="100"/>
      <c r="BW83" s="100"/>
      <c r="BX83" s="100"/>
      <c r="BY83" s="100"/>
      <c r="BZ83" s="100"/>
      <c r="CA83" s="100"/>
      <c r="CB83" s="100"/>
      <c r="CC83" s="100"/>
      <c r="CD83" s="100"/>
      <c r="CE83" s="100"/>
      <c r="CF83" s="101"/>
    </row>
    <row r="84" spans="1:84" s="83" customFormat="1" ht="26" customHeight="1" x14ac:dyDescent="0.25">
      <c r="A84" s="526" t="s">
        <v>90</v>
      </c>
      <c r="B84" s="526" t="s">
        <v>117</v>
      </c>
      <c r="C84" s="541">
        <v>800</v>
      </c>
      <c r="D84" s="526" t="s">
        <v>106</v>
      </c>
      <c r="E84" s="526" t="s">
        <v>1218</v>
      </c>
      <c r="F84" s="526" t="s">
        <v>105</v>
      </c>
      <c r="G84" s="172">
        <v>45993</v>
      </c>
      <c r="H84" s="173" t="s">
        <v>264</v>
      </c>
      <c r="I84" s="84" t="s">
        <v>138</v>
      </c>
      <c r="J84" s="84" t="s">
        <v>121</v>
      </c>
      <c r="K84" s="84" t="s">
        <v>124</v>
      </c>
      <c r="L84" s="84" t="str">
        <f t="shared" si="58"/>
        <v>GATE VALVE 1" 800# SW, BB-OS&amp;Y, A105</v>
      </c>
      <c r="M84" s="174">
        <v>1</v>
      </c>
      <c r="N84" s="174"/>
      <c r="O84" s="175"/>
      <c r="P84" s="176"/>
      <c r="Q84" s="176"/>
      <c r="R84" s="172">
        <v>46133</v>
      </c>
      <c r="S84" s="172"/>
      <c r="T84" s="172"/>
      <c r="U84" s="172"/>
      <c r="V84" s="172"/>
      <c r="W84" s="172"/>
      <c r="X84" s="172"/>
      <c r="Y84" s="172"/>
      <c r="Z84" s="172"/>
      <c r="AA84" s="86"/>
      <c r="AB84" s="86"/>
      <c r="AC84" s="86"/>
      <c r="AD84" s="86"/>
      <c r="AE84" s="99"/>
      <c r="AF84" s="100"/>
      <c r="AG84" s="100"/>
      <c r="AH84" s="100"/>
      <c r="AI84" s="100"/>
      <c r="AJ84" s="100"/>
      <c r="AK84" s="100"/>
      <c r="AL84" s="100"/>
      <c r="AM84" s="100"/>
      <c r="AN84" s="100"/>
      <c r="AO84" s="100"/>
      <c r="AP84" s="100"/>
      <c r="AQ84" s="100"/>
      <c r="AR84" s="100"/>
      <c r="AS84" s="100"/>
      <c r="AT84" s="100"/>
      <c r="AU84" s="100"/>
      <c r="AV84" s="100"/>
      <c r="AW84" s="100"/>
      <c r="AX84" s="100"/>
      <c r="AY84" s="100"/>
      <c r="AZ84" s="100"/>
      <c r="BA84" s="100"/>
      <c r="BB84" s="100"/>
      <c r="BC84" s="100"/>
      <c r="BD84" s="100"/>
      <c r="BE84" s="100"/>
      <c r="BF84" s="100"/>
      <c r="BG84" s="100"/>
      <c r="BH84" s="100"/>
      <c r="BI84" s="100"/>
      <c r="BJ84" s="100"/>
      <c r="BK84" s="100"/>
      <c r="BL84" s="100"/>
      <c r="BM84" s="100"/>
      <c r="BN84" s="100"/>
      <c r="BO84" s="100"/>
      <c r="BP84" s="100"/>
      <c r="BQ84" s="100"/>
      <c r="BR84" s="100"/>
      <c r="BS84" s="100"/>
      <c r="BT84" s="100"/>
      <c r="BU84" s="100"/>
      <c r="BV84" s="100"/>
      <c r="BW84" s="100"/>
      <c r="BX84" s="100"/>
      <c r="BY84" s="100"/>
      <c r="BZ84" s="100"/>
      <c r="CA84" s="100"/>
      <c r="CB84" s="100"/>
      <c r="CC84" s="100"/>
      <c r="CD84" s="100"/>
      <c r="CE84" s="100"/>
      <c r="CF84" s="101"/>
    </row>
    <row r="85" spans="1:84" s="83" customFormat="1" ht="26" customHeight="1" x14ac:dyDescent="0.25">
      <c r="A85" s="526" t="s">
        <v>90</v>
      </c>
      <c r="B85" s="526" t="s">
        <v>86</v>
      </c>
      <c r="C85" s="541">
        <v>800</v>
      </c>
      <c r="D85" s="526" t="s">
        <v>106</v>
      </c>
      <c r="E85" s="526" t="s">
        <v>1218</v>
      </c>
      <c r="F85" s="526" t="s">
        <v>105</v>
      </c>
      <c r="G85" s="172">
        <v>45993</v>
      </c>
      <c r="H85" s="173" t="s">
        <v>264</v>
      </c>
      <c r="I85" s="84" t="s">
        <v>138</v>
      </c>
      <c r="J85" s="84" t="s">
        <v>121</v>
      </c>
      <c r="K85" s="84" t="s">
        <v>124</v>
      </c>
      <c r="L85" s="84" t="str">
        <f t="shared" si="58"/>
        <v>GATE VALVE 2" 800# SW, BB-OS&amp;Y, A105</v>
      </c>
      <c r="M85" s="174">
        <v>2</v>
      </c>
      <c r="N85" s="174"/>
      <c r="O85" s="175"/>
      <c r="P85" s="176"/>
      <c r="Q85" s="176"/>
      <c r="R85" s="172">
        <v>46133</v>
      </c>
      <c r="S85" s="172"/>
      <c r="T85" s="172"/>
      <c r="U85" s="172"/>
      <c r="V85" s="172"/>
      <c r="W85" s="172"/>
      <c r="X85" s="172"/>
      <c r="Y85" s="172"/>
      <c r="Z85" s="172"/>
      <c r="AA85" s="86"/>
      <c r="AB85" s="86"/>
      <c r="AC85" s="86"/>
      <c r="AD85" s="86"/>
      <c r="AE85" s="99"/>
      <c r="AF85" s="100"/>
      <c r="AG85" s="100"/>
      <c r="AH85" s="100"/>
      <c r="AI85" s="100"/>
      <c r="AJ85" s="100"/>
      <c r="AK85" s="100"/>
      <c r="AL85" s="100"/>
      <c r="AM85" s="100"/>
      <c r="AN85" s="100"/>
      <c r="AO85" s="100"/>
      <c r="AP85" s="100"/>
      <c r="AQ85" s="100"/>
      <c r="AR85" s="100"/>
      <c r="AS85" s="100"/>
      <c r="AT85" s="100"/>
      <c r="AU85" s="100"/>
      <c r="AV85" s="100"/>
      <c r="AW85" s="100"/>
      <c r="AX85" s="100"/>
      <c r="AY85" s="100"/>
      <c r="AZ85" s="100"/>
      <c r="BA85" s="100"/>
      <c r="BB85" s="100"/>
      <c r="BC85" s="100"/>
      <c r="BD85" s="100"/>
      <c r="BE85" s="100"/>
      <c r="BF85" s="100"/>
      <c r="BG85" s="100"/>
      <c r="BH85" s="100"/>
      <c r="BI85" s="100"/>
      <c r="BJ85" s="100"/>
      <c r="BK85" s="100"/>
      <c r="BL85" s="100"/>
      <c r="BM85" s="100"/>
      <c r="BN85" s="100"/>
      <c r="BO85" s="100"/>
      <c r="BP85" s="100"/>
      <c r="BQ85" s="100"/>
      <c r="BR85" s="100"/>
      <c r="BS85" s="100"/>
      <c r="BT85" s="100"/>
      <c r="BU85" s="100"/>
      <c r="BV85" s="100"/>
      <c r="BW85" s="100"/>
      <c r="BX85" s="100"/>
      <c r="BY85" s="100"/>
      <c r="BZ85" s="100"/>
      <c r="CA85" s="100"/>
      <c r="CB85" s="100"/>
      <c r="CC85" s="100"/>
      <c r="CD85" s="100"/>
      <c r="CE85" s="100"/>
      <c r="CF85" s="101"/>
    </row>
    <row r="86" spans="1:84" s="83" customFormat="1" ht="26" customHeight="1" x14ac:dyDescent="0.25">
      <c r="A86" s="526" t="s">
        <v>90</v>
      </c>
      <c r="B86" s="526" t="s">
        <v>82</v>
      </c>
      <c r="C86" s="541">
        <v>150</v>
      </c>
      <c r="D86" s="526" t="s">
        <v>81</v>
      </c>
      <c r="E86" s="526" t="s">
        <v>1218</v>
      </c>
      <c r="F86" s="526" t="s">
        <v>107</v>
      </c>
      <c r="G86" s="172">
        <v>45993</v>
      </c>
      <c r="H86" s="173" t="s">
        <v>263</v>
      </c>
      <c r="I86" s="84" t="s">
        <v>138</v>
      </c>
      <c r="J86" s="84" t="s">
        <v>121</v>
      </c>
      <c r="K86" s="84" t="s">
        <v>125</v>
      </c>
      <c r="L86" s="84" t="str">
        <f t="shared" si="58"/>
        <v>GATE VALVE 6" 150# RF, BB-OS&amp;Y, A216</v>
      </c>
      <c r="M86" s="174">
        <v>2</v>
      </c>
      <c r="N86" s="174"/>
      <c r="O86" s="175"/>
      <c r="P86" s="176"/>
      <c r="Q86" s="176"/>
      <c r="R86" s="172">
        <v>46133</v>
      </c>
      <c r="S86" s="172">
        <v>46193</v>
      </c>
      <c r="T86" s="172">
        <v>46203</v>
      </c>
      <c r="U86" s="172">
        <v>46210</v>
      </c>
      <c r="V86" s="172">
        <v>46204</v>
      </c>
      <c r="W86" s="172">
        <v>46206</v>
      </c>
      <c r="X86" s="172">
        <v>46209</v>
      </c>
      <c r="Y86" s="172">
        <v>46211</v>
      </c>
      <c r="Z86" s="172"/>
      <c r="AA86" s="86"/>
      <c r="AB86" s="86"/>
      <c r="AC86" s="86"/>
      <c r="AD86" s="86"/>
      <c r="AE86" s="99"/>
      <c r="AF86" s="100"/>
      <c r="AG86" s="100"/>
      <c r="AH86" s="100"/>
      <c r="AI86" s="100"/>
      <c r="AJ86" s="100"/>
      <c r="AK86" s="100"/>
      <c r="AL86" s="100"/>
      <c r="AM86" s="100"/>
      <c r="AN86" s="100"/>
      <c r="AO86" s="100"/>
      <c r="AP86" s="100"/>
      <c r="AQ86" s="100"/>
      <c r="AR86" s="100"/>
      <c r="AS86" s="100"/>
      <c r="AT86" s="100"/>
      <c r="AU86" s="100"/>
      <c r="AV86" s="100"/>
      <c r="AW86" s="100"/>
      <c r="AX86" s="100"/>
      <c r="AY86" s="100"/>
      <c r="AZ86" s="100"/>
      <c r="BA86" s="100"/>
      <c r="BB86" s="100"/>
      <c r="BC86" s="100"/>
      <c r="BD86" s="100"/>
      <c r="BE86" s="100"/>
      <c r="BF86" s="100"/>
      <c r="BG86" s="100"/>
      <c r="BH86" s="100"/>
      <c r="BI86" s="100"/>
      <c r="BJ86" s="100"/>
      <c r="BK86" s="100"/>
      <c r="BL86" s="100"/>
      <c r="BM86" s="100"/>
      <c r="BN86" s="100"/>
      <c r="BO86" s="100"/>
      <c r="BP86" s="100"/>
      <c r="BQ86" s="100"/>
      <c r="BR86" s="100"/>
      <c r="BS86" s="100"/>
      <c r="BT86" s="100"/>
      <c r="BU86" s="100"/>
      <c r="BV86" s="100"/>
      <c r="BW86" s="100"/>
      <c r="BX86" s="100"/>
      <c r="BY86" s="100"/>
      <c r="BZ86" s="100"/>
      <c r="CA86" s="100"/>
      <c r="CB86" s="100"/>
      <c r="CC86" s="100"/>
      <c r="CD86" s="100"/>
      <c r="CE86" s="100"/>
      <c r="CF86" s="101"/>
    </row>
    <row r="87" spans="1:84" s="83" customFormat="1" ht="26" customHeight="1" x14ac:dyDescent="0.25">
      <c r="A87" s="526" t="s">
        <v>90</v>
      </c>
      <c r="B87" s="526" t="s">
        <v>120</v>
      </c>
      <c r="C87" s="541">
        <v>150</v>
      </c>
      <c r="D87" s="526" t="s">
        <v>81</v>
      </c>
      <c r="E87" s="526" t="s">
        <v>1218</v>
      </c>
      <c r="F87" s="526" t="s">
        <v>107</v>
      </c>
      <c r="G87" s="172">
        <v>45993</v>
      </c>
      <c r="H87" s="173" t="s">
        <v>263</v>
      </c>
      <c r="I87" s="84" t="s">
        <v>138</v>
      </c>
      <c r="J87" s="84" t="s">
        <v>121</v>
      </c>
      <c r="K87" s="84" t="s">
        <v>125</v>
      </c>
      <c r="L87" s="84" t="str">
        <f t="shared" si="58"/>
        <v>GATE VALVE 8" 150# RF, BB-OS&amp;Y, A216</v>
      </c>
      <c r="M87" s="174">
        <v>1</v>
      </c>
      <c r="N87" s="174"/>
      <c r="O87" s="175"/>
      <c r="P87" s="176"/>
      <c r="Q87" s="176"/>
      <c r="R87" s="172">
        <v>46133</v>
      </c>
      <c r="S87" s="172">
        <v>46193</v>
      </c>
      <c r="T87" s="172">
        <v>46203</v>
      </c>
      <c r="U87" s="172">
        <v>46210</v>
      </c>
      <c r="V87" s="172">
        <v>46204</v>
      </c>
      <c r="W87" s="172">
        <v>46206</v>
      </c>
      <c r="X87" s="172">
        <v>46209</v>
      </c>
      <c r="Y87" s="172">
        <v>46211</v>
      </c>
      <c r="Z87" s="172"/>
      <c r="AA87" s="86"/>
      <c r="AB87" s="86"/>
      <c r="AC87" s="86"/>
      <c r="AD87" s="86"/>
      <c r="AE87" s="99"/>
      <c r="AF87" s="100"/>
      <c r="AG87" s="100"/>
      <c r="AH87" s="100"/>
      <c r="AI87" s="100"/>
      <c r="AJ87" s="100"/>
      <c r="AK87" s="100"/>
      <c r="AL87" s="100"/>
      <c r="AM87" s="100"/>
      <c r="AN87" s="100"/>
      <c r="AO87" s="100"/>
      <c r="AP87" s="100"/>
      <c r="AQ87" s="100"/>
      <c r="AR87" s="100"/>
      <c r="AS87" s="100"/>
      <c r="AT87" s="100"/>
      <c r="AU87" s="100"/>
      <c r="AV87" s="100"/>
      <c r="AW87" s="100"/>
      <c r="AX87" s="100"/>
      <c r="AY87" s="100"/>
      <c r="AZ87" s="100"/>
      <c r="BA87" s="100"/>
      <c r="BB87" s="100"/>
      <c r="BC87" s="100"/>
      <c r="BD87" s="100"/>
      <c r="BE87" s="100"/>
      <c r="BF87" s="100"/>
      <c r="BG87" s="100"/>
      <c r="BH87" s="100"/>
      <c r="BI87" s="100"/>
      <c r="BJ87" s="100"/>
      <c r="BK87" s="100"/>
      <c r="BL87" s="100"/>
      <c r="BM87" s="100"/>
      <c r="BN87" s="100"/>
      <c r="BO87" s="100"/>
      <c r="BP87" s="100"/>
      <c r="BQ87" s="100"/>
      <c r="BR87" s="100"/>
      <c r="BS87" s="100"/>
      <c r="BT87" s="100"/>
      <c r="BU87" s="100"/>
      <c r="BV87" s="100"/>
      <c r="BW87" s="100"/>
      <c r="BX87" s="100"/>
      <c r="BY87" s="100"/>
      <c r="BZ87" s="100"/>
      <c r="CA87" s="100"/>
      <c r="CB87" s="100"/>
      <c r="CC87" s="100"/>
      <c r="CD87" s="100"/>
      <c r="CE87" s="100"/>
      <c r="CF87" s="101"/>
    </row>
    <row r="88" spans="1:84" s="83" customFormat="1" ht="26" customHeight="1" x14ac:dyDescent="0.25">
      <c r="A88" s="526" t="s">
        <v>94</v>
      </c>
      <c r="B88" s="526" t="s">
        <v>80</v>
      </c>
      <c r="C88" s="541">
        <v>150</v>
      </c>
      <c r="D88" s="526" t="s">
        <v>81</v>
      </c>
      <c r="E88" s="526" t="s">
        <v>97</v>
      </c>
      <c r="F88" s="526" t="s">
        <v>107</v>
      </c>
      <c r="G88" s="172">
        <v>45993</v>
      </c>
      <c r="H88" s="173" t="s">
        <v>263</v>
      </c>
      <c r="I88" s="84" t="s">
        <v>138</v>
      </c>
      <c r="J88" s="84" t="s">
        <v>121</v>
      </c>
      <c r="K88" s="84" t="s">
        <v>127</v>
      </c>
      <c r="L88" s="84" t="str">
        <f t="shared" si="58"/>
        <v>CHECK VALVE 10" 150# RF, BOLTED CAP, A216</v>
      </c>
      <c r="M88" s="174">
        <v>1</v>
      </c>
      <c r="N88" s="174"/>
      <c r="O88" s="175"/>
      <c r="P88" s="176"/>
      <c r="Q88" s="176"/>
      <c r="R88" s="172">
        <v>46133</v>
      </c>
      <c r="S88" s="172">
        <v>46193</v>
      </c>
      <c r="T88" s="172">
        <v>46203</v>
      </c>
      <c r="U88" s="172">
        <v>46210</v>
      </c>
      <c r="V88" s="172">
        <v>46204</v>
      </c>
      <c r="W88" s="172">
        <v>46206</v>
      </c>
      <c r="X88" s="172">
        <v>46209</v>
      </c>
      <c r="Y88" s="172">
        <v>46211</v>
      </c>
      <c r="Z88" s="172"/>
      <c r="AA88" s="86"/>
      <c r="AB88" s="86"/>
      <c r="AC88" s="86"/>
      <c r="AD88" s="86"/>
      <c r="AE88" s="99"/>
      <c r="AF88" s="100"/>
      <c r="AG88" s="100"/>
      <c r="AH88" s="100"/>
      <c r="AI88" s="100"/>
      <c r="AJ88" s="100"/>
      <c r="AK88" s="100"/>
      <c r="AL88" s="100"/>
      <c r="AM88" s="100"/>
      <c r="AN88" s="100"/>
      <c r="AO88" s="100"/>
      <c r="AP88" s="100"/>
      <c r="AQ88" s="100"/>
      <c r="AR88" s="100"/>
      <c r="AS88" s="100"/>
      <c r="AT88" s="100"/>
      <c r="AU88" s="100"/>
      <c r="AV88" s="100"/>
      <c r="AW88" s="100"/>
      <c r="AX88" s="100"/>
      <c r="AY88" s="100"/>
      <c r="AZ88" s="100"/>
      <c r="BA88" s="100"/>
      <c r="BB88" s="100"/>
      <c r="BC88" s="100"/>
      <c r="BD88" s="100"/>
      <c r="BE88" s="100"/>
      <c r="BF88" s="100"/>
      <c r="BG88" s="100"/>
      <c r="BH88" s="100"/>
      <c r="BI88" s="100"/>
      <c r="BJ88" s="100"/>
      <c r="BK88" s="100"/>
      <c r="BL88" s="100"/>
      <c r="BM88" s="100"/>
      <c r="BN88" s="100"/>
      <c r="BO88" s="100"/>
      <c r="BP88" s="100"/>
      <c r="BQ88" s="100"/>
      <c r="BR88" s="100"/>
      <c r="BS88" s="100"/>
      <c r="BT88" s="100"/>
      <c r="BU88" s="100"/>
      <c r="BV88" s="100"/>
      <c r="BW88" s="100"/>
      <c r="BX88" s="100"/>
      <c r="BY88" s="100"/>
      <c r="BZ88" s="100"/>
      <c r="CA88" s="100"/>
      <c r="CB88" s="100"/>
      <c r="CC88" s="100"/>
      <c r="CD88" s="100"/>
      <c r="CE88" s="100"/>
      <c r="CF88" s="101"/>
    </row>
    <row r="89" spans="1:84" s="83" customFormat="1" ht="26" customHeight="1" x14ac:dyDescent="0.25">
      <c r="A89" s="526" t="s">
        <v>90</v>
      </c>
      <c r="B89" s="526" t="s">
        <v>80</v>
      </c>
      <c r="C89" s="541">
        <v>150</v>
      </c>
      <c r="D89" s="526" t="s">
        <v>81</v>
      </c>
      <c r="E89" s="526" t="s">
        <v>1218</v>
      </c>
      <c r="F89" s="526" t="s">
        <v>107</v>
      </c>
      <c r="G89" s="172">
        <v>45993</v>
      </c>
      <c r="H89" s="173" t="s">
        <v>263</v>
      </c>
      <c r="I89" s="84" t="s">
        <v>138</v>
      </c>
      <c r="J89" s="84" t="s">
        <v>121</v>
      </c>
      <c r="K89" s="84" t="s">
        <v>125</v>
      </c>
      <c r="L89" s="84" t="str">
        <f t="shared" si="58"/>
        <v>GATE VALVE 10" 150# RF, BB-OS&amp;Y, A216</v>
      </c>
      <c r="M89" s="174">
        <v>6</v>
      </c>
      <c r="N89" s="174"/>
      <c r="O89" s="175"/>
      <c r="P89" s="176"/>
      <c r="Q89" s="176"/>
      <c r="R89" s="172">
        <v>46133</v>
      </c>
      <c r="S89" s="172">
        <v>46193</v>
      </c>
      <c r="T89" s="172">
        <v>46203</v>
      </c>
      <c r="U89" s="172">
        <v>46210</v>
      </c>
      <c r="V89" s="172">
        <v>46204</v>
      </c>
      <c r="W89" s="172">
        <v>46206</v>
      </c>
      <c r="X89" s="172">
        <v>46209</v>
      </c>
      <c r="Y89" s="172">
        <v>46211</v>
      </c>
      <c r="Z89" s="172"/>
      <c r="AA89" s="86"/>
      <c r="AB89" s="86"/>
      <c r="AC89" s="86"/>
      <c r="AD89" s="86"/>
      <c r="AE89" s="99"/>
      <c r="AF89" s="100"/>
      <c r="AG89" s="100"/>
      <c r="AH89" s="100"/>
      <c r="AI89" s="100"/>
      <c r="AJ89" s="100"/>
      <c r="AK89" s="100"/>
      <c r="AL89" s="100"/>
      <c r="AM89" s="100"/>
      <c r="AN89" s="100"/>
      <c r="AO89" s="100"/>
      <c r="AP89" s="100"/>
      <c r="AQ89" s="100"/>
      <c r="AR89" s="100"/>
      <c r="AS89" s="100"/>
      <c r="AT89" s="100"/>
      <c r="AU89" s="100"/>
      <c r="AV89" s="100"/>
      <c r="AW89" s="100"/>
      <c r="AX89" s="100"/>
      <c r="AY89" s="100"/>
      <c r="AZ89" s="100"/>
      <c r="BA89" s="100"/>
      <c r="BB89" s="100"/>
      <c r="BC89" s="100"/>
      <c r="BD89" s="100"/>
      <c r="BE89" s="100"/>
      <c r="BF89" s="100"/>
      <c r="BG89" s="100"/>
      <c r="BH89" s="100"/>
      <c r="BI89" s="100"/>
      <c r="BJ89" s="100"/>
      <c r="BK89" s="100"/>
      <c r="BL89" s="100"/>
      <c r="BM89" s="100"/>
      <c r="BN89" s="100"/>
      <c r="BO89" s="100"/>
      <c r="BP89" s="100"/>
      <c r="BQ89" s="100"/>
      <c r="BR89" s="100"/>
      <c r="BS89" s="100"/>
      <c r="BT89" s="100"/>
      <c r="BU89" s="100"/>
      <c r="BV89" s="100"/>
      <c r="BW89" s="100"/>
      <c r="BX89" s="100"/>
      <c r="BY89" s="100"/>
      <c r="BZ89" s="100"/>
      <c r="CA89" s="100"/>
      <c r="CB89" s="100"/>
      <c r="CC89" s="100"/>
      <c r="CD89" s="100"/>
      <c r="CE89" s="100"/>
      <c r="CF89" s="101"/>
    </row>
    <row r="90" spans="1:84" s="83" customFormat="1" ht="26" customHeight="1" x14ac:dyDescent="0.25">
      <c r="A90" s="526" t="s">
        <v>90</v>
      </c>
      <c r="B90" s="526" t="s">
        <v>84</v>
      </c>
      <c r="C90" s="541">
        <v>150</v>
      </c>
      <c r="D90" s="526" t="s">
        <v>81</v>
      </c>
      <c r="E90" s="526" t="s">
        <v>1218</v>
      </c>
      <c r="F90" s="526" t="s">
        <v>107</v>
      </c>
      <c r="G90" s="172">
        <v>45993</v>
      </c>
      <c r="H90" s="173" t="s">
        <v>263</v>
      </c>
      <c r="I90" s="84" t="s">
        <v>138</v>
      </c>
      <c r="J90" s="84" t="s">
        <v>121</v>
      </c>
      <c r="K90" s="84" t="s">
        <v>91</v>
      </c>
      <c r="L90" s="84" t="str">
        <f t="shared" si="58"/>
        <v>GATE VALVE 4" 150# RF, BB-OS&amp;Y, A216</v>
      </c>
      <c r="M90" s="174">
        <v>3</v>
      </c>
      <c r="N90" s="174"/>
      <c r="O90" s="175"/>
      <c r="P90" s="176"/>
      <c r="Q90" s="176"/>
      <c r="R90" s="172">
        <v>46133</v>
      </c>
      <c r="S90" s="172">
        <v>46193</v>
      </c>
      <c r="T90" s="172">
        <v>46203</v>
      </c>
      <c r="U90" s="172">
        <v>46210</v>
      </c>
      <c r="V90" s="172">
        <v>46204</v>
      </c>
      <c r="W90" s="172">
        <v>46206</v>
      </c>
      <c r="X90" s="172">
        <v>46209</v>
      </c>
      <c r="Y90" s="172">
        <v>46211</v>
      </c>
      <c r="Z90" s="172"/>
      <c r="AA90" s="86"/>
      <c r="AB90" s="86"/>
      <c r="AC90" s="86"/>
      <c r="AD90" s="86"/>
      <c r="AE90" s="99"/>
      <c r="AF90" s="100"/>
      <c r="AG90" s="100"/>
      <c r="AH90" s="100"/>
      <c r="AI90" s="100"/>
      <c r="AJ90" s="100"/>
      <c r="AK90" s="100"/>
      <c r="AL90" s="100"/>
      <c r="AM90" s="100"/>
      <c r="AN90" s="100"/>
      <c r="AO90" s="100"/>
      <c r="AP90" s="100"/>
      <c r="AQ90" s="100"/>
      <c r="AR90" s="100"/>
      <c r="AS90" s="100"/>
      <c r="AT90" s="100"/>
      <c r="AU90" s="100"/>
      <c r="AV90" s="100"/>
      <c r="AW90" s="100"/>
      <c r="AX90" s="100"/>
      <c r="AY90" s="100"/>
      <c r="AZ90" s="100"/>
      <c r="BA90" s="100"/>
      <c r="BB90" s="100"/>
      <c r="BC90" s="100"/>
      <c r="BD90" s="100"/>
      <c r="BE90" s="100"/>
      <c r="BF90" s="100"/>
      <c r="BG90" s="100"/>
      <c r="BH90" s="100"/>
      <c r="BI90" s="100"/>
      <c r="BJ90" s="100"/>
      <c r="BK90" s="100"/>
      <c r="BL90" s="100"/>
      <c r="BM90" s="100"/>
      <c r="BN90" s="100"/>
      <c r="BO90" s="100"/>
      <c r="BP90" s="100"/>
      <c r="BQ90" s="100"/>
      <c r="BR90" s="100"/>
      <c r="BS90" s="100"/>
      <c r="BT90" s="100"/>
      <c r="BU90" s="100"/>
      <c r="BV90" s="100"/>
      <c r="BW90" s="100"/>
      <c r="BX90" s="100"/>
      <c r="BY90" s="100"/>
      <c r="BZ90" s="100"/>
      <c r="CA90" s="100"/>
      <c r="CB90" s="100"/>
      <c r="CC90" s="100"/>
      <c r="CD90" s="100"/>
      <c r="CE90" s="100"/>
      <c r="CF90" s="101"/>
    </row>
    <row r="91" spans="1:84" s="83" customFormat="1" ht="26" customHeight="1" x14ac:dyDescent="0.25">
      <c r="A91" s="526" t="s">
        <v>90</v>
      </c>
      <c r="B91" s="526" t="s">
        <v>117</v>
      </c>
      <c r="C91" s="541">
        <v>150</v>
      </c>
      <c r="D91" s="526" t="s">
        <v>81</v>
      </c>
      <c r="E91" s="526" t="s">
        <v>1218</v>
      </c>
      <c r="F91" s="526" t="s">
        <v>180</v>
      </c>
      <c r="G91" s="172">
        <v>45978</v>
      </c>
      <c r="H91" s="173" t="s">
        <v>139</v>
      </c>
      <c r="I91" s="84" t="s">
        <v>140</v>
      </c>
      <c r="J91" s="84" t="s">
        <v>141</v>
      </c>
      <c r="K91" s="84" t="s">
        <v>144</v>
      </c>
      <c r="L91" s="84" t="str">
        <f t="shared" si="58"/>
        <v>GATE VALVE 1" 150# RF, BB-OS&amp;Y, A182</v>
      </c>
      <c r="M91" s="174">
        <v>2</v>
      </c>
      <c r="N91" s="174"/>
      <c r="O91" s="174"/>
      <c r="P91" s="174"/>
      <c r="Q91" s="174"/>
      <c r="R91" s="172">
        <v>46066</v>
      </c>
      <c r="S91" s="172"/>
      <c r="T91" s="172"/>
      <c r="U91" s="172"/>
      <c r="V91" s="172"/>
      <c r="W91" s="172"/>
      <c r="X91" s="172"/>
      <c r="Y91" s="172"/>
      <c r="Z91" s="172"/>
      <c r="AA91" s="86"/>
      <c r="AB91" s="86"/>
      <c r="AC91" s="86"/>
      <c r="AD91" s="86"/>
      <c r="AE91" s="99"/>
      <c r="AF91" s="100"/>
      <c r="AG91" s="100"/>
      <c r="AH91" s="100"/>
      <c r="AI91" s="100"/>
      <c r="AJ91" s="100"/>
      <c r="AK91" s="100"/>
      <c r="AL91" s="100"/>
      <c r="AM91" s="100"/>
      <c r="AN91" s="100"/>
      <c r="AO91" s="100"/>
      <c r="AP91" s="100"/>
      <c r="AQ91" s="100"/>
      <c r="AR91" s="100"/>
      <c r="AS91" s="100"/>
      <c r="AT91" s="100"/>
      <c r="AU91" s="100"/>
      <c r="AV91" s="100"/>
      <c r="AW91" s="100"/>
      <c r="AX91" s="100"/>
      <c r="AY91" s="100"/>
      <c r="AZ91" s="100"/>
      <c r="BA91" s="100"/>
      <c r="BB91" s="100"/>
      <c r="BC91" s="100"/>
      <c r="BD91" s="100"/>
      <c r="BE91" s="100"/>
      <c r="BF91" s="100"/>
      <c r="BG91" s="100"/>
      <c r="BH91" s="100"/>
      <c r="BI91" s="100"/>
      <c r="BJ91" s="100"/>
      <c r="BK91" s="100"/>
      <c r="BL91" s="100"/>
      <c r="BM91" s="100"/>
      <c r="BN91" s="100"/>
      <c r="BO91" s="100"/>
      <c r="BP91" s="100"/>
      <c r="BQ91" s="100"/>
      <c r="BR91" s="100"/>
      <c r="BS91" s="100"/>
      <c r="BT91" s="100"/>
      <c r="BU91" s="100"/>
      <c r="BV91" s="100"/>
      <c r="BW91" s="100"/>
      <c r="BX91" s="100"/>
      <c r="BY91" s="100"/>
      <c r="BZ91" s="100"/>
      <c r="CA91" s="100"/>
      <c r="CB91" s="100"/>
      <c r="CC91" s="100"/>
      <c r="CD91" s="100"/>
      <c r="CE91" s="100"/>
      <c r="CF91" s="101"/>
    </row>
    <row r="92" spans="1:84" s="83" customFormat="1" ht="26" customHeight="1" x14ac:dyDescent="0.25">
      <c r="A92" s="526" t="s">
        <v>90</v>
      </c>
      <c r="B92" s="526" t="s">
        <v>117</v>
      </c>
      <c r="C92" s="541">
        <v>800</v>
      </c>
      <c r="D92" s="526" t="s">
        <v>106</v>
      </c>
      <c r="E92" s="526" t="s">
        <v>1218</v>
      </c>
      <c r="F92" s="526" t="s">
        <v>180</v>
      </c>
      <c r="G92" s="172">
        <v>45978</v>
      </c>
      <c r="H92" s="173" t="s">
        <v>139</v>
      </c>
      <c r="I92" s="84" t="s">
        <v>140</v>
      </c>
      <c r="J92" s="84" t="s">
        <v>141</v>
      </c>
      <c r="K92" s="84" t="s">
        <v>145</v>
      </c>
      <c r="L92" s="84" t="str">
        <f t="shared" si="58"/>
        <v>GATE VALVE 1" 800# SW, BB-OS&amp;Y, A182</v>
      </c>
      <c r="M92" s="174">
        <v>4</v>
      </c>
      <c r="N92" s="174"/>
      <c r="O92" s="174"/>
      <c r="P92" s="174"/>
      <c r="Q92" s="174"/>
      <c r="R92" s="172">
        <v>46066</v>
      </c>
      <c r="S92" s="172"/>
      <c r="T92" s="172"/>
      <c r="U92" s="172"/>
      <c r="V92" s="172"/>
      <c r="W92" s="172"/>
      <c r="X92" s="172"/>
      <c r="Y92" s="172"/>
      <c r="Z92" s="172"/>
      <c r="AA92" s="86"/>
      <c r="AB92" s="86"/>
      <c r="AC92" s="86"/>
      <c r="AD92" s="86"/>
      <c r="AE92" s="99"/>
      <c r="AF92" s="100"/>
      <c r="AG92" s="100"/>
      <c r="AH92" s="100"/>
      <c r="AI92" s="100"/>
      <c r="AJ92" s="100"/>
      <c r="AK92" s="100"/>
      <c r="AL92" s="100"/>
      <c r="AM92" s="100"/>
      <c r="AN92" s="100"/>
      <c r="AO92" s="100"/>
      <c r="AP92" s="100"/>
      <c r="AQ92" s="100"/>
      <c r="AR92" s="100"/>
      <c r="AS92" s="100"/>
      <c r="AT92" s="100"/>
      <c r="AU92" s="100"/>
      <c r="AV92" s="100"/>
      <c r="AW92" s="100"/>
      <c r="AX92" s="100"/>
      <c r="AY92" s="100"/>
      <c r="AZ92" s="100"/>
      <c r="BA92" s="100"/>
      <c r="BB92" s="100"/>
      <c r="BC92" s="100"/>
      <c r="BD92" s="100"/>
      <c r="BE92" s="100"/>
      <c r="BF92" s="100"/>
      <c r="BG92" s="100"/>
      <c r="BH92" s="100"/>
      <c r="BI92" s="100"/>
      <c r="BJ92" s="100"/>
      <c r="BK92" s="100"/>
      <c r="BL92" s="100"/>
      <c r="BM92" s="100"/>
      <c r="BN92" s="100"/>
      <c r="BO92" s="100"/>
      <c r="BP92" s="100"/>
      <c r="BQ92" s="100"/>
      <c r="BR92" s="100"/>
      <c r="BS92" s="100"/>
      <c r="BT92" s="100"/>
      <c r="BU92" s="100"/>
      <c r="BV92" s="100"/>
      <c r="BW92" s="100"/>
      <c r="BX92" s="100"/>
      <c r="BY92" s="100"/>
      <c r="BZ92" s="100"/>
      <c r="CA92" s="100"/>
      <c r="CB92" s="100"/>
      <c r="CC92" s="100"/>
      <c r="CD92" s="100"/>
      <c r="CE92" s="100"/>
      <c r="CF92" s="101"/>
    </row>
    <row r="93" spans="1:84" s="83" customFormat="1" ht="26" customHeight="1" x14ac:dyDescent="0.25">
      <c r="A93" s="526" t="s">
        <v>90</v>
      </c>
      <c r="B93" s="526" t="s">
        <v>89</v>
      </c>
      <c r="C93" s="541">
        <v>800</v>
      </c>
      <c r="D93" s="526" t="s">
        <v>106</v>
      </c>
      <c r="E93" s="526" t="s">
        <v>1218</v>
      </c>
      <c r="F93" s="526" t="s">
        <v>180</v>
      </c>
      <c r="G93" s="172">
        <v>45978</v>
      </c>
      <c r="H93" s="173" t="s">
        <v>139</v>
      </c>
      <c r="I93" s="84" t="s">
        <v>140</v>
      </c>
      <c r="J93" s="84" t="s">
        <v>141</v>
      </c>
      <c r="K93" s="84" t="s">
        <v>145</v>
      </c>
      <c r="L93" s="84" t="str">
        <f t="shared" si="58"/>
        <v>GATE VALVE 1/2" 800# SW, BB-OS&amp;Y, A182</v>
      </c>
      <c r="M93" s="174">
        <v>9</v>
      </c>
      <c r="N93" s="174"/>
      <c r="O93" s="174"/>
      <c r="P93" s="174"/>
      <c r="Q93" s="174"/>
      <c r="R93" s="172">
        <v>46066</v>
      </c>
      <c r="S93" s="172"/>
      <c r="T93" s="172"/>
      <c r="U93" s="172"/>
      <c r="V93" s="172"/>
      <c r="W93" s="172"/>
      <c r="X93" s="172"/>
      <c r="Y93" s="172"/>
      <c r="Z93" s="172"/>
      <c r="AA93" s="86"/>
      <c r="AB93" s="86"/>
      <c r="AC93" s="86"/>
      <c r="AD93" s="86"/>
      <c r="AE93" s="99"/>
      <c r="AF93" s="100"/>
      <c r="AG93" s="100"/>
      <c r="AH93" s="100"/>
      <c r="AI93" s="100"/>
      <c r="AJ93" s="100"/>
      <c r="AK93" s="100"/>
      <c r="AL93" s="100"/>
      <c r="AM93" s="100"/>
      <c r="AN93" s="100"/>
      <c r="AO93" s="100"/>
      <c r="AP93" s="100"/>
      <c r="AQ93" s="100"/>
      <c r="AR93" s="100"/>
      <c r="AS93" s="100"/>
      <c r="AT93" s="100"/>
      <c r="AU93" s="100"/>
      <c r="AV93" s="100"/>
      <c r="AW93" s="100"/>
      <c r="AX93" s="100"/>
      <c r="AY93" s="100"/>
      <c r="AZ93" s="100"/>
      <c r="BA93" s="100"/>
      <c r="BB93" s="100"/>
      <c r="BC93" s="100"/>
      <c r="BD93" s="100"/>
      <c r="BE93" s="100"/>
      <c r="BF93" s="100"/>
      <c r="BG93" s="100"/>
      <c r="BH93" s="100"/>
      <c r="BI93" s="100"/>
      <c r="BJ93" s="100"/>
      <c r="BK93" s="100"/>
      <c r="BL93" s="100"/>
      <c r="BM93" s="100"/>
      <c r="BN93" s="100"/>
      <c r="BO93" s="100"/>
      <c r="BP93" s="100"/>
      <c r="BQ93" s="100"/>
      <c r="BR93" s="100"/>
      <c r="BS93" s="100"/>
      <c r="BT93" s="100"/>
      <c r="BU93" s="100"/>
      <c r="BV93" s="100"/>
      <c r="BW93" s="100"/>
      <c r="BX93" s="100"/>
      <c r="BY93" s="100"/>
      <c r="BZ93" s="100"/>
      <c r="CA93" s="100"/>
      <c r="CB93" s="100"/>
      <c r="CC93" s="100"/>
      <c r="CD93" s="100"/>
      <c r="CE93" s="100"/>
      <c r="CF93" s="101"/>
    </row>
    <row r="94" spans="1:84" s="83" customFormat="1" ht="26" customHeight="1" x14ac:dyDescent="0.25">
      <c r="A94" s="526" t="s">
        <v>94</v>
      </c>
      <c r="B94" s="526" t="s">
        <v>89</v>
      </c>
      <c r="C94" s="541">
        <v>800</v>
      </c>
      <c r="D94" s="526" t="s">
        <v>106</v>
      </c>
      <c r="E94" s="526" t="s">
        <v>97</v>
      </c>
      <c r="F94" s="526" t="s">
        <v>180</v>
      </c>
      <c r="G94" s="172">
        <v>45978</v>
      </c>
      <c r="H94" s="173" t="s">
        <v>139</v>
      </c>
      <c r="I94" s="84" t="s">
        <v>140</v>
      </c>
      <c r="J94" s="84" t="s">
        <v>141</v>
      </c>
      <c r="K94" s="84" t="s">
        <v>146</v>
      </c>
      <c r="L94" s="84" t="str">
        <f t="shared" si="58"/>
        <v>CHECK VALVE 1/2" 800# SW, BOLTED CAP, A182</v>
      </c>
      <c r="M94" s="174">
        <v>2</v>
      </c>
      <c r="N94" s="174"/>
      <c r="O94" s="174"/>
      <c r="P94" s="174"/>
      <c r="Q94" s="174"/>
      <c r="R94" s="172">
        <v>46066</v>
      </c>
      <c r="S94" s="172"/>
      <c r="T94" s="172"/>
      <c r="U94" s="172"/>
      <c r="V94" s="172"/>
      <c r="W94" s="172"/>
      <c r="X94" s="172"/>
      <c r="Y94" s="172"/>
      <c r="Z94" s="172"/>
      <c r="AA94" s="86"/>
      <c r="AB94" s="86"/>
      <c r="AC94" s="86"/>
      <c r="AD94" s="86"/>
      <c r="AE94" s="99"/>
      <c r="AF94" s="100"/>
      <c r="AG94" s="100"/>
      <c r="AH94" s="100"/>
      <c r="AI94" s="100"/>
      <c r="AJ94" s="100"/>
      <c r="AK94" s="100"/>
      <c r="AL94" s="100"/>
      <c r="AM94" s="100"/>
      <c r="AN94" s="100"/>
      <c r="AO94" s="100"/>
      <c r="AP94" s="100"/>
      <c r="AQ94" s="100"/>
      <c r="AR94" s="100"/>
      <c r="AS94" s="100"/>
      <c r="AT94" s="100"/>
      <c r="AU94" s="100"/>
      <c r="AV94" s="100"/>
      <c r="AW94" s="100"/>
      <c r="AX94" s="100"/>
      <c r="AY94" s="100"/>
      <c r="AZ94" s="100"/>
      <c r="BA94" s="100"/>
      <c r="BB94" s="100"/>
      <c r="BC94" s="100"/>
      <c r="BD94" s="100"/>
      <c r="BE94" s="100"/>
      <c r="BF94" s="100"/>
      <c r="BG94" s="100"/>
      <c r="BH94" s="100"/>
      <c r="BI94" s="100"/>
      <c r="BJ94" s="100"/>
      <c r="BK94" s="100"/>
      <c r="BL94" s="100"/>
      <c r="BM94" s="100"/>
      <c r="BN94" s="100"/>
      <c r="BO94" s="100"/>
      <c r="BP94" s="100"/>
      <c r="BQ94" s="100"/>
      <c r="BR94" s="100"/>
      <c r="BS94" s="100"/>
      <c r="BT94" s="100"/>
      <c r="BU94" s="100"/>
      <c r="BV94" s="100"/>
      <c r="BW94" s="100"/>
      <c r="BX94" s="100"/>
      <c r="BY94" s="100"/>
      <c r="BZ94" s="100"/>
      <c r="CA94" s="100"/>
      <c r="CB94" s="100"/>
      <c r="CC94" s="100"/>
      <c r="CD94" s="100"/>
      <c r="CE94" s="100"/>
      <c r="CF94" s="101"/>
    </row>
    <row r="95" spans="1:84" s="83" customFormat="1" ht="26" customHeight="1" x14ac:dyDescent="0.25">
      <c r="A95" s="526" t="s">
        <v>143</v>
      </c>
      <c r="B95" s="526" t="s">
        <v>89</v>
      </c>
      <c r="C95" s="541">
        <v>800</v>
      </c>
      <c r="D95" s="526" t="s">
        <v>106</v>
      </c>
      <c r="E95" s="526" t="s">
        <v>1217</v>
      </c>
      <c r="F95" s="526" t="s">
        <v>180</v>
      </c>
      <c r="G95" s="172">
        <v>45978</v>
      </c>
      <c r="H95" s="173" t="s">
        <v>139</v>
      </c>
      <c r="I95" s="84" t="s">
        <v>140</v>
      </c>
      <c r="J95" s="84" t="s">
        <v>141</v>
      </c>
      <c r="K95" s="84" t="s">
        <v>147</v>
      </c>
      <c r="L95" s="84" t="str">
        <f t="shared" si="58"/>
        <v>Y-STRAINER VALVE 1/2" 800# SW, REGULAR, A182</v>
      </c>
      <c r="M95" s="174">
        <v>2</v>
      </c>
      <c r="N95" s="174"/>
      <c r="O95" s="174"/>
      <c r="P95" s="174"/>
      <c r="Q95" s="174"/>
      <c r="R95" s="172">
        <v>46066</v>
      </c>
      <c r="S95" s="172"/>
      <c r="T95" s="172"/>
      <c r="U95" s="172"/>
      <c r="V95" s="172"/>
      <c r="W95" s="172"/>
      <c r="X95" s="172"/>
      <c r="Y95" s="172"/>
      <c r="Z95" s="172"/>
      <c r="AA95" s="86"/>
      <c r="AB95" s="86"/>
      <c r="AC95" s="86"/>
      <c r="AD95" s="86"/>
      <c r="AE95" s="99"/>
      <c r="AF95" s="100"/>
      <c r="AG95" s="100"/>
      <c r="AH95" s="100"/>
      <c r="AI95" s="100"/>
      <c r="AJ95" s="100"/>
      <c r="AK95" s="100"/>
      <c r="AL95" s="100"/>
      <c r="AM95" s="100"/>
      <c r="AN95" s="100"/>
      <c r="AO95" s="100"/>
      <c r="AP95" s="100"/>
      <c r="AQ95" s="100"/>
      <c r="AR95" s="100"/>
      <c r="AS95" s="100"/>
      <c r="AT95" s="100"/>
      <c r="AU95" s="100"/>
      <c r="AV95" s="100"/>
      <c r="AW95" s="100"/>
      <c r="AX95" s="100"/>
      <c r="AY95" s="100"/>
      <c r="AZ95" s="100"/>
      <c r="BA95" s="100"/>
      <c r="BB95" s="100"/>
      <c r="BC95" s="100"/>
      <c r="BD95" s="100"/>
      <c r="BE95" s="100"/>
      <c r="BF95" s="100"/>
      <c r="BG95" s="100"/>
      <c r="BH95" s="100"/>
      <c r="BI95" s="100"/>
      <c r="BJ95" s="100"/>
      <c r="BK95" s="100"/>
      <c r="BL95" s="100"/>
      <c r="BM95" s="100"/>
      <c r="BN95" s="100"/>
      <c r="BO95" s="100"/>
      <c r="BP95" s="100"/>
      <c r="BQ95" s="100"/>
      <c r="BR95" s="100"/>
      <c r="BS95" s="100"/>
      <c r="BT95" s="100"/>
      <c r="BU95" s="100"/>
      <c r="BV95" s="100"/>
      <c r="BW95" s="100"/>
      <c r="BX95" s="100"/>
      <c r="BY95" s="100"/>
      <c r="BZ95" s="100"/>
      <c r="CA95" s="100"/>
      <c r="CB95" s="100"/>
      <c r="CC95" s="100"/>
      <c r="CD95" s="100"/>
      <c r="CE95" s="100"/>
      <c r="CF95" s="101"/>
    </row>
    <row r="96" spans="1:84" s="83" customFormat="1" ht="26" customHeight="1" x14ac:dyDescent="0.25">
      <c r="A96" s="526" t="s">
        <v>90</v>
      </c>
      <c r="B96" s="526" t="s">
        <v>117</v>
      </c>
      <c r="C96" s="541">
        <v>150</v>
      </c>
      <c r="D96" s="526" t="s">
        <v>81</v>
      </c>
      <c r="E96" s="526" t="s">
        <v>1218</v>
      </c>
      <c r="F96" s="526" t="s">
        <v>180</v>
      </c>
      <c r="G96" s="172">
        <v>45978</v>
      </c>
      <c r="H96" s="173" t="s">
        <v>139</v>
      </c>
      <c r="I96" s="84" t="s">
        <v>140</v>
      </c>
      <c r="J96" s="84" t="s">
        <v>141</v>
      </c>
      <c r="K96" s="84" t="s">
        <v>144</v>
      </c>
      <c r="L96" s="84" t="str">
        <f t="shared" si="58"/>
        <v>GATE VALVE 1" 150# RF, BB-OS&amp;Y, A182</v>
      </c>
      <c r="M96" s="174">
        <v>2</v>
      </c>
      <c r="N96" s="174"/>
      <c r="O96" s="174"/>
      <c r="P96" s="174"/>
      <c r="Q96" s="174"/>
      <c r="R96" s="172">
        <v>46066</v>
      </c>
      <c r="S96" s="172"/>
      <c r="T96" s="172"/>
      <c r="U96" s="172"/>
      <c r="V96" s="172"/>
      <c r="W96" s="172"/>
      <c r="X96" s="172"/>
      <c r="Y96" s="172"/>
      <c r="Z96" s="172"/>
      <c r="AA96" s="86"/>
      <c r="AB96" s="86"/>
      <c r="AC96" s="86"/>
      <c r="AD96" s="86"/>
      <c r="AE96" s="99"/>
      <c r="AF96" s="100"/>
      <c r="AG96" s="100"/>
      <c r="AH96" s="100"/>
      <c r="AI96" s="100"/>
      <c r="AJ96" s="100"/>
      <c r="AK96" s="100"/>
      <c r="AL96" s="100"/>
      <c r="AM96" s="100"/>
      <c r="AN96" s="100"/>
      <c r="AO96" s="100"/>
      <c r="AP96" s="100"/>
      <c r="AQ96" s="100"/>
      <c r="AR96" s="100"/>
      <c r="AS96" s="100"/>
      <c r="AT96" s="100"/>
      <c r="AU96" s="100"/>
      <c r="AV96" s="100"/>
      <c r="AW96" s="100"/>
      <c r="AX96" s="100"/>
      <c r="AY96" s="100"/>
      <c r="AZ96" s="100"/>
      <c r="BA96" s="100"/>
      <c r="BB96" s="100"/>
      <c r="BC96" s="100"/>
      <c r="BD96" s="100"/>
      <c r="BE96" s="100"/>
      <c r="BF96" s="100"/>
      <c r="BG96" s="100"/>
      <c r="BH96" s="100"/>
      <c r="BI96" s="100"/>
      <c r="BJ96" s="100"/>
      <c r="BK96" s="100"/>
      <c r="BL96" s="100"/>
      <c r="BM96" s="100"/>
      <c r="BN96" s="100"/>
      <c r="BO96" s="100"/>
      <c r="BP96" s="100"/>
      <c r="BQ96" s="100"/>
      <c r="BR96" s="100"/>
      <c r="BS96" s="100"/>
      <c r="BT96" s="100"/>
      <c r="BU96" s="100"/>
      <c r="BV96" s="100"/>
      <c r="BW96" s="100"/>
      <c r="BX96" s="100"/>
      <c r="BY96" s="100"/>
      <c r="BZ96" s="100"/>
      <c r="CA96" s="100"/>
      <c r="CB96" s="100"/>
      <c r="CC96" s="100"/>
      <c r="CD96" s="100"/>
      <c r="CE96" s="100"/>
      <c r="CF96" s="101"/>
    </row>
    <row r="97" spans="1:84" s="83" customFormat="1" ht="26" customHeight="1" x14ac:dyDescent="0.25">
      <c r="A97" s="526" t="s">
        <v>90</v>
      </c>
      <c r="B97" s="526" t="s">
        <v>117</v>
      </c>
      <c r="C97" s="541">
        <v>800</v>
      </c>
      <c r="D97" s="526" t="s">
        <v>106</v>
      </c>
      <c r="E97" s="526" t="s">
        <v>1218</v>
      </c>
      <c r="F97" s="526" t="s">
        <v>180</v>
      </c>
      <c r="G97" s="172">
        <v>45978</v>
      </c>
      <c r="H97" s="173" t="s">
        <v>139</v>
      </c>
      <c r="I97" s="84" t="s">
        <v>140</v>
      </c>
      <c r="J97" s="84" t="s">
        <v>141</v>
      </c>
      <c r="K97" s="84" t="s">
        <v>145</v>
      </c>
      <c r="L97" s="84" t="str">
        <f t="shared" si="58"/>
        <v>GATE VALVE 1" 800# SW, BB-OS&amp;Y, A182</v>
      </c>
      <c r="M97" s="174">
        <v>4</v>
      </c>
      <c r="N97" s="174"/>
      <c r="O97" s="174"/>
      <c r="P97" s="174"/>
      <c r="Q97" s="174"/>
      <c r="R97" s="172">
        <v>46066</v>
      </c>
      <c r="S97" s="172"/>
      <c r="T97" s="172"/>
      <c r="U97" s="172"/>
      <c r="V97" s="172"/>
      <c r="W97" s="172"/>
      <c r="X97" s="172"/>
      <c r="Y97" s="172"/>
      <c r="Z97" s="172"/>
      <c r="AA97" s="86"/>
      <c r="AB97" s="86"/>
      <c r="AC97" s="86"/>
      <c r="AD97" s="86"/>
      <c r="AE97" s="99"/>
      <c r="AF97" s="100"/>
      <c r="AG97" s="100"/>
      <c r="AH97" s="100"/>
      <c r="AI97" s="100"/>
      <c r="AJ97" s="100"/>
      <c r="AK97" s="100"/>
      <c r="AL97" s="100"/>
      <c r="AM97" s="100"/>
      <c r="AN97" s="100"/>
      <c r="AO97" s="100"/>
      <c r="AP97" s="100"/>
      <c r="AQ97" s="100"/>
      <c r="AR97" s="100"/>
      <c r="AS97" s="100"/>
      <c r="AT97" s="100"/>
      <c r="AU97" s="100"/>
      <c r="AV97" s="100"/>
      <c r="AW97" s="100"/>
      <c r="AX97" s="100"/>
      <c r="AY97" s="100"/>
      <c r="AZ97" s="100"/>
      <c r="BA97" s="100"/>
      <c r="BB97" s="100"/>
      <c r="BC97" s="100"/>
      <c r="BD97" s="100"/>
      <c r="BE97" s="100"/>
      <c r="BF97" s="100"/>
      <c r="BG97" s="100"/>
      <c r="BH97" s="100"/>
      <c r="BI97" s="100"/>
      <c r="BJ97" s="100"/>
      <c r="BK97" s="100"/>
      <c r="BL97" s="100"/>
      <c r="BM97" s="100"/>
      <c r="BN97" s="100"/>
      <c r="BO97" s="100"/>
      <c r="BP97" s="100"/>
      <c r="BQ97" s="100"/>
      <c r="BR97" s="100"/>
      <c r="BS97" s="100"/>
      <c r="BT97" s="100"/>
      <c r="BU97" s="100"/>
      <c r="BV97" s="100"/>
      <c r="BW97" s="100"/>
      <c r="BX97" s="100"/>
      <c r="BY97" s="100"/>
      <c r="BZ97" s="100"/>
      <c r="CA97" s="100"/>
      <c r="CB97" s="100"/>
      <c r="CC97" s="100"/>
      <c r="CD97" s="100"/>
      <c r="CE97" s="100"/>
      <c r="CF97" s="101"/>
    </row>
    <row r="98" spans="1:84" s="83" customFormat="1" ht="26" customHeight="1" x14ac:dyDescent="0.25">
      <c r="A98" s="526" t="s">
        <v>90</v>
      </c>
      <c r="B98" s="526" t="s">
        <v>89</v>
      </c>
      <c r="C98" s="541">
        <v>800</v>
      </c>
      <c r="D98" s="526" t="s">
        <v>106</v>
      </c>
      <c r="E98" s="526" t="s">
        <v>1218</v>
      </c>
      <c r="F98" s="526" t="s">
        <v>180</v>
      </c>
      <c r="G98" s="172">
        <v>45978</v>
      </c>
      <c r="H98" s="173" t="s">
        <v>139</v>
      </c>
      <c r="I98" s="84" t="s">
        <v>140</v>
      </c>
      <c r="J98" s="84" t="s">
        <v>141</v>
      </c>
      <c r="K98" s="84" t="s">
        <v>145</v>
      </c>
      <c r="L98" s="84" t="str">
        <f t="shared" si="58"/>
        <v>GATE VALVE 1/2" 800# SW, BB-OS&amp;Y, A182</v>
      </c>
      <c r="M98" s="174">
        <v>9</v>
      </c>
      <c r="N98" s="174"/>
      <c r="O98" s="174"/>
      <c r="P98" s="174"/>
      <c r="Q98" s="174"/>
      <c r="R98" s="172">
        <v>46066</v>
      </c>
      <c r="S98" s="172"/>
      <c r="T98" s="172"/>
      <c r="U98" s="172"/>
      <c r="V98" s="172"/>
      <c r="W98" s="172"/>
      <c r="X98" s="172"/>
      <c r="Y98" s="172"/>
      <c r="Z98" s="172"/>
      <c r="AA98" s="86"/>
      <c r="AB98" s="86"/>
      <c r="AC98" s="86"/>
      <c r="AD98" s="86"/>
      <c r="AE98" s="99"/>
      <c r="AF98" s="100"/>
      <c r="AG98" s="100"/>
      <c r="AH98" s="100"/>
      <c r="AI98" s="100"/>
      <c r="AJ98" s="100"/>
      <c r="AK98" s="100"/>
      <c r="AL98" s="100"/>
      <c r="AM98" s="100"/>
      <c r="AN98" s="100"/>
      <c r="AO98" s="100"/>
      <c r="AP98" s="100"/>
      <c r="AQ98" s="100"/>
      <c r="AR98" s="100"/>
      <c r="AS98" s="100"/>
      <c r="AT98" s="100"/>
      <c r="AU98" s="100"/>
      <c r="AV98" s="100"/>
      <c r="AW98" s="100"/>
      <c r="AX98" s="100"/>
      <c r="AY98" s="100"/>
      <c r="AZ98" s="100"/>
      <c r="BA98" s="100"/>
      <c r="BB98" s="100"/>
      <c r="BC98" s="100"/>
      <c r="BD98" s="100"/>
      <c r="BE98" s="100"/>
      <c r="BF98" s="100"/>
      <c r="BG98" s="100"/>
      <c r="BH98" s="100"/>
      <c r="BI98" s="100"/>
      <c r="BJ98" s="100"/>
      <c r="BK98" s="100"/>
      <c r="BL98" s="100"/>
      <c r="BM98" s="100"/>
      <c r="BN98" s="100"/>
      <c r="BO98" s="100"/>
      <c r="BP98" s="100"/>
      <c r="BQ98" s="100"/>
      <c r="BR98" s="100"/>
      <c r="BS98" s="100"/>
      <c r="BT98" s="100"/>
      <c r="BU98" s="100"/>
      <c r="BV98" s="100"/>
      <c r="BW98" s="100"/>
      <c r="BX98" s="100"/>
      <c r="BY98" s="100"/>
      <c r="BZ98" s="100"/>
      <c r="CA98" s="100"/>
      <c r="CB98" s="100"/>
      <c r="CC98" s="100"/>
      <c r="CD98" s="100"/>
      <c r="CE98" s="100"/>
      <c r="CF98" s="101"/>
    </row>
    <row r="99" spans="1:84" s="83" customFormat="1" ht="26" customHeight="1" x14ac:dyDescent="0.25">
      <c r="A99" s="526" t="s">
        <v>94</v>
      </c>
      <c r="B99" s="526" t="s">
        <v>89</v>
      </c>
      <c r="C99" s="541">
        <v>800</v>
      </c>
      <c r="D99" s="526" t="s">
        <v>106</v>
      </c>
      <c r="E99" s="526" t="s">
        <v>97</v>
      </c>
      <c r="F99" s="526" t="s">
        <v>180</v>
      </c>
      <c r="G99" s="172">
        <v>45978</v>
      </c>
      <c r="H99" s="173" t="s">
        <v>139</v>
      </c>
      <c r="I99" s="84" t="s">
        <v>140</v>
      </c>
      <c r="J99" s="84" t="s">
        <v>141</v>
      </c>
      <c r="K99" s="84" t="s">
        <v>146</v>
      </c>
      <c r="L99" s="84" t="str">
        <f t="shared" si="58"/>
        <v>CHECK VALVE 1/2" 800# SW, BOLTED CAP, A182</v>
      </c>
      <c r="M99" s="174">
        <v>2</v>
      </c>
      <c r="N99" s="174"/>
      <c r="O99" s="174"/>
      <c r="P99" s="174"/>
      <c r="Q99" s="174"/>
      <c r="R99" s="172">
        <v>46066</v>
      </c>
      <c r="S99" s="172"/>
      <c r="T99" s="172"/>
      <c r="U99" s="172"/>
      <c r="V99" s="172"/>
      <c r="W99" s="172"/>
      <c r="X99" s="172"/>
      <c r="Y99" s="172"/>
      <c r="Z99" s="172"/>
      <c r="AA99" s="86"/>
      <c r="AB99" s="86"/>
      <c r="AC99" s="86"/>
      <c r="AD99" s="86"/>
      <c r="AE99" s="99"/>
      <c r="AF99" s="100"/>
      <c r="AG99" s="100"/>
      <c r="AH99" s="100"/>
      <c r="AI99" s="100"/>
      <c r="AJ99" s="100"/>
      <c r="AK99" s="100"/>
      <c r="AL99" s="100"/>
      <c r="AM99" s="100"/>
      <c r="AN99" s="100"/>
      <c r="AO99" s="100"/>
      <c r="AP99" s="100"/>
      <c r="AQ99" s="100"/>
      <c r="AR99" s="100"/>
      <c r="AS99" s="100"/>
      <c r="AT99" s="100"/>
      <c r="AU99" s="100"/>
      <c r="AV99" s="100"/>
      <c r="AW99" s="100"/>
      <c r="AX99" s="100"/>
      <c r="AY99" s="100"/>
      <c r="AZ99" s="100"/>
      <c r="BA99" s="100"/>
      <c r="BB99" s="100"/>
      <c r="BC99" s="100"/>
      <c r="BD99" s="100"/>
      <c r="BE99" s="100"/>
      <c r="BF99" s="100"/>
      <c r="BG99" s="100"/>
      <c r="BH99" s="100"/>
      <c r="BI99" s="100"/>
      <c r="BJ99" s="100"/>
      <c r="BK99" s="100"/>
      <c r="BL99" s="100"/>
      <c r="BM99" s="100"/>
      <c r="BN99" s="100"/>
      <c r="BO99" s="100"/>
      <c r="BP99" s="100"/>
      <c r="BQ99" s="100"/>
      <c r="BR99" s="100"/>
      <c r="BS99" s="100"/>
      <c r="BT99" s="100"/>
      <c r="BU99" s="100"/>
      <c r="BV99" s="100"/>
      <c r="BW99" s="100"/>
      <c r="BX99" s="100"/>
      <c r="BY99" s="100"/>
      <c r="BZ99" s="100"/>
      <c r="CA99" s="100"/>
      <c r="CB99" s="100"/>
      <c r="CC99" s="100"/>
      <c r="CD99" s="100"/>
      <c r="CE99" s="100"/>
      <c r="CF99" s="101"/>
    </row>
    <row r="100" spans="1:84" s="83" customFormat="1" ht="26" customHeight="1" x14ac:dyDescent="0.25">
      <c r="A100" s="526" t="s">
        <v>143</v>
      </c>
      <c r="B100" s="526" t="s">
        <v>89</v>
      </c>
      <c r="C100" s="541">
        <v>800</v>
      </c>
      <c r="D100" s="526" t="s">
        <v>106</v>
      </c>
      <c r="E100" s="526" t="s">
        <v>1217</v>
      </c>
      <c r="F100" s="526" t="s">
        <v>180</v>
      </c>
      <c r="G100" s="172">
        <v>45978</v>
      </c>
      <c r="H100" s="173" t="s">
        <v>139</v>
      </c>
      <c r="I100" s="84" t="s">
        <v>140</v>
      </c>
      <c r="J100" s="84" t="s">
        <v>141</v>
      </c>
      <c r="K100" s="84" t="s">
        <v>147</v>
      </c>
      <c r="L100" s="84" t="str">
        <f t="shared" si="58"/>
        <v>Y-STRAINER VALVE 1/2" 800# SW, REGULAR, A182</v>
      </c>
      <c r="M100" s="174">
        <v>2</v>
      </c>
      <c r="N100" s="174"/>
      <c r="O100" s="174"/>
      <c r="P100" s="174"/>
      <c r="Q100" s="174"/>
      <c r="R100" s="172">
        <v>46066</v>
      </c>
      <c r="S100" s="172"/>
      <c r="T100" s="172"/>
      <c r="U100" s="172"/>
      <c r="V100" s="172"/>
      <c r="W100" s="172"/>
      <c r="X100" s="172"/>
      <c r="Y100" s="172"/>
      <c r="Z100" s="172"/>
      <c r="AA100" s="86"/>
      <c r="AB100" s="86"/>
      <c r="AC100" s="86"/>
      <c r="AD100" s="86"/>
      <c r="AE100" s="99"/>
      <c r="AF100" s="100"/>
      <c r="AG100" s="100"/>
      <c r="AH100" s="100"/>
      <c r="AI100" s="100"/>
      <c r="AJ100" s="100"/>
      <c r="AK100" s="100"/>
      <c r="AL100" s="100"/>
      <c r="AM100" s="100"/>
      <c r="AN100" s="100"/>
      <c r="AO100" s="100"/>
      <c r="AP100" s="100"/>
      <c r="AQ100" s="100"/>
      <c r="AR100" s="100"/>
      <c r="AS100" s="100"/>
      <c r="AT100" s="100"/>
      <c r="AU100" s="100"/>
      <c r="AV100" s="100"/>
      <c r="AW100" s="100"/>
      <c r="AX100" s="100"/>
      <c r="AY100" s="100"/>
      <c r="AZ100" s="100"/>
      <c r="BA100" s="100"/>
      <c r="BB100" s="100"/>
      <c r="BC100" s="100"/>
      <c r="BD100" s="100"/>
      <c r="BE100" s="100"/>
      <c r="BF100" s="100"/>
      <c r="BG100" s="100"/>
      <c r="BH100" s="100"/>
      <c r="BI100" s="100"/>
      <c r="BJ100" s="100"/>
      <c r="BK100" s="100"/>
      <c r="BL100" s="100"/>
      <c r="BM100" s="100"/>
      <c r="BN100" s="100"/>
      <c r="BO100" s="100"/>
      <c r="BP100" s="100"/>
      <c r="BQ100" s="100"/>
      <c r="BR100" s="100"/>
      <c r="BS100" s="100"/>
      <c r="BT100" s="100"/>
      <c r="BU100" s="100"/>
      <c r="BV100" s="100"/>
      <c r="BW100" s="100"/>
      <c r="BX100" s="100"/>
      <c r="BY100" s="100"/>
      <c r="BZ100" s="100"/>
      <c r="CA100" s="100"/>
      <c r="CB100" s="100"/>
      <c r="CC100" s="100"/>
      <c r="CD100" s="100"/>
      <c r="CE100" s="100"/>
      <c r="CF100" s="101"/>
    </row>
    <row r="101" spans="1:84" s="83" customFormat="1" ht="26" customHeight="1" x14ac:dyDescent="0.25">
      <c r="A101" s="526" t="s">
        <v>90</v>
      </c>
      <c r="B101" s="526" t="s">
        <v>117</v>
      </c>
      <c r="C101" s="541">
        <v>150</v>
      </c>
      <c r="D101" s="526" t="s">
        <v>81</v>
      </c>
      <c r="E101" s="526" t="s">
        <v>1218</v>
      </c>
      <c r="F101" s="526" t="s">
        <v>180</v>
      </c>
      <c r="G101" s="172">
        <v>45978</v>
      </c>
      <c r="H101" s="173" t="s">
        <v>139</v>
      </c>
      <c r="I101" s="84" t="s">
        <v>140</v>
      </c>
      <c r="J101" s="84" t="s">
        <v>141</v>
      </c>
      <c r="K101" s="84" t="s">
        <v>148</v>
      </c>
      <c r="L101" s="84" t="str">
        <f t="shared" si="58"/>
        <v>GATE VALVE 1" 150# RF, BB-OS&amp;Y, A182</v>
      </c>
      <c r="M101" s="174">
        <v>2</v>
      </c>
      <c r="N101" s="174"/>
      <c r="O101" s="174"/>
      <c r="P101" s="174"/>
      <c r="Q101" s="174"/>
      <c r="R101" s="172">
        <v>46066</v>
      </c>
      <c r="S101" s="172"/>
      <c r="T101" s="172"/>
      <c r="U101" s="172"/>
      <c r="V101" s="172"/>
      <c r="W101" s="172"/>
      <c r="X101" s="172"/>
      <c r="Y101" s="172"/>
      <c r="Z101" s="172"/>
      <c r="AA101" s="86"/>
      <c r="AB101" s="86"/>
      <c r="AC101" s="86"/>
      <c r="AD101" s="86"/>
      <c r="AE101" s="99"/>
      <c r="AF101" s="100"/>
      <c r="AG101" s="100"/>
      <c r="AH101" s="100"/>
      <c r="AI101" s="100"/>
      <c r="AJ101" s="100"/>
      <c r="AK101" s="100"/>
      <c r="AL101" s="100"/>
      <c r="AM101" s="100"/>
      <c r="AN101" s="100"/>
      <c r="AO101" s="100"/>
      <c r="AP101" s="100"/>
      <c r="AQ101" s="100"/>
      <c r="AR101" s="100"/>
      <c r="AS101" s="100"/>
      <c r="AT101" s="100"/>
      <c r="AU101" s="100"/>
      <c r="AV101" s="100"/>
      <c r="AW101" s="100"/>
      <c r="AX101" s="100"/>
      <c r="AY101" s="100"/>
      <c r="AZ101" s="100"/>
      <c r="BA101" s="100"/>
      <c r="BB101" s="100"/>
      <c r="BC101" s="100"/>
      <c r="BD101" s="100"/>
      <c r="BE101" s="100"/>
      <c r="BF101" s="100"/>
      <c r="BG101" s="100"/>
      <c r="BH101" s="100"/>
      <c r="BI101" s="100"/>
      <c r="BJ101" s="100"/>
      <c r="BK101" s="100"/>
      <c r="BL101" s="100"/>
      <c r="BM101" s="100"/>
      <c r="BN101" s="100"/>
      <c r="BO101" s="100"/>
      <c r="BP101" s="100"/>
      <c r="BQ101" s="100"/>
      <c r="BR101" s="100"/>
      <c r="BS101" s="100"/>
      <c r="BT101" s="100"/>
      <c r="BU101" s="100"/>
      <c r="BV101" s="100"/>
      <c r="BW101" s="100"/>
      <c r="BX101" s="100"/>
      <c r="BY101" s="100"/>
      <c r="BZ101" s="100"/>
      <c r="CA101" s="100"/>
      <c r="CB101" s="100"/>
      <c r="CC101" s="100"/>
      <c r="CD101" s="100"/>
      <c r="CE101" s="100"/>
      <c r="CF101" s="101"/>
    </row>
    <row r="102" spans="1:84" s="83" customFormat="1" ht="26" customHeight="1" x14ac:dyDescent="0.25">
      <c r="A102" s="526" t="s">
        <v>90</v>
      </c>
      <c r="B102" s="526" t="s">
        <v>117</v>
      </c>
      <c r="C102" s="541">
        <v>800</v>
      </c>
      <c r="D102" s="526" t="s">
        <v>106</v>
      </c>
      <c r="E102" s="526" t="s">
        <v>1218</v>
      </c>
      <c r="F102" s="526" t="s">
        <v>142</v>
      </c>
      <c r="G102" s="172">
        <v>45978</v>
      </c>
      <c r="H102" s="173" t="s">
        <v>139</v>
      </c>
      <c r="I102" s="84" t="s">
        <v>140</v>
      </c>
      <c r="J102" s="84" t="s">
        <v>141</v>
      </c>
      <c r="K102" s="84" t="s">
        <v>124</v>
      </c>
      <c r="L102" s="84" t="str">
        <f t="shared" si="58"/>
        <v>GATE VALVE 1" 800# SW, BB-OS&amp;Y, A105N</v>
      </c>
      <c r="M102" s="174">
        <v>3</v>
      </c>
      <c r="N102" s="174"/>
      <c r="O102" s="174"/>
      <c r="P102" s="174"/>
      <c r="Q102" s="174"/>
      <c r="R102" s="172">
        <v>46066</v>
      </c>
      <c r="S102" s="172"/>
      <c r="T102" s="172"/>
      <c r="U102" s="172"/>
      <c r="V102" s="172"/>
      <c r="W102" s="172"/>
      <c r="X102" s="172"/>
      <c r="Y102" s="172"/>
      <c r="Z102" s="172"/>
      <c r="AA102" s="86"/>
      <c r="AB102" s="86"/>
      <c r="AC102" s="86"/>
      <c r="AD102" s="86"/>
      <c r="AE102" s="99"/>
      <c r="AF102" s="100"/>
      <c r="AG102" s="100"/>
      <c r="AH102" s="100"/>
      <c r="AI102" s="100"/>
      <c r="AJ102" s="100"/>
      <c r="AK102" s="100"/>
      <c r="AL102" s="100"/>
      <c r="AM102" s="100"/>
      <c r="AN102" s="100"/>
      <c r="AO102" s="100"/>
      <c r="AP102" s="100"/>
      <c r="AQ102" s="100"/>
      <c r="AR102" s="100"/>
      <c r="AS102" s="100"/>
      <c r="AT102" s="100"/>
      <c r="AU102" s="100"/>
      <c r="AV102" s="100"/>
      <c r="AW102" s="100"/>
      <c r="AX102" s="100"/>
      <c r="AY102" s="100"/>
      <c r="AZ102" s="100"/>
      <c r="BA102" s="100"/>
      <c r="BB102" s="100"/>
      <c r="BC102" s="100"/>
      <c r="BD102" s="100"/>
      <c r="BE102" s="100"/>
      <c r="BF102" s="100"/>
      <c r="BG102" s="100"/>
      <c r="BH102" s="100"/>
      <c r="BI102" s="100"/>
      <c r="BJ102" s="100"/>
      <c r="BK102" s="100"/>
      <c r="BL102" s="100"/>
      <c r="BM102" s="100"/>
      <c r="BN102" s="100"/>
      <c r="BO102" s="100"/>
      <c r="BP102" s="100"/>
      <c r="BQ102" s="100"/>
      <c r="BR102" s="100"/>
      <c r="BS102" s="100"/>
      <c r="BT102" s="100"/>
      <c r="BU102" s="100"/>
      <c r="BV102" s="100"/>
      <c r="BW102" s="100"/>
      <c r="BX102" s="100"/>
      <c r="BY102" s="100"/>
      <c r="BZ102" s="100"/>
      <c r="CA102" s="100"/>
      <c r="CB102" s="100"/>
      <c r="CC102" s="100"/>
      <c r="CD102" s="100"/>
      <c r="CE102" s="100"/>
      <c r="CF102" s="101"/>
    </row>
    <row r="103" spans="1:84" s="83" customFormat="1" ht="26" customHeight="1" x14ac:dyDescent="0.25">
      <c r="A103" s="526" t="s">
        <v>90</v>
      </c>
      <c r="B103" s="526" t="s">
        <v>89</v>
      </c>
      <c r="C103" s="541">
        <v>800</v>
      </c>
      <c r="D103" s="526" t="s">
        <v>106</v>
      </c>
      <c r="E103" s="526" t="s">
        <v>1218</v>
      </c>
      <c r="F103" s="526" t="s">
        <v>142</v>
      </c>
      <c r="G103" s="172">
        <v>45978</v>
      </c>
      <c r="H103" s="173" t="s">
        <v>139</v>
      </c>
      <c r="I103" s="84" t="s">
        <v>140</v>
      </c>
      <c r="J103" s="84" t="s">
        <v>141</v>
      </c>
      <c r="K103" s="84" t="s">
        <v>124</v>
      </c>
      <c r="L103" s="84" t="str">
        <f t="shared" si="58"/>
        <v>GATE VALVE 1/2" 800# SW, BB-OS&amp;Y, A105N</v>
      </c>
      <c r="M103" s="174">
        <v>13</v>
      </c>
      <c r="N103" s="174"/>
      <c r="O103" s="174"/>
      <c r="P103" s="174"/>
      <c r="Q103" s="174"/>
      <c r="R103" s="172">
        <v>46066</v>
      </c>
      <c r="S103" s="172"/>
      <c r="T103" s="172"/>
      <c r="U103" s="172"/>
      <c r="V103" s="172"/>
      <c r="W103" s="172"/>
      <c r="X103" s="172"/>
      <c r="Y103" s="172"/>
      <c r="Z103" s="172"/>
      <c r="AA103" s="86"/>
      <c r="AB103" s="86"/>
      <c r="AC103" s="86"/>
      <c r="AD103" s="86"/>
      <c r="AE103" s="99"/>
      <c r="AF103" s="100"/>
      <c r="AG103" s="100"/>
      <c r="AH103" s="100"/>
      <c r="AI103" s="100"/>
      <c r="AJ103" s="100"/>
      <c r="AK103" s="100"/>
      <c r="AL103" s="100"/>
      <c r="AM103" s="100"/>
      <c r="AN103" s="100"/>
      <c r="AO103" s="100"/>
      <c r="AP103" s="100"/>
      <c r="AQ103" s="100"/>
      <c r="AR103" s="100"/>
      <c r="AS103" s="100"/>
      <c r="AT103" s="100"/>
      <c r="AU103" s="100"/>
      <c r="AV103" s="100"/>
      <c r="AW103" s="100"/>
      <c r="AX103" s="100"/>
      <c r="AY103" s="100"/>
      <c r="AZ103" s="100"/>
      <c r="BA103" s="100"/>
      <c r="BB103" s="100"/>
      <c r="BC103" s="100"/>
      <c r="BD103" s="100"/>
      <c r="BE103" s="100"/>
      <c r="BF103" s="100"/>
      <c r="BG103" s="100"/>
      <c r="BH103" s="100"/>
      <c r="BI103" s="100"/>
      <c r="BJ103" s="100"/>
      <c r="BK103" s="100"/>
      <c r="BL103" s="100"/>
      <c r="BM103" s="100"/>
      <c r="BN103" s="100"/>
      <c r="BO103" s="100"/>
      <c r="BP103" s="100"/>
      <c r="BQ103" s="100"/>
      <c r="BR103" s="100"/>
      <c r="BS103" s="100"/>
      <c r="BT103" s="100"/>
      <c r="BU103" s="100"/>
      <c r="BV103" s="100"/>
      <c r="BW103" s="100"/>
      <c r="BX103" s="100"/>
      <c r="BY103" s="100"/>
      <c r="BZ103" s="100"/>
      <c r="CA103" s="100"/>
      <c r="CB103" s="100"/>
      <c r="CC103" s="100"/>
      <c r="CD103" s="100"/>
      <c r="CE103" s="100"/>
      <c r="CF103" s="101"/>
    </row>
    <row r="104" spans="1:84" s="83" customFormat="1" ht="26" customHeight="1" x14ac:dyDescent="0.25">
      <c r="A104" s="526" t="s">
        <v>94</v>
      </c>
      <c r="B104" s="526" t="s">
        <v>89</v>
      </c>
      <c r="C104" s="541">
        <v>800</v>
      </c>
      <c r="D104" s="526" t="s">
        <v>106</v>
      </c>
      <c r="E104" s="526" t="s">
        <v>97</v>
      </c>
      <c r="F104" s="526" t="s">
        <v>142</v>
      </c>
      <c r="G104" s="172">
        <v>45978</v>
      </c>
      <c r="H104" s="173" t="s">
        <v>139</v>
      </c>
      <c r="I104" s="84" t="s">
        <v>140</v>
      </c>
      <c r="J104" s="84" t="s">
        <v>141</v>
      </c>
      <c r="K104" s="84" t="s">
        <v>149</v>
      </c>
      <c r="L104" s="84" t="str">
        <f t="shared" si="58"/>
        <v>CHECK VALVE 1/2" 800# SW, BOLTED CAP, A105N</v>
      </c>
      <c r="M104" s="174">
        <v>3</v>
      </c>
      <c r="N104" s="174"/>
      <c r="O104" s="174"/>
      <c r="P104" s="174"/>
      <c r="Q104" s="174"/>
      <c r="R104" s="172">
        <v>46066</v>
      </c>
      <c r="S104" s="172"/>
      <c r="T104" s="172"/>
      <c r="U104" s="172"/>
      <c r="V104" s="172"/>
      <c r="W104" s="172"/>
      <c r="X104" s="172"/>
      <c r="Y104" s="172"/>
      <c r="Z104" s="172"/>
      <c r="AA104" s="86"/>
      <c r="AB104" s="86"/>
      <c r="AC104" s="86"/>
      <c r="AD104" s="86"/>
      <c r="AE104" s="99"/>
      <c r="AF104" s="100"/>
      <c r="AG104" s="100"/>
      <c r="AH104" s="100"/>
      <c r="AI104" s="100"/>
      <c r="AJ104" s="100"/>
      <c r="AK104" s="100"/>
      <c r="AL104" s="100"/>
      <c r="AM104" s="100"/>
      <c r="AN104" s="100"/>
      <c r="AO104" s="100"/>
      <c r="AP104" s="100"/>
      <c r="AQ104" s="100"/>
      <c r="AR104" s="100"/>
      <c r="AS104" s="100"/>
      <c r="AT104" s="100"/>
      <c r="AU104" s="100"/>
      <c r="AV104" s="100"/>
      <c r="AW104" s="100"/>
      <c r="AX104" s="100"/>
      <c r="AY104" s="100"/>
      <c r="AZ104" s="100"/>
      <c r="BA104" s="100"/>
      <c r="BB104" s="100"/>
      <c r="BC104" s="100"/>
      <c r="BD104" s="100"/>
      <c r="BE104" s="100"/>
      <c r="BF104" s="100"/>
      <c r="BG104" s="100"/>
      <c r="BH104" s="100"/>
      <c r="BI104" s="100"/>
      <c r="BJ104" s="100"/>
      <c r="BK104" s="100"/>
      <c r="BL104" s="100"/>
      <c r="BM104" s="100"/>
      <c r="BN104" s="100"/>
      <c r="BO104" s="100"/>
      <c r="BP104" s="100"/>
      <c r="BQ104" s="100"/>
      <c r="BR104" s="100"/>
      <c r="BS104" s="100"/>
      <c r="BT104" s="100"/>
      <c r="BU104" s="100"/>
      <c r="BV104" s="100"/>
      <c r="BW104" s="100"/>
      <c r="BX104" s="100"/>
      <c r="BY104" s="100"/>
      <c r="BZ104" s="100"/>
      <c r="CA104" s="100"/>
      <c r="CB104" s="100"/>
      <c r="CC104" s="100"/>
      <c r="CD104" s="100"/>
      <c r="CE104" s="100"/>
      <c r="CF104" s="101"/>
    </row>
    <row r="105" spans="1:84" s="83" customFormat="1" ht="26" customHeight="1" x14ac:dyDescent="0.25">
      <c r="A105" s="526" t="s">
        <v>143</v>
      </c>
      <c r="B105" s="526" t="s">
        <v>89</v>
      </c>
      <c r="C105" s="541">
        <v>800</v>
      </c>
      <c r="D105" s="526" t="s">
        <v>106</v>
      </c>
      <c r="E105" s="526" t="s">
        <v>1217</v>
      </c>
      <c r="F105" s="526" t="s">
        <v>142</v>
      </c>
      <c r="G105" s="172">
        <v>45978</v>
      </c>
      <c r="H105" s="173" t="s">
        <v>139</v>
      </c>
      <c r="I105" s="84" t="s">
        <v>140</v>
      </c>
      <c r="J105" s="84" t="s">
        <v>141</v>
      </c>
      <c r="K105" s="84" t="s">
        <v>147</v>
      </c>
      <c r="L105" s="84" t="str">
        <f t="shared" si="58"/>
        <v>Y-STRAINER VALVE 1/2" 800# SW, REGULAR, A105N</v>
      </c>
      <c r="M105" s="174">
        <v>3</v>
      </c>
      <c r="N105" s="174"/>
      <c r="O105" s="174"/>
      <c r="P105" s="174"/>
      <c r="Q105" s="174"/>
      <c r="R105" s="172">
        <v>46066</v>
      </c>
      <c r="S105" s="172"/>
      <c r="T105" s="172"/>
      <c r="U105" s="172"/>
      <c r="V105" s="172"/>
      <c r="W105" s="172"/>
      <c r="X105" s="172"/>
      <c r="Y105" s="172"/>
      <c r="Z105" s="172"/>
      <c r="AA105" s="86"/>
      <c r="AB105" s="86"/>
      <c r="AC105" s="86"/>
      <c r="AD105" s="86"/>
      <c r="AE105" s="99"/>
      <c r="AF105" s="100"/>
      <c r="AG105" s="100"/>
      <c r="AH105" s="100"/>
      <c r="AI105" s="100"/>
      <c r="AJ105" s="100"/>
      <c r="AK105" s="100"/>
      <c r="AL105" s="100"/>
      <c r="AM105" s="100"/>
      <c r="AN105" s="100"/>
      <c r="AO105" s="100"/>
      <c r="AP105" s="100"/>
      <c r="AQ105" s="100"/>
      <c r="AR105" s="100"/>
      <c r="AS105" s="100"/>
      <c r="AT105" s="100"/>
      <c r="AU105" s="100"/>
      <c r="AV105" s="100"/>
      <c r="AW105" s="100"/>
      <c r="AX105" s="100"/>
      <c r="AY105" s="100"/>
      <c r="AZ105" s="100"/>
      <c r="BA105" s="100"/>
      <c r="BB105" s="100"/>
      <c r="BC105" s="100"/>
      <c r="BD105" s="100"/>
      <c r="BE105" s="100"/>
      <c r="BF105" s="100"/>
      <c r="BG105" s="100"/>
      <c r="BH105" s="100"/>
      <c r="BI105" s="100"/>
      <c r="BJ105" s="100"/>
      <c r="BK105" s="100"/>
      <c r="BL105" s="100"/>
      <c r="BM105" s="100"/>
      <c r="BN105" s="100"/>
      <c r="BO105" s="100"/>
      <c r="BP105" s="100"/>
      <c r="BQ105" s="100"/>
      <c r="BR105" s="100"/>
      <c r="BS105" s="100"/>
      <c r="BT105" s="100"/>
      <c r="BU105" s="100"/>
      <c r="BV105" s="100"/>
      <c r="BW105" s="100"/>
      <c r="BX105" s="100"/>
      <c r="BY105" s="100"/>
      <c r="BZ105" s="100"/>
      <c r="CA105" s="100"/>
      <c r="CB105" s="100"/>
      <c r="CC105" s="100"/>
      <c r="CD105" s="100"/>
      <c r="CE105" s="100"/>
      <c r="CF105" s="101"/>
    </row>
    <row r="106" spans="1:84" s="83" customFormat="1" ht="26" customHeight="1" x14ac:dyDescent="0.25">
      <c r="A106" s="526" t="s">
        <v>1110</v>
      </c>
      <c r="B106" s="526" t="s">
        <v>86</v>
      </c>
      <c r="C106" s="541">
        <v>900</v>
      </c>
      <c r="D106" s="526" t="s">
        <v>213</v>
      </c>
      <c r="E106" s="526" t="s">
        <v>108</v>
      </c>
      <c r="F106" s="526" t="s">
        <v>142</v>
      </c>
      <c r="G106" s="172">
        <v>46043</v>
      </c>
      <c r="H106" s="173" t="s">
        <v>1113</v>
      </c>
      <c r="I106" s="84" t="s">
        <v>1112</v>
      </c>
      <c r="J106" s="84" t="s">
        <v>872</v>
      </c>
      <c r="K106" s="84" t="s">
        <v>869</v>
      </c>
      <c r="L106" s="84" t="str">
        <f t="shared" si="58"/>
        <v>BALL  VALVE 2" 900# RTJ, TRUNNION, A105N</v>
      </c>
      <c r="M106" s="174">
        <v>7</v>
      </c>
      <c r="N106" s="174"/>
      <c r="O106" s="174"/>
      <c r="P106" s="174"/>
      <c r="Q106" s="174"/>
      <c r="R106" s="172">
        <v>46143</v>
      </c>
      <c r="S106" s="172">
        <v>46175</v>
      </c>
      <c r="T106" s="172">
        <v>46176</v>
      </c>
      <c r="U106" s="172">
        <v>46183</v>
      </c>
      <c r="V106" s="172">
        <v>46183</v>
      </c>
      <c r="W106" s="172">
        <v>46189</v>
      </c>
      <c r="X106" s="172">
        <v>46188</v>
      </c>
      <c r="Y106" s="172">
        <v>46190</v>
      </c>
      <c r="Z106" s="172"/>
      <c r="AA106" s="86"/>
      <c r="AB106" s="86"/>
      <c r="AC106" s="86"/>
      <c r="AD106" s="86"/>
      <c r="AE106" s="99"/>
      <c r="AF106" s="100"/>
      <c r="AG106" s="100"/>
      <c r="AH106" s="100"/>
      <c r="AI106" s="100"/>
      <c r="AJ106" s="100"/>
      <c r="AK106" s="100"/>
      <c r="AL106" s="100"/>
      <c r="AM106" s="100"/>
      <c r="AN106" s="100"/>
      <c r="AO106" s="100"/>
      <c r="AP106" s="100"/>
      <c r="AQ106" s="100"/>
      <c r="AR106" s="100"/>
      <c r="AS106" s="100"/>
      <c r="AT106" s="100"/>
      <c r="AU106" s="100"/>
      <c r="AV106" s="100"/>
      <c r="AW106" s="100"/>
      <c r="AX106" s="100"/>
      <c r="AY106" s="100"/>
      <c r="AZ106" s="100"/>
      <c r="BA106" s="100"/>
      <c r="BB106" s="100"/>
      <c r="BC106" s="100"/>
      <c r="BD106" s="100"/>
      <c r="BE106" s="100"/>
      <c r="BF106" s="100"/>
      <c r="BG106" s="100"/>
      <c r="BH106" s="100"/>
      <c r="BI106" s="100"/>
      <c r="BJ106" s="100"/>
      <c r="BK106" s="100"/>
      <c r="BL106" s="100"/>
      <c r="BM106" s="100"/>
      <c r="BN106" s="100"/>
      <c r="BO106" s="100"/>
      <c r="BP106" s="100"/>
      <c r="BQ106" s="100"/>
      <c r="BR106" s="100"/>
      <c r="BS106" s="100"/>
      <c r="BT106" s="100"/>
      <c r="BU106" s="100"/>
      <c r="BV106" s="100"/>
      <c r="BW106" s="100"/>
      <c r="BX106" s="100"/>
      <c r="BY106" s="100"/>
      <c r="BZ106" s="100"/>
      <c r="CA106" s="100"/>
      <c r="CB106" s="100"/>
      <c r="CC106" s="100"/>
      <c r="CD106" s="100"/>
      <c r="CE106" s="100"/>
      <c r="CF106" s="101"/>
    </row>
    <row r="107" spans="1:84" s="83" customFormat="1" ht="26" customHeight="1" x14ac:dyDescent="0.25">
      <c r="A107" s="526" t="s">
        <v>1110</v>
      </c>
      <c r="B107" s="526" t="s">
        <v>84</v>
      </c>
      <c r="C107" s="541">
        <v>900</v>
      </c>
      <c r="D107" s="526" t="s">
        <v>213</v>
      </c>
      <c r="E107" s="526" t="s">
        <v>108</v>
      </c>
      <c r="F107" s="526" t="s">
        <v>142</v>
      </c>
      <c r="G107" s="172">
        <v>46043</v>
      </c>
      <c r="H107" s="173" t="s">
        <v>1113</v>
      </c>
      <c r="I107" s="84" t="s">
        <v>1112</v>
      </c>
      <c r="J107" s="84" t="s">
        <v>872</v>
      </c>
      <c r="K107" s="84" t="s">
        <v>1111</v>
      </c>
      <c r="L107" s="84" t="str">
        <f t="shared" si="58"/>
        <v>BALL  VALVE 4" 900# RTJ, TRUNNION, A105N</v>
      </c>
      <c r="M107" s="174">
        <v>5</v>
      </c>
      <c r="N107" s="174"/>
      <c r="O107" s="174"/>
      <c r="P107" s="174"/>
      <c r="Q107" s="174"/>
      <c r="R107" s="172">
        <v>46143</v>
      </c>
      <c r="S107" s="172">
        <v>46175</v>
      </c>
      <c r="T107" s="172">
        <v>46176</v>
      </c>
      <c r="U107" s="172">
        <v>46183</v>
      </c>
      <c r="V107" s="172">
        <v>46183</v>
      </c>
      <c r="W107" s="172">
        <v>46189</v>
      </c>
      <c r="X107" s="172">
        <v>46188</v>
      </c>
      <c r="Y107" s="172">
        <v>46190</v>
      </c>
      <c r="Z107" s="172"/>
      <c r="AA107" s="86"/>
      <c r="AB107" s="86"/>
      <c r="AC107" s="86"/>
      <c r="AD107" s="86"/>
      <c r="AE107" s="99"/>
      <c r="AF107" s="100"/>
      <c r="AG107" s="100"/>
      <c r="AH107" s="100"/>
      <c r="AI107" s="100"/>
      <c r="AJ107" s="100"/>
      <c r="AK107" s="100"/>
      <c r="AL107" s="100"/>
      <c r="AM107" s="100"/>
      <c r="AN107" s="100"/>
      <c r="AO107" s="100"/>
      <c r="AP107" s="100"/>
      <c r="AQ107" s="100"/>
      <c r="AR107" s="100"/>
      <c r="AS107" s="100"/>
      <c r="AT107" s="100"/>
      <c r="AU107" s="100"/>
      <c r="AV107" s="100"/>
      <c r="AW107" s="100"/>
      <c r="AX107" s="100"/>
      <c r="AY107" s="100"/>
      <c r="AZ107" s="100"/>
      <c r="BA107" s="100"/>
      <c r="BB107" s="100"/>
      <c r="BC107" s="100"/>
      <c r="BD107" s="100"/>
      <c r="BE107" s="100"/>
      <c r="BF107" s="100"/>
      <c r="BG107" s="100"/>
      <c r="BH107" s="100"/>
      <c r="BI107" s="100"/>
      <c r="BJ107" s="100"/>
      <c r="BK107" s="100"/>
      <c r="BL107" s="100"/>
      <c r="BM107" s="100"/>
      <c r="BN107" s="100"/>
      <c r="BO107" s="100"/>
      <c r="BP107" s="100"/>
      <c r="BQ107" s="100"/>
      <c r="BR107" s="100"/>
      <c r="BS107" s="100"/>
      <c r="BT107" s="100"/>
      <c r="BU107" s="100"/>
      <c r="BV107" s="100"/>
      <c r="BW107" s="100"/>
      <c r="BX107" s="100"/>
      <c r="BY107" s="100"/>
      <c r="BZ107" s="100"/>
      <c r="CA107" s="100"/>
      <c r="CB107" s="100"/>
      <c r="CC107" s="100"/>
      <c r="CD107" s="100"/>
      <c r="CE107" s="100"/>
      <c r="CF107" s="101"/>
    </row>
    <row r="108" spans="1:84" s="83" customFormat="1" ht="26" customHeight="1" x14ac:dyDescent="0.25">
      <c r="A108" s="526" t="s">
        <v>1110</v>
      </c>
      <c r="B108" s="526" t="s">
        <v>120</v>
      </c>
      <c r="C108" s="541">
        <v>900</v>
      </c>
      <c r="D108" s="526" t="s">
        <v>213</v>
      </c>
      <c r="E108" s="526" t="s">
        <v>108</v>
      </c>
      <c r="F108" s="526" t="s">
        <v>142</v>
      </c>
      <c r="G108" s="172">
        <v>46043</v>
      </c>
      <c r="H108" s="173" t="s">
        <v>1113</v>
      </c>
      <c r="I108" s="84" t="s">
        <v>1112</v>
      </c>
      <c r="J108" s="84" t="s">
        <v>872</v>
      </c>
      <c r="K108" s="84" t="s">
        <v>1111</v>
      </c>
      <c r="L108" s="84" t="str">
        <f t="shared" si="58"/>
        <v>BALL  VALVE 8" 900# RTJ, TRUNNION, A105N</v>
      </c>
      <c r="M108" s="174">
        <v>2</v>
      </c>
      <c r="N108" s="174"/>
      <c r="O108" s="174"/>
      <c r="P108" s="174"/>
      <c r="Q108" s="174"/>
      <c r="R108" s="172">
        <v>46143</v>
      </c>
      <c r="S108" s="172">
        <v>46175</v>
      </c>
      <c r="T108" s="172">
        <v>46176</v>
      </c>
      <c r="U108" s="172">
        <v>46183</v>
      </c>
      <c r="V108" s="172">
        <v>46183</v>
      </c>
      <c r="W108" s="172">
        <v>46189</v>
      </c>
      <c r="X108" s="172">
        <v>46188</v>
      </c>
      <c r="Y108" s="172">
        <v>46190</v>
      </c>
      <c r="Z108" s="172"/>
      <c r="AA108" s="86"/>
      <c r="AB108" s="86"/>
      <c r="AC108" s="86"/>
      <c r="AD108" s="86"/>
      <c r="AE108" s="99"/>
      <c r="AF108" s="100"/>
      <c r="AG108" s="100"/>
      <c r="AH108" s="100"/>
      <c r="AI108" s="100"/>
      <c r="AJ108" s="100"/>
      <c r="AK108" s="100"/>
      <c r="AL108" s="100"/>
      <c r="AM108" s="100"/>
      <c r="AN108" s="100"/>
      <c r="AO108" s="100"/>
      <c r="AP108" s="100"/>
      <c r="AQ108" s="100"/>
      <c r="AR108" s="100"/>
      <c r="AS108" s="100"/>
      <c r="AT108" s="100"/>
      <c r="AU108" s="100"/>
      <c r="AV108" s="100"/>
      <c r="AW108" s="100"/>
      <c r="AX108" s="100"/>
      <c r="AY108" s="100"/>
      <c r="AZ108" s="100"/>
      <c r="BA108" s="100"/>
      <c r="BB108" s="100"/>
      <c r="BC108" s="100"/>
      <c r="BD108" s="100"/>
      <c r="BE108" s="100"/>
      <c r="BF108" s="100"/>
      <c r="BG108" s="100"/>
      <c r="BH108" s="100"/>
      <c r="BI108" s="100"/>
      <c r="BJ108" s="100"/>
      <c r="BK108" s="100"/>
      <c r="BL108" s="100"/>
      <c r="BM108" s="100"/>
      <c r="BN108" s="100"/>
      <c r="BO108" s="100"/>
      <c r="BP108" s="100"/>
      <c r="BQ108" s="100"/>
      <c r="BR108" s="100"/>
      <c r="BS108" s="100"/>
      <c r="BT108" s="100"/>
      <c r="BU108" s="100"/>
      <c r="BV108" s="100"/>
      <c r="BW108" s="100"/>
      <c r="BX108" s="100"/>
      <c r="BY108" s="100"/>
      <c r="BZ108" s="100"/>
      <c r="CA108" s="100"/>
      <c r="CB108" s="100"/>
      <c r="CC108" s="100"/>
      <c r="CD108" s="100"/>
      <c r="CE108" s="100"/>
      <c r="CF108" s="101"/>
    </row>
    <row r="109" spans="1:84" s="83" customFormat="1" ht="26" customHeight="1" x14ac:dyDescent="0.25">
      <c r="A109" s="526" t="s">
        <v>1110</v>
      </c>
      <c r="B109" s="526" t="s">
        <v>119</v>
      </c>
      <c r="C109" s="541">
        <v>900</v>
      </c>
      <c r="D109" s="526" t="s">
        <v>213</v>
      </c>
      <c r="E109" s="526" t="s">
        <v>108</v>
      </c>
      <c r="F109" s="526" t="s">
        <v>142</v>
      </c>
      <c r="G109" s="172">
        <v>46043</v>
      </c>
      <c r="H109" s="173" t="s">
        <v>1113</v>
      </c>
      <c r="I109" s="84" t="s">
        <v>1112</v>
      </c>
      <c r="J109" s="84" t="s">
        <v>872</v>
      </c>
      <c r="K109" s="84" t="s">
        <v>1111</v>
      </c>
      <c r="L109" s="84" t="str">
        <f t="shared" si="58"/>
        <v>BALL  VALVE 12" 900# RTJ, TRUNNION, A105N</v>
      </c>
      <c r="M109" s="174">
        <v>12</v>
      </c>
      <c r="N109" s="174"/>
      <c r="O109" s="174"/>
      <c r="P109" s="174"/>
      <c r="Q109" s="174"/>
      <c r="R109" s="172">
        <v>46143</v>
      </c>
      <c r="S109" s="172">
        <v>46175</v>
      </c>
      <c r="T109" s="172">
        <v>46176</v>
      </c>
      <c r="U109" s="172">
        <v>46183</v>
      </c>
      <c r="V109" s="172">
        <v>46183</v>
      </c>
      <c r="W109" s="172">
        <v>46189</v>
      </c>
      <c r="X109" s="172">
        <v>46188</v>
      </c>
      <c r="Y109" s="172">
        <v>46190</v>
      </c>
      <c r="Z109" s="172"/>
      <c r="AA109" s="86"/>
      <c r="AB109" s="86"/>
      <c r="AC109" s="86"/>
      <c r="AD109" s="86"/>
      <c r="AE109" s="99"/>
      <c r="AF109" s="100"/>
      <c r="AG109" s="100"/>
      <c r="AH109" s="100"/>
      <c r="AI109" s="100"/>
      <c r="AJ109" s="100"/>
      <c r="AK109" s="100"/>
      <c r="AL109" s="100"/>
      <c r="AM109" s="100"/>
      <c r="AN109" s="100"/>
      <c r="AO109" s="100"/>
      <c r="AP109" s="100"/>
      <c r="AQ109" s="100"/>
      <c r="AR109" s="100"/>
      <c r="AS109" s="100"/>
      <c r="AT109" s="100"/>
      <c r="AU109" s="100"/>
      <c r="AV109" s="100"/>
      <c r="AW109" s="100"/>
      <c r="AX109" s="100"/>
      <c r="AY109" s="100"/>
      <c r="AZ109" s="100"/>
      <c r="BA109" s="100"/>
      <c r="BB109" s="100"/>
      <c r="BC109" s="100"/>
      <c r="BD109" s="100"/>
      <c r="BE109" s="100"/>
      <c r="BF109" s="100"/>
      <c r="BG109" s="100"/>
      <c r="BH109" s="100"/>
      <c r="BI109" s="100"/>
      <c r="BJ109" s="100"/>
      <c r="BK109" s="100"/>
      <c r="BL109" s="100"/>
      <c r="BM109" s="100"/>
      <c r="BN109" s="100"/>
      <c r="BO109" s="100"/>
      <c r="BP109" s="100"/>
      <c r="BQ109" s="100"/>
      <c r="BR109" s="100"/>
      <c r="BS109" s="100"/>
      <c r="BT109" s="100"/>
      <c r="BU109" s="100"/>
      <c r="BV109" s="100"/>
      <c r="BW109" s="100"/>
      <c r="BX109" s="100"/>
      <c r="BY109" s="100"/>
      <c r="BZ109" s="100"/>
      <c r="CA109" s="100"/>
      <c r="CB109" s="100"/>
      <c r="CC109" s="100"/>
      <c r="CD109" s="100"/>
      <c r="CE109" s="100"/>
      <c r="CF109" s="101"/>
    </row>
    <row r="110" spans="1:84" s="83" customFormat="1" ht="26" customHeight="1" x14ac:dyDescent="0.25">
      <c r="A110" s="526" t="s">
        <v>1110</v>
      </c>
      <c r="B110" s="526" t="s">
        <v>118</v>
      </c>
      <c r="C110" s="541">
        <v>900</v>
      </c>
      <c r="D110" s="526" t="s">
        <v>213</v>
      </c>
      <c r="E110" s="526" t="s">
        <v>108</v>
      </c>
      <c r="F110" s="526" t="s">
        <v>142</v>
      </c>
      <c r="G110" s="172">
        <v>46043</v>
      </c>
      <c r="H110" s="173" t="s">
        <v>1113</v>
      </c>
      <c r="I110" s="84" t="s">
        <v>1112</v>
      </c>
      <c r="J110" s="84" t="s">
        <v>872</v>
      </c>
      <c r="K110" s="84" t="s">
        <v>1111</v>
      </c>
      <c r="L110" s="84" t="str">
        <f t="shared" si="58"/>
        <v>BALL  VALVE 16" 900# RTJ, TRUNNION, A105N</v>
      </c>
      <c r="M110" s="174">
        <v>4</v>
      </c>
      <c r="N110" s="174"/>
      <c r="O110" s="174"/>
      <c r="P110" s="174"/>
      <c r="Q110" s="174"/>
      <c r="R110" s="172">
        <v>46143</v>
      </c>
      <c r="S110" s="172">
        <v>46175</v>
      </c>
      <c r="T110" s="172">
        <v>46176</v>
      </c>
      <c r="U110" s="172">
        <v>46178</v>
      </c>
      <c r="V110" s="172">
        <v>46181</v>
      </c>
      <c r="W110" s="172">
        <v>46182</v>
      </c>
      <c r="X110" s="172">
        <v>46183</v>
      </c>
      <c r="Y110" s="172">
        <v>46185</v>
      </c>
      <c r="Z110" s="172"/>
      <c r="AA110" s="86"/>
      <c r="AB110" s="86"/>
      <c r="AC110" s="86"/>
      <c r="AD110" s="86"/>
      <c r="AE110" s="99"/>
      <c r="AF110" s="100"/>
      <c r="AG110" s="100"/>
      <c r="AH110" s="100"/>
      <c r="AI110" s="100"/>
      <c r="AJ110" s="100"/>
      <c r="AK110" s="100"/>
      <c r="AL110" s="100"/>
      <c r="AM110" s="100"/>
      <c r="AN110" s="100"/>
      <c r="AO110" s="100"/>
      <c r="AP110" s="100"/>
      <c r="AQ110" s="100"/>
      <c r="AR110" s="100"/>
      <c r="AS110" s="100"/>
      <c r="AT110" s="100"/>
      <c r="AU110" s="100"/>
      <c r="AV110" s="100"/>
      <c r="AW110" s="100"/>
      <c r="AX110" s="100"/>
      <c r="AY110" s="100"/>
      <c r="AZ110" s="100"/>
      <c r="BA110" s="100"/>
      <c r="BB110" s="100"/>
      <c r="BC110" s="100"/>
      <c r="BD110" s="100"/>
      <c r="BE110" s="100"/>
      <c r="BF110" s="100"/>
      <c r="BG110" s="100"/>
      <c r="BH110" s="100"/>
      <c r="BI110" s="100"/>
      <c r="BJ110" s="100"/>
      <c r="BK110" s="100"/>
      <c r="BL110" s="100"/>
      <c r="BM110" s="100"/>
      <c r="BN110" s="100"/>
      <c r="BO110" s="100"/>
      <c r="BP110" s="100"/>
      <c r="BQ110" s="100"/>
      <c r="BR110" s="100"/>
      <c r="BS110" s="100"/>
      <c r="BT110" s="100"/>
      <c r="BU110" s="100"/>
      <c r="BV110" s="100"/>
      <c r="BW110" s="100"/>
      <c r="BX110" s="100"/>
      <c r="BY110" s="100"/>
      <c r="BZ110" s="100"/>
      <c r="CA110" s="100"/>
      <c r="CB110" s="100"/>
      <c r="CC110" s="100"/>
      <c r="CD110" s="100"/>
      <c r="CE110" s="100"/>
      <c r="CF110" s="101"/>
    </row>
    <row r="111" spans="1:84" s="83" customFormat="1" ht="26" customHeight="1" x14ac:dyDescent="0.25">
      <c r="A111" s="526" t="s">
        <v>868</v>
      </c>
      <c r="B111" s="526" t="s">
        <v>86</v>
      </c>
      <c r="C111" s="541">
        <v>900</v>
      </c>
      <c r="D111" s="526" t="s">
        <v>867</v>
      </c>
      <c r="E111" s="526" t="s">
        <v>1225</v>
      </c>
      <c r="F111" s="526" t="s">
        <v>142</v>
      </c>
      <c r="G111" s="172">
        <v>46043</v>
      </c>
      <c r="H111" s="173" t="s">
        <v>1113</v>
      </c>
      <c r="I111" s="84" t="s">
        <v>1112</v>
      </c>
      <c r="J111" s="84" t="s">
        <v>872</v>
      </c>
      <c r="K111" s="84" t="s">
        <v>870</v>
      </c>
      <c r="L111" s="84" t="str">
        <f t="shared" si="58"/>
        <v>DB-BALL VALVE 2" 900# RTJ X NPT, FLOATING , A105N</v>
      </c>
      <c r="M111" s="174">
        <v>2</v>
      </c>
      <c r="N111" s="174"/>
      <c r="O111" s="174"/>
      <c r="P111" s="174"/>
      <c r="Q111" s="174"/>
      <c r="R111" s="172">
        <v>46143</v>
      </c>
      <c r="S111" s="172">
        <v>46175</v>
      </c>
      <c r="T111" s="172">
        <v>46176</v>
      </c>
      <c r="U111" s="172">
        <v>46183</v>
      </c>
      <c r="V111" s="172">
        <v>46183</v>
      </c>
      <c r="W111" s="172">
        <v>46189</v>
      </c>
      <c r="X111" s="172">
        <v>46188</v>
      </c>
      <c r="Y111" s="172">
        <v>46190</v>
      </c>
      <c r="Z111" s="172"/>
      <c r="AA111" s="86"/>
      <c r="AB111" s="86"/>
      <c r="AC111" s="86"/>
      <c r="AD111" s="86"/>
      <c r="AE111" s="99"/>
      <c r="AF111" s="100"/>
      <c r="AG111" s="100"/>
      <c r="AH111" s="100"/>
      <c r="AI111" s="100"/>
      <c r="AJ111" s="100"/>
      <c r="AK111" s="100"/>
      <c r="AL111" s="100"/>
      <c r="AM111" s="100"/>
      <c r="AN111" s="100"/>
      <c r="AO111" s="100"/>
      <c r="AP111" s="100"/>
      <c r="AQ111" s="100"/>
      <c r="AR111" s="100"/>
      <c r="AS111" s="100"/>
      <c r="AT111" s="100"/>
      <c r="AU111" s="100"/>
      <c r="AV111" s="100"/>
      <c r="AW111" s="100"/>
      <c r="AX111" s="100"/>
      <c r="AY111" s="100"/>
      <c r="AZ111" s="100"/>
      <c r="BA111" s="100"/>
      <c r="BB111" s="100"/>
      <c r="BC111" s="100"/>
      <c r="BD111" s="100"/>
      <c r="BE111" s="100"/>
      <c r="BF111" s="100"/>
      <c r="BG111" s="100"/>
      <c r="BH111" s="100"/>
      <c r="BI111" s="100"/>
      <c r="BJ111" s="100"/>
      <c r="BK111" s="100"/>
      <c r="BL111" s="100"/>
      <c r="BM111" s="100"/>
      <c r="BN111" s="100"/>
      <c r="BO111" s="100"/>
      <c r="BP111" s="100"/>
      <c r="BQ111" s="100"/>
      <c r="BR111" s="100"/>
      <c r="BS111" s="100"/>
      <c r="BT111" s="100"/>
      <c r="BU111" s="100"/>
      <c r="BV111" s="100"/>
      <c r="BW111" s="100"/>
      <c r="BX111" s="100"/>
      <c r="BY111" s="100"/>
      <c r="BZ111" s="100"/>
      <c r="CA111" s="100"/>
      <c r="CB111" s="100"/>
      <c r="CC111" s="100"/>
      <c r="CD111" s="100"/>
      <c r="CE111" s="100"/>
      <c r="CF111" s="101"/>
    </row>
    <row r="112" spans="1:84" s="83" customFormat="1" ht="26" customHeight="1" x14ac:dyDescent="0.25">
      <c r="A112" s="526" t="s">
        <v>78</v>
      </c>
      <c r="B112" s="526" t="s">
        <v>85</v>
      </c>
      <c r="C112" s="541">
        <v>900</v>
      </c>
      <c r="D112" s="526" t="s">
        <v>213</v>
      </c>
      <c r="E112" s="526" t="s">
        <v>108</v>
      </c>
      <c r="F112" s="526" t="s">
        <v>142</v>
      </c>
      <c r="G112" s="172">
        <v>46043</v>
      </c>
      <c r="H112" s="173" t="s">
        <v>1113</v>
      </c>
      <c r="I112" s="84" t="s">
        <v>1112</v>
      </c>
      <c r="J112" s="84" t="s">
        <v>872</v>
      </c>
      <c r="K112" s="84" t="s">
        <v>869</v>
      </c>
      <c r="L112" s="84" t="str">
        <f t="shared" si="58"/>
        <v>BALL VALVE 3" 900# RTJ, TRUNNION, A105N</v>
      </c>
      <c r="M112" s="174">
        <v>1</v>
      </c>
      <c r="N112" s="174"/>
      <c r="O112" s="174"/>
      <c r="P112" s="174"/>
      <c r="Q112" s="174"/>
      <c r="R112" s="172">
        <v>46143</v>
      </c>
      <c r="S112" s="172">
        <v>46175</v>
      </c>
      <c r="T112" s="172">
        <v>46176</v>
      </c>
      <c r="U112" s="172">
        <v>46183</v>
      </c>
      <c r="V112" s="172">
        <v>46183</v>
      </c>
      <c r="W112" s="172">
        <v>46189</v>
      </c>
      <c r="X112" s="172">
        <v>46188</v>
      </c>
      <c r="Y112" s="172">
        <v>46190</v>
      </c>
      <c r="Z112" s="172"/>
      <c r="AA112" s="86"/>
      <c r="AB112" s="86"/>
      <c r="AC112" s="86"/>
      <c r="AD112" s="86"/>
      <c r="AE112" s="99"/>
      <c r="AF112" s="100"/>
      <c r="AG112" s="100"/>
      <c r="AH112" s="100"/>
      <c r="AI112" s="100"/>
      <c r="AJ112" s="100"/>
      <c r="AK112" s="100"/>
      <c r="AL112" s="100"/>
      <c r="AM112" s="100"/>
      <c r="AN112" s="100"/>
      <c r="AO112" s="100"/>
      <c r="AP112" s="100"/>
      <c r="AQ112" s="100"/>
      <c r="AR112" s="100"/>
      <c r="AS112" s="100"/>
      <c r="AT112" s="100"/>
      <c r="AU112" s="100"/>
      <c r="AV112" s="100"/>
      <c r="AW112" s="100"/>
      <c r="AX112" s="100"/>
      <c r="AY112" s="100"/>
      <c r="AZ112" s="100"/>
      <c r="BA112" s="100"/>
      <c r="BB112" s="100"/>
      <c r="BC112" s="100"/>
      <c r="BD112" s="100"/>
      <c r="BE112" s="100"/>
      <c r="BF112" s="100"/>
      <c r="BG112" s="100"/>
      <c r="BH112" s="100"/>
      <c r="BI112" s="100"/>
      <c r="BJ112" s="100"/>
      <c r="BK112" s="100"/>
      <c r="BL112" s="100"/>
      <c r="BM112" s="100"/>
      <c r="BN112" s="100"/>
      <c r="BO112" s="100"/>
      <c r="BP112" s="100"/>
      <c r="BQ112" s="100"/>
      <c r="BR112" s="100"/>
      <c r="BS112" s="100"/>
      <c r="BT112" s="100"/>
      <c r="BU112" s="100"/>
      <c r="BV112" s="100"/>
      <c r="BW112" s="100"/>
      <c r="BX112" s="100"/>
      <c r="BY112" s="100"/>
      <c r="BZ112" s="100"/>
      <c r="CA112" s="100"/>
      <c r="CB112" s="100"/>
      <c r="CC112" s="100"/>
      <c r="CD112" s="100"/>
      <c r="CE112" s="100"/>
      <c r="CF112" s="101"/>
    </row>
    <row r="113" spans="1:84" s="83" customFormat="1" ht="26" customHeight="1" x14ac:dyDescent="0.25">
      <c r="A113" s="526" t="s">
        <v>78</v>
      </c>
      <c r="B113" s="526" t="s">
        <v>82</v>
      </c>
      <c r="C113" s="541">
        <v>150</v>
      </c>
      <c r="D113" s="526" t="s">
        <v>81</v>
      </c>
      <c r="E113" s="526" t="s">
        <v>108</v>
      </c>
      <c r="F113" s="526" t="s">
        <v>142</v>
      </c>
      <c r="G113" s="172">
        <v>46062</v>
      </c>
      <c r="H113" s="173" t="s">
        <v>186</v>
      </c>
      <c r="I113" s="84" t="s">
        <v>187</v>
      </c>
      <c r="J113" s="84" t="s">
        <v>188</v>
      </c>
      <c r="K113" s="84" t="s">
        <v>183</v>
      </c>
      <c r="L113" s="84" t="str">
        <f t="shared" si="58"/>
        <v>BALL VALVE 6" 150# RF, TRUNNION, A105N</v>
      </c>
      <c r="M113" s="174">
        <v>1</v>
      </c>
      <c r="N113" s="174"/>
      <c r="O113" s="174"/>
      <c r="P113" s="174"/>
      <c r="Q113" s="174"/>
      <c r="R113" s="172">
        <v>46153</v>
      </c>
      <c r="S113" s="172">
        <v>46234</v>
      </c>
      <c r="T113" s="172"/>
      <c r="U113" s="172"/>
      <c r="V113" s="172"/>
      <c r="W113" s="172"/>
      <c r="X113" s="172"/>
      <c r="Y113" s="172"/>
      <c r="Z113" s="172"/>
      <c r="AA113" s="86"/>
      <c r="AB113" s="86"/>
      <c r="AC113" s="86"/>
      <c r="AD113" s="86"/>
      <c r="AE113" s="99"/>
      <c r="AF113" s="100"/>
      <c r="AG113" s="100"/>
      <c r="AH113" s="100"/>
      <c r="AI113" s="100"/>
      <c r="AJ113" s="100"/>
      <c r="AK113" s="100"/>
      <c r="AL113" s="100"/>
      <c r="AM113" s="100"/>
      <c r="AN113" s="100"/>
      <c r="AO113" s="100"/>
      <c r="AP113" s="100"/>
      <c r="AQ113" s="100"/>
      <c r="AR113" s="100"/>
      <c r="AS113" s="100"/>
      <c r="AT113" s="100"/>
      <c r="AU113" s="100"/>
      <c r="AV113" s="100"/>
      <c r="AW113" s="100"/>
      <c r="AX113" s="100"/>
      <c r="AY113" s="100"/>
      <c r="AZ113" s="100"/>
      <c r="BA113" s="100"/>
      <c r="BB113" s="100"/>
      <c r="BC113" s="100"/>
      <c r="BD113" s="100"/>
      <c r="BE113" s="100"/>
      <c r="BF113" s="100"/>
      <c r="BG113" s="100"/>
      <c r="BH113" s="100"/>
      <c r="BI113" s="100"/>
      <c r="BJ113" s="100"/>
      <c r="BK113" s="100"/>
      <c r="BL113" s="100"/>
      <c r="BM113" s="100"/>
      <c r="BN113" s="100"/>
      <c r="BO113" s="100"/>
      <c r="BP113" s="100"/>
      <c r="BQ113" s="100"/>
      <c r="BR113" s="100"/>
      <c r="BS113" s="100"/>
      <c r="BT113" s="100"/>
      <c r="BU113" s="100"/>
      <c r="BV113" s="100"/>
      <c r="BW113" s="100"/>
      <c r="BX113" s="100"/>
      <c r="BY113" s="100"/>
      <c r="BZ113" s="100"/>
      <c r="CA113" s="100"/>
      <c r="CB113" s="100"/>
      <c r="CC113" s="100"/>
      <c r="CD113" s="100"/>
      <c r="CE113" s="100"/>
      <c r="CF113" s="101"/>
    </row>
    <row r="114" spans="1:84" s="83" customFormat="1" ht="26" customHeight="1" x14ac:dyDescent="0.25">
      <c r="A114" s="526" t="s">
        <v>78</v>
      </c>
      <c r="B114" s="526" t="s">
        <v>118</v>
      </c>
      <c r="C114" s="541">
        <v>150</v>
      </c>
      <c r="D114" s="526" t="s">
        <v>81</v>
      </c>
      <c r="E114" s="526" t="s">
        <v>108</v>
      </c>
      <c r="F114" s="526" t="s">
        <v>107</v>
      </c>
      <c r="G114" s="172">
        <v>46062</v>
      </c>
      <c r="H114" s="173" t="s">
        <v>186</v>
      </c>
      <c r="I114" s="84" t="s">
        <v>187</v>
      </c>
      <c r="J114" s="84" t="s">
        <v>188</v>
      </c>
      <c r="K114" s="84" t="s">
        <v>184</v>
      </c>
      <c r="L114" s="84" t="str">
        <f t="shared" si="58"/>
        <v>BALL VALVE 16" 150# RF, TRUNNION, A216</v>
      </c>
      <c r="M114" s="174">
        <v>1</v>
      </c>
      <c r="N114" s="174"/>
      <c r="O114" s="174"/>
      <c r="P114" s="174"/>
      <c r="Q114" s="174"/>
      <c r="R114" s="172">
        <v>46153</v>
      </c>
      <c r="S114" s="172">
        <v>46234</v>
      </c>
      <c r="T114" s="172"/>
      <c r="U114" s="172"/>
      <c r="V114" s="172"/>
      <c r="W114" s="172"/>
      <c r="X114" s="172"/>
      <c r="Y114" s="172"/>
      <c r="Z114" s="172"/>
      <c r="AA114" s="86"/>
      <c r="AB114" s="86"/>
      <c r="AC114" s="86"/>
      <c r="AD114" s="86"/>
      <c r="AE114" s="99"/>
      <c r="AF114" s="100"/>
      <c r="AG114" s="100"/>
      <c r="AH114" s="100"/>
      <c r="AI114" s="100"/>
      <c r="AJ114" s="100"/>
      <c r="AK114" s="100"/>
      <c r="AL114" s="100"/>
      <c r="AM114" s="100"/>
      <c r="AN114" s="100"/>
      <c r="AO114" s="100"/>
      <c r="AP114" s="100"/>
      <c r="AQ114" s="100"/>
      <c r="AR114" s="100"/>
      <c r="AS114" s="100"/>
      <c r="AT114" s="100"/>
      <c r="AU114" s="100"/>
      <c r="AV114" s="100"/>
      <c r="AW114" s="100"/>
      <c r="AX114" s="100"/>
      <c r="AY114" s="100"/>
      <c r="AZ114" s="100"/>
      <c r="BA114" s="100"/>
      <c r="BB114" s="100"/>
      <c r="BC114" s="100"/>
      <c r="BD114" s="100"/>
      <c r="BE114" s="100"/>
      <c r="BF114" s="100"/>
      <c r="BG114" s="100"/>
      <c r="BH114" s="100"/>
      <c r="BI114" s="100"/>
      <c r="BJ114" s="100"/>
      <c r="BK114" s="100"/>
      <c r="BL114" s="100"/>
      <c r="BM114" s="100"/>
      <c r="BN114" s="100"/>
      <c r="BO114" s="100"/>
      <c r="BP114" s="100"/>
      <c r="BQ114" s="100"/>
      <c r="BR114" s="100"/>
      <c r="BS114" s="100"/>
      <c r="BT114" s="100"/>
      <c r="BU114" s="100"/>
      <c r="BV114" s="100"/>
      <c r="BW114" s="100"/>
      <c r="BX114" s="100"/>
      <c r="BY114" s="100"/>
      <c r="BZ114" s="100"/>
      <c r="CA114" s="100"/>
      <c r="CB114" s="100"/>
      <c r="CC114" s="100"/>
      <c r="CD114" s="100"/>
      <c r="CE114" s="100"/>
      <c r="CF114" s="101"/>
    </row>
    <row r="115" spans="1:84" s="83" customFormat="1" ht="26" customHeight="1" x14ac:dyDescent="0.25">
      <c r="A115" s="526" t="s">
        <v>90</v>
      </c>
      <c r="B115" s="526" t="s">
        <v>120</v>
      </c>
      <c r="C115" s="541">
        <v>150</v>
      </c>
      <c r="D115" s="526" t="s">
        <v>81</v>
      </c>
      <c r="E115" s="526" t="s">
        <v>1218</v>
      </c>
      <c r="F115" s="526" t="s">
        <v>107</v>
      </c>
      <c r="G115" s="172">
        <v>46062</v>
      </c>
      <c r="H115" s="173" t="s">
        <v>186</v>
      </c>
      <c r="I115" s="84" t="s">
        <v>187</v>
      </c>
      <c r="J115" s="84" t="s">
        <v>188</v>
      </c>
      <c r="K115" s="84" t="s">
        <v>185</v>
      </c>
      <c r="L115" s="84" t="str">
        <f t="shared" si="58"/>
        <v>GATE VALVE 8" 150# RF, BB-OS&amp;Y, A216</v>
      </c>
      <c r="M115" s="174">
        <v>1</v>
      </c>
      <c r="N115" s="174"/>
      <c r="O115" s="174"/>
      <c r="P115" s="174"/>
      <c r="Q115" s="174"/>
      <c r="R115" s="172">
        <v>46153</v>
      </c>
      <c r="S115" s="172">
        <v>46234</v>
      </c>
      <c r="T115" s="172"/>
      <c r="U115" s="172"/>
      <c r="V115" s="172"/>
      <c r="W115" s="172"/>
      <c r="X115" s="172"/>
      <c r="Y115" s="172"/>
      <c r="Z115" s="172"/>
      <c r="AA115" s="86"/>
      <c r="AB115" s="86"/>
      <c r="AC115" s="86"/>
      <c r="AD115" s="86"/>
      <c r="AE115" s="99"/>
      <c r="AF115" s="100"/>
      <c r="AG115" s="100"/>
      <c r="AH115" s="100"/>
      <c r="AI115" s="100"/>
      <c r="AJ115" s="100"/>
      <c r="AK115" s="100"/>
      <c r="AL115" s="100"/>
      <c r="AM115" s="100"/>
      <c r="AN115" s="100"/>
      <c r="AO115" s="100"/>
      <c r="AP115" s="100"/>
      <c r="AQ115" s="100"/>
      <c r="AR115" s="100"/>
      <c r="AS115" s="100"/>
      <c r="AT115" s="100"/>
      <c r="AU115" s="100"/>
      <c r="AV115" s="100"/>
      <c r="AW115" s="100"/>
      <c r="AX115" s="100"/>
      <c r="AY115" s="100"/>
      <c r="AZ115" s="100"/>
      <c r="BA115" s="100"/>
      <c r="BB115" s="100"/>
      <c r="BC115" s="100"/>
      <c r="BD115" s="100"/>
      <c r="BE115" s="100"/>
      <c r="BF115" s="100"/>
      <c r="BG115" s="100"/>
      <c r="BH115" s="100"/>
      <c r="BI115" s="100"/>
      <c r="BJ115" s="100"/>
      <c r="BK115" s="100"/>
      <c r="BL115" s="100"/>
      <c r="BM115" s="100"/>
      <c r="BN115" s="100"/>
      <c r="BO115" s="100"/>
      <c r="BP115" s="100"/>
      <c r="BQ115" s="100"/>
      <c r="BR115" s="100"/>
      <c r="BS115" s="100"/>
      <c r="BT115" s="100"/>
      <c r="BU115" s="100"/>
      <c r="BV115" s="100"/>
      <c r="BW115" s="100"/>
      <c r="BX115" s="100"/>
      <c r="BY115" s="100"/>
      <c r="BZ115" s="100"/>
      <c r="CA115" s="100"/>
      <c r="CB115" s="100"/>
      <c r="CC115" s="100"/>
      <c r="CD115" s="100"/>
      <c r="CE115" s="100"/>
      <c r="CF115" s="101"/>
    </row>
    <row r="116" spans="1:84" s="83" customFormat="1" ht="26" customHeight="1" x14ac:dyDescent="0.25">
      <c r="A116" s="526" t="s">
        <v>90</v>
      </c>
      <c r="B116" s="526" t="s">
        <v>120</v>
      </c>
      <c r="C116" s="541">
        <v>150</v>
      </c>
      <c r="D116" s="526" t="s">
        <v>81</v>
      </c>
      <c r="E116" s="526" t="s">
        <v>1218</v>
      </c>
      <c r="F116" s="526" t="s">
        <v>107</v>
      </c>
      <c r="G116" s="172">
        <v>46062</v>
      </c>
      <c r="H116" s="173" t="s">
        <v>186</v>
      </c>
      <c r="I116" s="84" t="s">
        <v>187</v>
      </c>
      <c r="J116" s="84" t="s">
        <v>188</v>
      </c>
      <c r="K116" s="84" t="s">
        <v>185</v>
      </c>
      <c r="L116" s="84" t="str">
        <f t="shared" si="58"/>
        <v>GATE VALVE 8" 150# RF, BB-OS&amp;Y, A216</v>
      </c>
      <c r="M116" s="174">
        <v>1</v>
      </c>
      <c r="N116" s="174"/>
      <c r="O116" s="174"/>
      <c r="P116" s="174"/>
      <c r="Q116" s="174"/>
      <c r="R116" s="172">
        <v>46153</v>
      </c>
      <c r="S116" s="172">
        <v>46234</v>
      </c>
      <c r="T116" s="172"/>
      <c r="U116" s="172"/>
      <c r="V116" s="172"/>
      <c r="W116" s="172"/>
      <c r="X116" s="172"/>
      <c r="Y116" s="172"/>
      <c r="Z116" s="172"/>
      <c r="AA116" s="86"/>
      <c r="AB116" s="86"/>
      <c r="AC116" s="86"/>
      <c r="AD116" s="86"/>
      <c r="AE116" s="99"/>
      <c r="AF116" s="100"/>
      <c r="AG116" s="100"/>
      <c r="AH116" s="100"/>
      <c r="AI116" s="100"/>
      <c r="AJ116" s="100"/>
      <c r="AK116" s="100"/>
      <c r="AL116" s="100"/>
      <c r="AM116" s="100"/>
      <c r="AN116" s="100"/>
      <c r="AO116" s="100"/>
      <c r="AP116" s="100"/>
      <c r="AQ116" s="100"/>
      <c r="AR116" s="100"/>
      <c r="AS116" s="100"/>
      <c r="AT116" s="100"/>
      <c r="AU116" s="100"/>
      <c r="AV116" s="100"/>
      <c r="AW116" s="100"/>
      <c r="AX116" s="100"/>
      <c r="AY116" s="100"/>
      <c r="AZ116" s="100"/>
      <c r="BA116" s="100"/>
      <c r="BB116" s="100"/>
      <c r="BC116" s="100"/>
      <c r="BD116" s="100"/>
      <c r="BE116" s="100"/>
      <c r="BF116" s="100"/>
      <c r="BG116" s="100"/>
      <c r="BH116" s="100"/>
      <c r="BI116" s="100"/>
      <c r="BJ116" s="100"/>
      <c r="BK116" s="100"/>
      <c r="BL116" s="100"/>
      <c r="BM116" s="100"/>
      <c r="BN116" s="100"/>
      <c r="BO116" s="100"/>
      <c r="BP116" s="100"/>
      <c r="BQ116" s="100"/>
      <c r="BR116" s="100"/>
      <c r="BS116" s="100"/>
      <c r="BT116" s="100"/>
      <c r="BU116" s="100"/>
      <c r="BV116" s="100"/>
      <c r="BW116" s="100"/>
      <c r="BX116" s="100"/>
      <c r="BY116" s="100"/>
      <c r="BZ116" s="100"/>
      <c r="CA116" s="100"/>
      <c r="CB116" s="100"/>
      <c r="CC116" s="100"/>
      <c r="CD116" s="100"/>
      <c r="CE116" s="100"/>
      <c r="CF116" s="101"/>
    </row>
    <row r="117" spans="1:84" s="83" customFormat="1" ht="26" customHeight="1" x14ac:dyDescent="0.25">
      <c r="A117" s="526" t="s">
        <v>189</v>
      </c>
      <c r="B117" s="526" t="s">
        <v>82</v>
      </c>
      <c r="C117" s="541">
        <v>150</v>
      </c>
      <c r="D117" s="526" t="s">
        <v>81</v>
      </c>
      <c r="E117" s="526" t="s">
        <v>1753</v>
      </c>
      <c r="F117" s="526" t="s">
        <v>181</v>
      </c>
      <c r="G117" s="172">
        <v>46049</v>
      </c>
      <c r="H117" s="173" t="s">
        <v>1755</v>
      </c>
      <c r="I117" s="84" t="s">
        <v>1756</v>
      </c>
      <c r="J117" s="84" t="s">
        <v>1754</v>
      </c>
      <c r="K117" s="84" t="s">
        <v>1752</v>
      </c>
      <c r="L117" s="84" t="str">
        <f t="shared" si="58"/>
        <v>BUTTERFLY VALVE 6" 150# RF, WAFER, A351</v>
      </c>
      <c r="M117" s="174">
        <v>5</v>
      </c>
      <c r="N117" s="174"/>
      <c r="O117" s="174"/>
      <c r="P117" s="174"/>
      <c r="Q117" s="174"/>
      <c r="R117" s="172">
        <v>46146</v>
      </c>
      <c r="S117" s="172"/>
      <c r="T117" s="172"/>
      <c r="U117" s="172"/>
      <c r="V117" s="172"/>
      <c r="W117" s="172"/>
      <c r="X117" s="172"/>
      <c r="Y117" s="172"/>
      <c r="Z117" s="172"/>
      <c r="AA117" s="86"/>
      <c r="AB117" s="86"/>
      <c r="AC117" s="86"/>
      <c r="AD117" s="86"/>
      <c r="AE117" s="99"/>
      <c r="AF117" s="100"/>
      <c r="AG117" s="100"/>
      <c r="AH117" s="100"/>
      <c r="AI117" s="100"/>
      <c r="AJ117" s="100"/>
      <c r="AK117" s="100"/>
      <c r="AL117" s="100"/>
      <c r="AM117" s="100"/>
      <c r="AN117" s="100"/>
      <c r="AO117" s="100"/>
      <c r="AP117" s="100"/>
      <c r="AQ117" s="100"/>
      <c r="AR117" s="100"/>
      <c r="AS117" s="100"/>
      <c r="AT117" s="100"/>
      <c r="AU117" s="100"/>
      <c r="AV117" s="100"/>
      <c r="AW117" s="100"/>
      <c r="AX117" s="100"/>
      <c r="AY117" s="100"/>
      <c r="AZ117" s="100"/>
      <c r="BA117" s="100"/>
      <c r="BB117" s="100"/>
      <c r="BC117" s="100"/>
      <c r="BD117" s="100"/>
      <c r="BE117" s="100"/>
      <c r="BF117" s="100"/>
      <c r="BG117" s="100"/>
      <c r="BH117" s="100"/>
      <c r="BI117" s="100"/>
      <c r="BJ117" s="100"/>
      <c r="BK117" s="100"/>
      <c r="BL117" s="100"/>
      <c r="BM117" s="100"/>
      <c r="BN117" s="100"/>
      <c r="BO117" s="100"/>
      <c r="BP117" s="100"/>
      <c r="BQ117" s="100"/>
      <c r="BR117" s="100"/>
      <c r="BS117" s="100"/>
      <c r="BT117" s="100"/>
      <c r="BU117" s="100"/>
      <c r="BV117" s="100"/>
      <c r="BW117" s="100"/>
      <c r="BX117" s="100"/>
      <c r="BY117" s="100"/>
      <c r="BZ117" s="100"/>
      <c r="CA117" s="100"/>
      <c r="CB117" s="100"/>
      <c r="CC117" s="100"/>
      <c r="CD117" s="100"/>
      <c r="CE117" s="100"/>
      <c r="CF117" s="101"/>
    </row>
    <row r="118" spans="1:84" s="83" customFormat="1" ht="26" customHeight="1" x14ac:dyDescent="0.25">
      <c r="A118" s="526" t="s">
        <v>94</v>
      </c>
      <c r="B118" s="526" t="s">
        <v>84</v>
      </c>
      <c r="C118" s="541">
        <v>150</v>
      </c>
      <c r="D118" s="526" t="s">
        <v>81</v>
      </c>
      <c r="E118" s="526" t="s">
        <v>97</v>
      </c>
      <c r="F118" s="526" t="s">
        <v>107</v>
      </c>
      <c r="G118" s="172">
        <v>46063</v>
      </c>
      <c r="H118" s="173" t="s">
        <v>202</v>
      </c>
      <c r="I118" s="84" t="s">
        <v>203</v>
      </c>
      <c r="J118" s="84" t="s">
        <v>204</v>
      </c>
      <c r="K118" s="84" t="s">
        <v>95</v>
      </c>
      <c r="L118" s="84" t="str">
        <f t="shared" si="58"/>
        <v>CHECK VALVE 4" 150# RF, BOLTED CAP, A216</v>
      </c>
      <c r="M118" s="174">
        <v>9</v>
      </c>
      <c r="N118" s="174"/>
      <c r="O118" s="174"/>
      <c r="P118" s="174"/>
      <c r="Q118" s="174"/>
      <c r="R118" s="172">
        <v>46165</v>
      </c>
      <c r="S118" s="172">
        <v>46234</v>
      </c>
      <c r="T118" s="172"/>
      <c r="U118" s="172"/>
      <c r="V118" s="172"/>
      <c r="W118" s="172"/>
      <c r="X118" s="172"/>
      <c r="Y118" s="172"/>
      <c r="Z118" s="172"/>
      <c r="AA118" s="86"/>
      <c r="AB118" s="86"/>
      <c r="AC118" s="86"/>
      <c r="AD118" s="86"/>
      <c r="AE118" s="99"/>
      <c r="AF118" s="100"/>
      <c r="AG118" s="100"/>
      <c r="AH118" s="100"/>
      <c r="AI118" s="100"/>
      <c r="AJ118" s="100"/>
      <c r="AK118" s="100"/>
      <c r="AL118" s="100"/>
      <c r="AM118" s="100"/>
      <c r="AN118" s="100"/>
      <c r="AO118" s="100"/>
      <c r="AP118" s="100"/>
      <c r="AQ118" s="100"/>
      <c r="AR118" s="100"/>
      <c r="AS118" s="100"/>
      <c r="AT118" s="100"/>
      <c r="AU118" s="100"/>
      <c r="AV118" s="100"/>
      <c r="AW118" s="100"/>
      <c r="AX118" s="100"/>
      <c r="AY118" s="100"/>
      <c r="AZ118" s="100"/>
      <c r="BA118" s="100"/>
      <c r="BB118" s="100"/>
      <c r="BC118" s="100"/>
      <c r="BD118" s="100"/>
      <c r="BE118" s="100"/>
      <c r="BF118" s="100"/>
      <c r="BG118" s="100"/>
      <c r="BH118" s="100"/>
      <c r="BI118" s="100"/>
      <c r="BJ118" s="100"/>
      <c r="BK118" s="100"/>
      <c r="BL118" s="100"/>
      <c r="BM118" s="100"/>
      <c r="BN118" s="100"/>
      <c r="BO118" s="100"/>
      <c r="BP118" s="100"/>
      <c r="BQ118" s="100"/>
      <c r="BR118" s="100"/>
      <c r="BS118" s="100"/>
      <c r="BT118" s="100"/>
      <c r="BU118" s="100"/>
      <c r="BV118" s="100"/>
      <c r="BW118" s="100"/>
      <c r="BX118" s="100"/>
      <c r="BY118" s="100"/>
      <c r="BZ118" s="100"/>
      <c r="CA118" s="100"/>
      <c r="CB118" s="100"/>
      <c r="CC118" s="100"/>
      <c r="CD118" s="100"/>
      <c r="CE118" s="100"/>
      <c r="CF118" s="101"/>
    </row>
    <row r="119" spans="1:84" s="83" customFormat="1" ht="26" customHeight="1" x14ac:dyDescent="0.25">
      <c r="A119" s="526" t="s">
        <v>94</v>
      </c>
      <c r="B119" s="526" t="s">
        <v>82</v>
      </c>
      <c r="C119" s="541">
        <v>150</v>
      </c>
      <c r="D119" s="526" t="s">
        <v>81</v>
      </c>
      <c r="E119" s="526" t="s">
        <v>97</v>
      </c>
      <c r="F119" s="526" t="s">
        <v>107</v>
      </c>
      <c r="G119" s="172">
        <v>46063</v>
      </c>
      <c r="H119" s="173" t="s">
        <v>202</v>
      </c>
      <c r="I119" s="84" t="s">
        <v>203</v>
      </c>
      <c r="J119" s="84" t="s">
        <v>204</v>
      </c>
      <c r="K119" s="84" t="s">
        <v>95</v>
      </c>
      <c r="L119" s="84" t="str">
        <f t="shared" si="58"/>
        <v>CHECK VALVE 6" 150# RF, BOLTED CAP, A216</v>
      </c>
      <c r="M119" s="174">
        <v>4</v>
      </c>
      <c r="N119" s="174"/>
      <c r="O119" s="174"/>
      <c r="P119" s="174"/>
      <c r="Q119" s="174"/>
      <c r="R119" s="172">
        <v>46165</v>
      </c>
      <c r="S119" s="172">
        <v>46234</v>
      </c>
      <c r="T119" s="172"/>
      <c r="U119" s="172"/>
      <c r="V119" s="172"/>
      <c r="W119" s="172"/>
      <c r="X119" s="172"/>
      <c r="Y119" s="172"/>
      <c r="Z119" s="172"/>
      <c r="AA119" s="86"/>
      <c r="AB119" s="86"/>
      <c r="AC119" s="86"/>
      <c r="AD119" s="86"/>
      <c r="AE119" s="99"/>
      <c r="AF119" s="100"/>
      <c r="AG119" s="100"/>
      <c r="AH119" s="100"/>
      <c r="AI119" s="100"/>
      <c r="AJ119" s="100"/>
      <c r="AK119" s="100"/>
      <c r="AL119" s="100"/>
      <c r="AM119" s="100"/>
      <c r="AN119" s="100"/>
      <c r="AO119" s="100"/>
      <c r="AP119" s="100"/>
      <c r="AQ119" s="100"/>
      <c r="AR119" s="100"/>
      <c r="AS119" s="100"/>
      <c r="AT119" s="100"/>
      <c r="AU119" s="100"/>
      <c r="AV119" s="100"/>
      <c r="AW119" s="100"/>
      <c r="AX119" s="100"/>
      <c r="AY119" s="100"/>
      <c r="AZ119" s="100"/>
      <c r="BA119" s="100"/>
      <c r="BB119" s="100"/>
      <c r="BC119" s="100"/>
      <c r="BD119" s="100"/>
      <c r="BE119" s="100"/>
      <c r="BF119" s="100"/>
      <c r="BG119" s="100"/>
      <c r="BH119" s="100"/>
      <c r="BI119" s="100"/>
      <c r="BJ119" s="100"/>
      <c r="BK119" s="100"/>
      <c r="BL119" s="100"/>
      <c r="BM119" s="100"/>
      <c r="BN119" s="100"/>
      <c r="BO119" s="100"/>
      <c r="BP119" s="100"/>
      <c r="BQ119" s="100"/>
      <c r="BR119" s="100"/>
      <c r="BS119" s="100"/>
      <c r="BT119" s="100"/>
      <c r="BU119" s="100"/>
      <c r="BV119" s="100"/>
      <c r="BW119" s="100"/>
      <c r="BX119" s="100"/>
      <c r="BY119" s="100"/>
      <c r="BZ119" s="100"/>
      <c r="CA119" s="100"/>
      <c r="CB119" s="100"/>
      <c r="CC119" s="100"/>
      <c r="CD119" s="100"/>
      <c r="CE119" s="100"/>
      <c r="CF119" s="101"/>
    </row>
    <row r="120" spans="1:84" s="83" customFormat="1" ht="26" customHeight="1" x14ac:dyDescent="0.25">
      <c r="A120" s="526" t="s">
        <v>94</v>
      </c>
      <c r="B120" s="526" t="s">
        <v>80</v>
      </c>
      <c r="C120" s="541">
        <v>150</v>
      </c>
      <c r="D120" s="526" t="s">
        <v>81</v>
      </c>
      <c r="E120" s="526" t="s">
        <v>97</v>
      </c>
      <c r="F120" s="526" t="s">
        <v>107</v>
      </c>
      <c r="G120" s="172">
        <v>46063</v>
      </c>
      <c r="H120" s="173" t="s">
        <v>202</v>
      </c>
      <c r="I120" s="84" t="s">
        <v>203</v>
      </c>
      <c r="J120" s="84" t="s">
        <v>204</v>
      </c>
      <c r="K120" s="84" t="s">
        <v>95</v>
      </c>
      <c r="L120" s="84" t="str">
        <f t="shared" si="58"/>
        <v>CHECK VALVE 10" 150# RF, BOLTED CAP, A216</v>
      </c>
      <c r="M120" s="174">
        <v>2</v>
      </c>
      <c r="N120" s="174"/>
      <c r="O120" s="174"/>
      <c r="P120" s="174"/>
      <c r="Q120" s="174"/>
      <c r="R120" s="172">
        <v>46165</v>
      </c>
      <c r="S120" s="172">
        <v>46234</v>
      </c>
      <c r="T120" s="172"/>
      <c r="U120" s="172"/>
      <c r="V120" s="172"/>
      <c r="W120" s="172"/>
      <c r="X120" s="172"/>
      <c r="Y120" s="172"/>
      <c r="Z120" s="172"/>
      <c r="AA120" s="86"/>
      <c r="AB120" s="86"/>
      <c r="AC120" s="86"/>
      <c r="AD120" s="86"/>
      <c r="AE120" s="99"/>
      <c r="AF120" s="100"/>
      <c r="AG120" s="100"/>
      <c r="AH120" s="100"/>
      <c r="AI120" s="100"/>
      <c r="AJ120" s="100"/>
      <c r="AK120" s="100"/>
      <c r="AL120" s="100"/>
      <c r="AM120" s="100"/>
      <c r="AN120" s="100"/>
      <c r="AO120" s="100"/>
      <c r="AP120" s="100"/>
      <c r="AQ120" s="100"/>
      <c r="AR120" s="100"/>
      <c r="AS120" s="100"/>
      <c r="AT120" s="100"/>
      <c r="AU120" s="100"/>
      <c r="AV120" s="100"/>
      <c r="AW120" s="100"/>
      <c r="AX120" s="100"/>
      <c r="AY120" s="100"/>
      <c r="AZ120" s="100"/>
      <c r="BA120" s="100"/>
      <c r="BB120" s="100"/>
      <c r="BC120" s="100"/>
      <c r="BD120" s="100"/>
      <c r="BE120" s="100"/>
      <c r="BF120" s="100"/>
      <c r="BG120" s="100"/>
      <c r="BH120" s="100"/>
      <c r="BI120" s="100"/>
      <c r="BJ120" s="100"/>
      <c r="BK120" s="100"/>
      <c r="BL120" s="100"/>
      <c r="BM120" s="100"/>
      <c r="BN120" s="100"/>
      <c r="BO120" s="100"/>
      <c r="BP120" s="100"/>
      <c r="BQ120" s="100"/>
      <c r="BR120" s="100"/>
      <c r="BS120" s="100"/>
      <c r="BT120" s="100"/>
      <c r="BU120" s="100"/>
      <c r="BV120" s="100"/>
      <c r="BW120" s="100"/>
      <c r="BX120" s="100"/>
      <c r="BY120" s="100"/>
      <c r="BZ120" s="100"/>
      <c r="CA120" s="100"/>
      <c r="CB120" s="100"/>
      <c r="CC120" s="100"/>
      <c r="CD120" s="100"/>
      <c r="CE120" s="100"/>
      <c r="CF120" s="101"/>
    </row>
    <row r="121" spans="1:84" s="83" customFormat="1" ht="26" customHeight="1" x14ac:dyDescent="0.25">
      <c r="A121" s="526" t="s">
        <v>90</v>
      </c>
      <c r="B121" s="526" t="s">
        <v>85</v>
      </c>
      <c r="C121" s="541">
        <v>150</v>
      </c>
      <c r="D121" s="526" t="s">
        <v>81</v>
      </c>
      <c r="E121" s="526" t="s">
        <v>1218</v>
      </c>
      <c r="F121" s="526" t="s">
        <v>107</v>
      </c>
      <c r="G121" s="172">
        <v>46063</v>
      </c>
      <c r="H121" s="173" t="s">
        <v>202</v>
      </c>
      <c r="I121" s="84" t="s">
        <v>203</v>
      </c>
      <c r="J121" s="84" t="s">
        <v>204</v>
      </c>
      <c r="K121" s="84" t="s">
        <v>192</v>
      </c>
      <c r="L121" s="84" t="str">
        <f t="shared" si="58"/>
        <v>GATE VALVE 3" 150# RF, BB-OS&amp;Y, A216</v>
      </c>
      <c r="M121" s="174">
        <v>2</v>
      </c>
      <c r="N121" s="174"/>
      <c r="O121" s="174"/>
      <c r="P121" s="174"/>
      <c r="Q121" s="174"/>
      <c r="R121" s="172">
        <v>46165</v>
      </c>
      <c r="S121" s="172">
        <v>46234</v>
      </c>
      <c r="T121" s="172"/>
      <c r="U121" s="172"/>
      <c r="V121" s="172"/>
      <c r="W121" s="172"/>
      <c r="X121" s="172"/>
      <c r="Y121" s="172"/>
      <c r="Z121" s="172"/>
      <c r="AA121" s="86"/>
      <c r="AB121" s="86"/>
      <c r="AC121" s="86"/>
      <c r="AD121" s="86"/>
      <c r="AE121" s="99"/>
      <c r="AF121" s="100"/>
      <c r="AG121" s="100"/>
      <c r="AH121" s="100"/>
      <c r="AI121" s="100"/>
      <c r="AJ121" s="100"/>
      <c r="AK121" s="100"/>
      <c r="AL121" s="100"/>
      <c r="AM121" s="100"/>
      <c r="AN121" s="100"/>
      <c r="AO121" s="100"/>
      <c r="AP121" s="100"/>
      <c r="AQ121" s="100"/>
      <c r="AR121" s="100"/>
      <c r="AS121" s="100"/>
      <c r="AT121" s="100"/>
      <c r="AU121" s="100"/>
      <c r="AV121" s="100"/>
      <c r="AW121" s="100"/>
      <c r="AX121" s="100"/>
      <c r="AY121" s="100"/>
      <c r="AZ121" s="100"/>
      <c r="BA121" s="100"/>
      <c r="BB121" s="100"/>
      <c r="BC121" s="100"/>
      <c r="BD121" s="100"/>
      <c r="BE121" s="100"/>
      <c r="BF121" s="100"/>
      <c r="BG121" s="100"/>
      <c r="BH121" s="100"/>
      <c r="BI121" s="100"/>
      <c r="BJ121" s="100"/>
      <c r="BK121" s="100"/>
      <c r="BL121" s="100"/>
      <c r="BM121" s="100"/>
      <c r="BN121" s="100"/>
      <c r="BO121" s="100"/>
      <c r="BP121" s="100"/>
      <c r="BQ121" s="100"/>
      <c r="BR121" s="100"/>
      <c r="BS121" s="100"/>
      <c r="BT121" s="100"/>
      <c r="BU121" s="100"/>
      <c r="BV121" s="100"/>
      <c r="BW121" s="100"/>
      <c r="BX121" s="100"/>
      <c r="BY121" s="100"/>
      <c r="BZ121" s="100"/>
      <c r="CA121" s="100"/>
      <c r="CB121" s="100"/>
      <c r="CC121" s="100"/>
      <c r="CD121" s="100"/>
      <c r="CE121" s="100"/>
      <c r="CF121" s="101"/>
    </row>
    <row r="122" spans="1:84" s="83" customFormat="1" ht="26" customHeight="1" x14ac:dyDescent="0.25">
      <c r="A122" s="526" t="s">
        <v>90</v>
      </c>
      <c r="B122" s="526" t="s">
        <v>84</v>
      </c>
      <c r="C122" s="541">
        <v>150</v>
      </c>
      <c r="D122" s="526" t="s">
        <v>81</v>
      </c>
      <c r="E122" s="526" t="s">
        <v>1218</v>
      </c>
      <c r="F122" s="526" t="s">
        <v>107</v>
      </c>
      <c r="G122" s="172">
        <v>46063</v>
      </c>
      <c r="H122" s="173" t="s">
        <v>202</v>
      </c>
      <c r="I122" s="84" t="s">
        <v>203</v>
      </c>
      <c r="J122" s="84" t="s">
        <v>204</v>
      </c>
      <c r="K122" s="84" t="s">
        <v>192</v>
      </c>
      <c r="L122" s="84" t="str">
        <f t="shared" si="58"/>
        <v>GATE VALVE 4" 150# RF, BB-OS&amp;Y, A216</v>
      </c>
      <c r="M122" s="174">
        <v>23</v>
      </c>
      <c r="N122" s="174"/>
      <c r="O122" s="174"/>
      <c r="P122" s="174"/>
      <c r="Q122" s="174"/>
      <c r="R122" s="172">
        <v>46165</v>
      </c>
      <c r="S122" s="172">
        <v>46234</v>
      </c>
      <c r="T122" s="172"/>
      <c r="U122" s="172"/>
      <c r="V122" s="172"/>
      <c r="W122" s="172"/>
      <c r="X122" s="172"/>
      <c r="Y122" s="172"/>
      <c r="Z122" s="172"/>
      <c r="AA122" s="86"/>
      <c r="AB122" s="86"/>
      <c r="AC122" s="86"/>
      <c r="AD122" s="86"/>
      <c r="AE122" s="99"/>
      <c r="AF122" s="100"/>
      <c r="AG122" s="100"/>
      <c r="AH122" s="100"/>
      <c r="AI122" s="100"/>
      <c r="AJ122" s="100"/>
      <c r="AK122" s="100"/>
      <c r="AL122" s="100"/>
      <c r="AM122" s="100"/>
      <c r="AN122" s="100"/>
      <c r="AO122" s="100"/>
      <c r="AP122" s="100"/>
      <c r="AQ122" s="100"/>
      <c r="AR122" s="100"/>
      <c r="AS122" s="100"/>
      <c r="AT122" s="100"/>
      <c r="AU122" s="100"/>
      <c r="AV122" s="100"/>
      <c r="AW122" s="100"/>
      <c r="AX122" s="100"/>
      <c r="AY122" s="100"/>
      <c r="AZ122" s="100"/>
      <c r="BA122" s="100"/>
      <c r="BB122" s="100"/>
      <c r="BC122" s="100"/>
      <c r="BD122" s="100"/>
      <c r="BE122" s="100"/>
      <c r="BF122" s="100"/>
      <c r="BG122" s="100"/>
      <c r="BH122" s="100"/>
      <c r="BI122" s="100"/>
      <c r="BJ122" s="100"/>
      <c r="BK122" s="100"/>
      <c r="BL122" s="100"/>
      <c r="BM122" s="100"/>
      <c r="BN122" s="100"/>
      <c r="BO122" s="100"/>
      <c r="BP122" s="100"/>
      <c r="BQ122" s="100"/>
      <c r="BR122" s="100"/>
      <c r="BS122" s="100"/>
      <c r="BT122" s="100"/>
      <c r="BU122" s="100"/>
      <c r="BV122" s="100"/>
      <c r="BW122" s="100"/>
      <c r="BX122" s="100"/>
      <c r="BY122" s="100"/>
      <c r="BZ122" s="100"/>
      <c r="CA122" s="100"/>
      <c r="CB122" s="100"/>
      <c r="CC122" s="100"/>
      <c r="CD122" s="100"/>
      <c r="CE122" s="100"/>
      <c r="CF122" s="101"/>
    </row>
    <row r="123" spans="1:84" s="83" customFormat="1" ht="26" customHeight="1" x14ac:dyDescent="0.25">
      <c r="A123" s="526" t="s">
        <v>90</v>
      </c>
      <c r="B123" s="526" t="s">
        <v>82</v>
      </c>
      <c r="C123" s="541">
        <v>150</v>
      </c>
      <c r="D123" s="526" t="s">
        <v>81</v>
      </c>
      <c r="E123" s="526" t="s">
        <v>1218</v>
      </c>
      <c r="F123" s="526" t="s">
        <v>107</v>
      </c>
      <c r="G123" s="172">
        <v>46063</v>
      </c>
      <c r="H123" s="173" t="s">
        <v>202</v>
      </c>
      <c r="I123" s="84" t="s">
        <v>203</v>
      </c>
      <c r="J123" s="84" t="s">
        <v>204</v>
      </c>
      <c r="K123" s="84" t="s">
        <v>192</v>
      </c>
      <c r="L123" s="84" t="str">
        <f t="shared" si="58"/>
        <v>GATE VALVE 6" 150# RF, BB-OS&amp;Y, A216</v>
      </c>
      <c r="M123" s="174">
        <v>20</v>
      </c>
      <c r="N123" s="174"/>
      <c r="O123" s="174"/>
      <c r="P123" s="174"/>
      <c r="Q123" s="174"/>
      <c r="R123" s="172">
        <v>46165</v>
      </c>
      <c r="S123" s="172">
        <v>46234</v>
      </c>
      <c r="T123" s="172"/>
      <c r="U123" s="172"/>
      <c r="V123" s="172"/>
      <c r="W123" s="172"/>
      <c r="X123" s="172"/>
      <c r="Y123" s="172"/>
      <c r="Z123" s="172"/>
      <c r="AA123" s="86"/>
      <c r="AB123" s="86"/>
      <c r="AC123" s="86"/>
      <c r="AD123" s="86"/>
      <c r="AE123" s="99"/>
      <c r="AF123" s="100"/>
      <c r="AG123" s="100"/>
      <c r="AH123" s="100"/>
      <c r="AI123" s="100"/>
      <c r="AJ123" s="100"/>
      <c r="AK123" s="100"/>
      <c r="AL123" s="100"/>
      <c r="AM123" s="100"/>
      <c r="AN123" s="100"/>
      <c r="AO123" s="100"/>
      <c r="AP123" s="100"/>
      <c r="AQ123" s="100"/>
      <c r="AR123" s="100"/>
      <c r="AS123" s="100"/>
      <c r="AT123" s="100"/>
      <c r="AU123" s="100"/>
      <c r="AV123" s="100"/>
      <c r="AW123" s="100"/>
      <c r="AX123" s="100"/>
      <c r="AY123" s="100"/>
      <c r="AZ123" s="100"/>
      <c r="BA123" s="100"/>
      <c r="BB123" s="100"/>
      <c r="BC123" s="100"/>
      <c r="BD123" s="100"/>
      <c r="BE123" s="100"/>
      <c r="BF123" s="100"/>
      <c r="BG123" s="100"/>
      <c r="BH123" s="100"/>
      <c r="BI123" s="100"/>
      <c r="BJ123" s="100"/>
      <c r="BK123" s="100"/>
      <c r="BL123" s="100"/>
      <c r="BM123" s="100"/>
      <c r="BN123" s="100"/>
      <c r="BO123" s="100"/>
      <c r="BP123" s="100"/>
      <c r="BQ123" s="100"/>
      <c r="BR123" s="100"/>
      <c r="BS123" s="100"/>
      <c r="BT123" s="100"/>
      <c r="BU123" s="100"/>
      <c r="BV123" s="100"/>
      <c r="BW123" s="100"/>
      <c r="BX123" s="100"/>
      <c r="BY123" s="100"/>
      <c r="BZ123" s="100"/>
      <c r="CA123" s="100"/>
      <c r="CB123" s="100"/>
      <c r="CC123" s="100"/>
      <c r="CD123" s="100"/>
      <c r="CE123" s="100"/>
      <c r="CF123" s="101"/>
    </row>
    <row r="124" spans="1:84" s="83" customFormat="1" ht="26" customHeight="1" x14ac:dyDescent="0.25">
      <c r="A124" s="526" t="s">
        <v>90</v>
      </c>
      <c r="B124" s="526" t="s">
        <v>80</v>
      </c>
      <c r="C124" s="541">
        <v>150</v>
      </c>
      <c r="D124" s="526" t="s">
        <v>81</v>
      </c>
      <c r="E124" s="526" t="s">
        <v>1218</v>
      </c>
      <c r="F124" s="526" t="s">
        <v>107</v>
      </c>
      <c r="G124" s="172">
        <v>46063</v>
      </c>
      <c r="H124" s="173" t="s">
        <v>202</v>
      </c>
      <c r="I124" s="84" t="s">
        <v>203</v>
      </c>
      <c r="J124" s="84" t="s">
        <v>204</v>
      </c>
      <c r="K124" s="84" t="s">
        <v>91</v>
      </c>
      <c r="L124" s="84" t="str">
        <f t="shared" si="58"/>
        <v>GATE VALVE 10" 150# RF, BB-OS&amp;Y, A216</v>
      </c>
      <c r="M124" s="174">
        <v>6</v>
      </c>
      <c r="N124" s="174"/>
      <c r="O124" s="174"/>
      <c r="P124" s="174"/>
      <c r="Q124" s="174"/>
      <c r="R124" s="172">
        <v>46165</v>
      </c>
      <c r="S124" s="172">
        <v>46234</v>
      </c>
      <c r="T124" s="172"/>
      <c r="U124" s="172"/>
      <c r="V124" s="172"/>
      <c r="W124" s="172"/>
      <c r="X124" s="172"/>
      <c r="Y124" s="172"/>
      <c r="Z124" s="172"/>
      <c r="AA124" s="86"/>
      <c r="AB124" s="86"/>
      <c r="AC124" s="86"/>
      <c r="AD124" s="86"/>
      <c r="AE124" s="99"/>
      <c r="AF124" s="100"/>
      <c r="AG124" s="100"/>
      <c r="AH124" s="100"/>
      <c r="AI124" s="100"/>
      <c r="AJ124" s="100"/>
      <c r="AK124" s="100"/>
      <c r="AL124" s="100"/>
      <c r="AM124" s="100"/>
      <c r="AN124" s="100"/>
      <c r="AO124" s="100"/>
      <c r="AP124" s="100"/>
      <c r="AQ124" s="100"/>
      <c r="AR124" s="100"/>
      <c r="AS124" s="100"/>
      <c r="AT124" s="100"/>
      <c r="AU124" s="100"/>
      <c r="AV124" s="100"/>
      <c r="AW124" s="100"/>
      <c r="AX124" s="100"/>
      <c r="AY124" s="100"/>
      <c r="AZ124" s="100"/>
      <c r="BA124" s="100"/>
      <c r="BB124" s="100"/>
      <c r="BC124" s="100"/>
      <c r="BD124" s="100"/>
      <c r="BE124" s="100"/>
      <c r="BF124" s="100"/>
      <c r="BG124" s="100"/>
      <c r="BH124" s="100"/>
      <c r="BI124" s="100"/>
      <c r="BJ124" s="100"/>
      <c r="BK124" s="100"/>
      <c r="BL124" s="100"/>
      <c r="BM124" s="100"/>
      <c r="BN124" s="100"/>
      <c r="BO124" s="100"/>
      <c r="BP124" s="100"/>
      <c r="BQ124" s="100"/>
      <c r="BR124" s="100"/>
      <c r="BS124" s="100"/>
      <c r="BT124" s="100"/>
      <c r="BU124" s="100"/>
      <c r="BV124" s="100"/>
      <c r="BW124" s="100"/>
      <c r="BX124" s="100"/>
      <c r="BY124" s="100"/>
      <c r="BZ124" s="100"/>
      <c r="CA124" s="100"/>
      <c r="CB124" s="100"/>
      <c r="CC124" s="100"/>
      <c r="CD124" s="100"/>
      <c r="CE124" s="100"/>
      <c r="CF124" s="101"/>
    </row>
    <row r="125" spans="1:84" s="83" customFormat="1" ht="26" customHeight="1" x14ac:dyDescent="0.25">
      <c r="A125" s="526" t="s">
        <v>92</v>
      </c>
      <c r="B125" s="526" t="s">
        <v>85</v>
      </c>
      <c r="C125" s="541">
        <v>150</v>
      </c>
      <c r="D125" s="526" t="s">
        <v>81</v>
      </c>
      <c r="E125" s="526" t="s">
        <v>1218</v>
      </c>
      <c r="F125" s="526" t="s">
        <v>107</v>
      </c>
      <c r="G125" s="172">
        <v>46063</v>
      </c>
      <c r="H125" s="173" t="s">
        <v>202</v>
      </c>
      <c r="I125" s="84" t="s">
        <v>203</v>
      </c>
      <c r="J125" s="84" t="s">
        <v>204</v>
      </c>
      <c r="K125" s="84" t="s">
        <v>93</v>
      </c>
      <c r="L125" s="84" t="str">
        <f t="shared" si="58"/>
        <v>GLOBE VALVE 3" 150# RF, BB-OS&amp;Y, A216</v>
      </c>
      <c r="M125" s="174">
        <v>1</v>
      </c>
      <c r="N125" s="174"/>
      <c r="O125" s="174"/>
      <c r="P125" s="174"/>
      <c r="Q125" s="174"/>
      <c r="R125" s="172">
        <v>46165</v>
      </c>
      <c r="S125" s="172">
        <v>46234</v>
      </c>
      <c r="T125" s="172"/>
      <c r="U125" s="172"/>
      <c r="V125" s="172"/>
      <c r="W125" s="172"/>
      <c r="X125" s="172"/>
      <c r="Y125" s="172"/>
      <c r="Z125" s="172"/>
      <c r="AA125" s="86"/>
      <c r="AB125" s="86"/>
      <c r="AC125" s="86"/>
      <c r="AD125" s="86"/>
      <c r="AE125" s="99"/>
      <c r="AF125" s="100"/>
      <c r="AG125" s="100"/>
      <c r="AH125" s="100"/>
      <c r="AI125" s="100"/>
      <c r="AJ125" s="100"/>
      <c r="AK125" s="100"/>
      <c r="AL125" s="100"/>
      <c r="AM125" s="100"/>
      <c r="AN125" s="100"/>
      <c r="AO125" s="100"/>
      <c r="AP125" s="100"/>
      <c r="AQ125" s="100"/>
      <c r="AR125" s="100"/>
      <c r="AS125" s="100"/>
      <c r="AT125" s="100"/>
      <c r="AU125" s="100"/>
      <c r="AV125" s="100"/>
      <c r="AW125" s="100"/>
      <c r="AX125" s="100"/>
      <c r="AY125" s="100"/>
      <c r="AZ125" s="100"/>
      <c r="BA125" s="100"/>
      <c r="BB125" s="100"/>
      <c r="BC125" s="100"/>
      <c r="BD125" s="100"/>
      <c r="BE125" s="100"/>
      <c r="BF125" s="100"/>
      <c r="BG125" s="100"/>
      <c r="BH125" s="100"/>
      <c r="BI125" s="100"/>
      <c r="BJ125" s="100"/>
      <c r="BK125" s="100"/>
      <c r="BL125" s="100"/>
      <c r="BM125" s="100"/>
      <c r="BN125" s="100"/>
      <c r="BO125" s="100"/>
      <c r="BP125" s="100"/>
      <c r="BQ125" s="100"/>
      <c r="BR125" s="100"/>
      <c r="BS125" s="100"/>
      <c r="BT125" s="100"/>
      <c r="BU125" s="100"/>
      <c r="BV125" s="100"/>
      <c r="BW125" s="100"/>
      <c r="BX125" s="100"/>
      <c r="BY125" s="100"/>
      <c r="BZ125" s="100"/>
      <c r="CA125" s="100"/>
      <c r="CB125" s="100"/>
      <c r="CC125" s="100"/>
      <c r="CD125" s="100"/>
      <c r="CE125" s="100"/>
      <c r="CF125" s="101"/>
    </row>
    <row r="126" spans="1:84" s="83" customFormat="1" ht="26" customHeight="1" x14ac:dyDescent="0.25">
      <c r="A126" s="526" t="s">
        <v>92</v>
      </c>
      <c r="B126" s="526" t="s">
        <v>82</v>
      </c>
      <c r="C126" s="541">
        <v>150</v>
      </c>
      <c r="D126" s="526" t="s">
        <v>81</v>
      </c>
      <c r="E126" s="526" t="s">
        <v>1218</v>
      </c>
      <c r="F126" s="526" t="s">
        <v>107</v>
      </c>
      <c r="G126" s="172">
        <v>46063</v>
      </c>
      <c r="H126" s="173" t="s">
        <v>202</v>
      </c>
      <c r="I126" s="84" t="s">
        <v>203</v>
      </c>
      <c r="J126" s="84" t="s">
        <v>204</v>
      </c>
      <c r="K126" s="84" t="s">
        <v>93</v>
      </c>
      <c r="L126" s="84" t="str">
        <f t="shared" si="58"/>
        <v>GLOBE VALVE 6" 150# RF, BB-OS&amp;Y, A216</v>
      </c>
      <c r="M126" s="174">
        <v>1</v>
      </c>
      <c r="N126" s="174"/>
      <c r="O126" s="174"/>
      <c r="P126" s="174"/>
      <c r="Q126" s="174"/>
      <c r="R126" s="172">
        <v>46165</v>
      </c>
      <c r="S126" s="172">
        <v>46234</v>
      </c>
      <c r="T126" s="172"/>
      <c r="U126" s="172"/>
      <c r="V126" s="172"/>
      <c r="W126" s="172"/>
      <c r="X126" s="172"/>
      <c r="Y126" s="172"/>
      <c r="Z126" s="172"/>
      <c r="AA126" s="86"/>
      <c r="AB126" s="86"/>
      <c r="AC126" s="86"/>
      <c r="AD126" s="86"/>
      <c r="AE126" s="99"/>
      <c r="AF126" s="100"/>
      <c r="AG126" s="100"/>
      <c r="AH126" s="100"/>
      <c r="AI126" s="100"/>
      <c r="AJ126" s="100"/>
      <c r="AK126" s="100"/>
      <c r="AL126" s="100"/>
      <c r="AM126" s="100"/>
      <c r="AN126" s="100"/>
      <c r="AO126" s="100"/>
      <c r="AP126" s="100"/>
      <c r="AQ126" s="100"/>
      <c r="AR126" s="100"/>
      <c r="AS126" s="100"/>
      <c r="AT126" s="100"/>
      <c r="AU126" s="100"/>
      <c r="AV126" s="100"/>
      <c r="AW126" s="100"/>
      <c r="AX126" s="100"/>
      <c r="AY126" s="100"/>
      <c r="AZ126" s="100"/>
      <c r="BA126" s="100"/>
      <c r="BB126" s="100"/>
      <c r="BC126" s="100"/>
      <c r="BD126" s="100"/>
      <c r="BE126" s="100"/>
      <c r="BF126" s="100"/>
      <c r="BG126" s="100"/>
      <c r="BH126" s="100"/>
      <c r="BI126" s="100"/>
      <c r="BJ126" s="100"/>
      <c r="BK126" s="100"/>
      <c r="BL126" s="100"/>
      <c r="BM126" s="100"/>
      <c r="BN126" s="100"/>
      <c r="BO126" s="100"/>
      <c r="BP126" s="100"/>
      <c r="BQ126" s="100"/>
      <c r="BR126" s="100"/>
      <c r="BS126" s="100"/>
      <c r="BT126" s="100"/>
      <c r="BU126" s="100"/>
      <c r="BV126" s="100"/>
      <c r="BW126" s="100"/>
      <c r="BX126" s="100"/>
      <c r="BY126" s="100"/>
      <c r="BZ126" s="100"/>
      <c r="CA126" s="100"/>
      <c r="CB126" s="100"/>
      <c r="CC126" s="100"/>
      <c r="CD126" s="100"/>
      <c r="CE126" s="100"/>
      <c r="CF126" s="101"/>
    </row>
    <row r="127" spans="1:84" s="83" customFormat="1" ht="26" customHeight="1" x14ac:dyDescent="0.25">
      <c r="A127" s="526" t="s">
        <v>90</v>
      </c>
      <c r="B127" s="526" t="s">
        <v>89</v>
      </c>
      <c r="C127" s="541">
        <v>150</v>
      </c>
      <c r="D127" s="526" t="s">
        <v>190</v>
      </c>
      <c r="E127" s="526" t="s">
        <v>1218</v>
      </c>
      <c r="F127" s="526" t="s">
        <v>182</v>
      </c>
      <c r="G127" s="172">
        <v>46063</v>
      </c>
      <c r="H127" s="173" t="s">
        <v>202</v>
      </c>
      <c r="I127" s="84" t="s">
        <v>203</v>
      </c>
      <c r="J127" s="84" t="s">
        <v>204</v>
      </c>
      <c r="K127" s="84" t="s">
        <v>193</v>
      </c>
      <c r="L127" s="84" t="str">
        <f t="shared" si="58"/>
        <v>GATE VALVE 1/2" 150# NPT, BB-OS&amp;Y, B148</v>
      </c>
      <c r="M127" s="174">
        <v>1</v>
      </c>
      <c r="N127" s="174"/>
      <c r="O127" s="174"/>
      <c r="P127" s="174"/>
      <c r="Q127" s="174"/>
      <c r="R127" s="172">
        <v>46165</v>
      </c>
      <c r="S127" s="172">
        <v>46234</v>
      </c>
      <c r="T127" s="172"/>
      <c r="U127" s="172"/>
      <c r="V127" s="172"/>
      <c r="W127" s="172"/>
      <c r="X127" s="172"/>
      <c r="Y127" s="172"/>
      <c r="Z127" s="172"/>
      <c r="AA127" s="86"/>
      <c r="AB127" s="86"/>
      <c r="AC127" s="86"/>
      <c r="AD127" s="86"/>
      <c r="AE127" s="99"/>
      <c r="AF127" s="100"/>
      <c r="AG127" s="100"/>
      <c r="AH127" s="100"/>
      <c r="AI127" s="100"/>
      <c r="AJ127" s="100"/>
      <c r="AK127" s="100"/>
      <c r="AL127" s="100"/>
      <c r="AM127" s="100"/>
      <c r="AN127" s="100"/>
      <c r="AO127" s="100"/>
      <c r="AP127" s="100"/>
      <c r="AQ127" s="100"/>
      <c r="AR127" s="100"/>
      <c r="AS127" s="100"/>
      <c r="AT127" s="100"/>
      <c r="AU127" s="100"/>
      <c r="AV127" s="100"/>
      <c r="AW127" s="100"/>
      <c r="AX127" s="100"/>
      <c r="AY127" s="100"/>
      <c r="AZ127" s="100"/>
      <c r="BA127" s="100"/>
      <c r="BB127" s="100"/>
      <c r="BC127" s="100"/>
      <c r="BD127" s="100"/>
      <c r="BE127" s="100"/>
      <c r="BF127" s="100"/>
      <c r="BG127" s="100"/>
      <c r="BH127" s="100"/>
      <c r="BI127" s="100"/>
      <c r="BJ127" s="100"/>
      <c r="BK127" s="100"/>
      <c r="BL127" s="100"/>
      <c r="BM127" s="100"/>
      <c r="BN127" s="100"/>
      <c r="BO127" s="100"/>
      <c r="BP127" s="100"/>
      <c r="BQ127" s="100"/>
      <c r="BR127" s="100"/>
      <c r="BS127" s="100"/>
      <c r="BT127" s="100"/>
      <c r="BU127" s="100"/>
      <c r="BV127" s="100"/>
      <c r="BW127" s="100"/>
      <c r="BX127" s="100"/>
      <c r="BY127" s="100"/>
      <c r="BZ127" s="100"/>
      <c r="CA127" s="100"/>
      <c r="CB127" s="100"/>
      <c r="CC127" s="100"/>
      <c r="CD127" s="100"/>
      <c r="CE127" s="100"/>
      <c r="CF127" s="101"/>
    </row>
    <row r="128" spans="1:84" s="83" customFormat="1" ht="26" customHeight="1" x14ac:dyDescent="0.25">
      <c r="A128" s="526" t="s">
        <v>90</v>
      </c>
      <c r="B128" s="526" t="s">
        <v>88</v>
      </c>
      <c r="C128" s="541">
        <v>150</v>
      </c>
      <c r="D128" s="526" t="s">
        <v>190</v>
      </c>
      <c r="E128" s="526" t="s">
        <v>1218</v>
      </c>
      <c r="F128" s="526" t="s">
        <v>182</v>
      </c>
      <c r="G128" s="172">
        <v>46063</v>
      </c>
      <c r="H128" s="173" t="s">
        <v>202</v>
      </c>
      <c r="I128" s="84" t="s">
        <v>203</v>
      </c>
      <c r="J128" s="84" t="s">
        <v>204</v>
      </c>
      <c r="K128" s="84" t="s">
        <v>193</v>
      </c>
      <c r="L128" s="84" t="str">
        <f t="shared" si="58"/>
        <v>GATE VALVE 3/4" 150# NPT, BB-OS&amp;Y, B148</v>
      </c>
      <c r="M128" s="174">
        <v>2</v>
      </c>
      <c r="N128" s="174"/>
      <c r="O128" s="174"/>
      <c r="P128" s="174"/>
      <c r="Q128" s="174"/>
      <c r="R128" s="172">
        <v>46165</v>
      </c>
      <c r="S128" s="172">
        <v>46234</v>
      </c>
      <c r="T128" s="172"/>
      <c r="U128" s="172"/>
      <c r="V128" s="172"/>
      <c r="W128" s="172"/>
      <c r="X128" s="172"/>
      <c r="Y128" s="172"/>
      <c r="Z128" s="172"/>
      <c r="AA128" s="86"/>
      <c r="AB128" s="86"/>
      <c r="AC128" s="86"/>
      <c r="AD128" s="86"/>
      <c r="AE128" s="99"/>
      <c r="AF128" s="100"/>
      <c r="AG128" s="100"/>
      <c r="AH128" s="100"/>
      <c r="AI128" s="100"/>
      <c r="AJ128" s="100"/>
      <c r="AK128" s="100"/>
      <c r="AL128" s="100"/>
      <c r="AM128" s="100"/>
      <c r="AN128" s="100"/>
      <c r="AO128" s="100"/>
      <c r="AP128" s="100"/>
      <c r="AQ128" s="100"/>
      <c r="AR128" s="100"/>
      <c r="AS128" s="100"/>
      <c r="AT128" s="100"/>
      <c r="AU128" s="100"/>
      <c r="AV128" s="100"/>
      <c r="AW128" s="100"/>
      <c r="AX128" s="100"/>
      <c r="AY128" s="100"/>
      <c r="AZ128" s="100"/>
      <c r="BA128" s="100"/>
      <c r="BB128" s="100"/>
      <c r="BC128" s="100"/>
      <c r="BD128" s="100"/>
      <c r="BE128" s="100"/>
      <c r="BF128" s="100"/>
      <c r="BG128" s="100"/>
      <c r="BH128" s="100"/>
      <c r="BI128" s="100"/>
      <c r="BJ128" s="100"/>
      <c r="BK128" s="100"/>
      <c r="BL128" s="100"/>
      <c r="BM128" s="100"/>
      <c r="BN128" s="100"/>
      <c r="BO128" s="100"/>
      <c r="BP128" s="100"/>
      <c r="BQ128" s="100"/>
      <c r="BR128" s="100"/>
      <c r="BS128" s="100"/>
      <c r="BT128" s="100"/>
      <c r="BU128" s="100"/>
      <c r="BV128" s="100"/>
      <c r="BW128" s="100"/>
      <c r="BX128" s="100"/>
      <c r="BY128" s="100"/>
      <c r="BZ128" s="100"/>
      <c r="CA128" s="100"/>
      <c r="CB128" s="100"/>
      <c r="CC128" s="100"/>
      <c r="CD128" s="100"/>
      <c r="CE128" s="100"/>
      <c r="CF128" s="101"/>
    </row>
    <row r="129" spans="1:84" s="83" customFormat="1" ht="26" customHeight="1" x14ac:dyDescent="0.25">
      <c r="A129" s="526" t="s">
        <v>90</v>
      </c>
      <c r="B129" s="526" t="s">
        <v>191</v>
      </c>
      <c r="C129" s="541">
        <v>150</v>
      </c>
      <c r="D129" s="526" t="s">
        <v>190</v>
      </c>
      <c r="E129" s="526" t="s">
        <v>1218</v>
      </c>
      <c r="F129" s="526" t="s">
        <v>182</v>
      </c>
      <c r="G129" s="172">
        <v>46063</v>
      </c>
      <c r="H129" s="173" t="s">
        <v>202</v>
      </c>
      <c r="I129" s="84" t="s">
        <v>203</v>
      </c>
      <c r="J129" s="84" t="s">
        <v>204</v>
      </c>
      <c r="K129" s="84" t="s">
        <v>193</v>
      </c>
      <c r="L129" s="84" t="str">
        <f t="shared" si="58"/>
        <v>GATE VALVE 1-1/2" 150# NPT, BB-OS&amp;Y, B148</v>
      </c>
      <c r="M129" s="174">
        <v>2</v>
      </c>
      <c r="N129" s="174"/>
      <c r="O129" s="174"/>
      <c r="P129" s="174"/>
      <c r="Q129" s="174"/>
      <c r="R129" s="172">
        <v>46165</v>
      </c>
      <c r="S129" s="172">
        <v>46234</v>
      </c>
      <c r="T129" s="172"/>
      <c r="U129" s="172"/>
      <c r="V129" s="172"/>
      <c r="W129" s="172"/>
      <c r="X129" s="172"/>
      <c r="Y129" s="172"/>
      <c r="Z129" s="172"/>
      <c r="AA129" s="86"/>
      <c r="AB129" s="86"/>
      <c r="AC129" s="86"/>
      <c r="AD129" s="86"/>
      <c r="AE129" s="99"/>
      <c r="AF129" s="100"/>
      <c r="AG129" s="100"/>
      <c r="AH129" s="100"/>
      <c r="AI129" s="100"/>
      <c r="AJ129" s="100"/>
      <c r="AK129" s="100"/>
      <c r="AL129" s="100"/>
      <c r="AM129" s="100"/>
      <c r="AN129" s="100"/>
      <c r="AO129" s="100"/>
      <c r="AP129" s="100"/>
      <c r="AQ129" s="100"/>
      <c r="AR129" s="100"/>
      <c r="AS129" s="100"/>
      <c r="AT129" s="100"/>
      <c r="AU129" s="100"/>
      <c r="AV129" s="100"/>
      <c r="AW129" s="100"/>
      <c r="AX129" s="100"/>
      <c r="AY129" s="100"/>
      <c r="AZ129" s="100"/>
      <c r="BA129" s="100"/>
      <c r="BB129" s="100"/>
      <c r="BC129" s="100"/>
      <c r="BD129" s="100"/>
      <c r="BE129" s="100"/>
      <c r="BF129" s="100"/>
      <c r="BG129" s="100"/>
      <c r="BH129" s="100"/>
      <c r="BI129" s="100"/>
      <c r="BJ129" s="100"/>
      <c r="BK129" s="100"/>
      <c r="BL129" s="100"/>
      <c r="BM129" s="100"/>
      <c r="BN129" s="100"/>
      <c r="BO129" s="100"/>
      <c r="BP129" s="100"/>
      <c r="BQ129" s="100"/>
      <c r="BR129" s="100"/>
      <c r="BS129" s="100"/>
      <c r="BT129" s="100"/>
      <c r="BU129" s="100"/>
      <c r="BV129" s="100"/>
      <c r="BW129" s="100"/>
      <c r="BX129" s="100"/>
      <c r="BY129" s="100"/>
      <c r="BZ129" s="100"/>
      <c r="CA129" s="100"/>
      <c r="CB129" s="100"/>
      <c r="CC129" s="100"/>
      <c r="CD129" s="100"/>
      <c r="CE129" s="100"/>
      <c r="CF129" s="101"/>
    </row>
    <row r="130" spans="1:84" s="83" customFormat="1" ht="26" customHeight="1" x14ac:dyDescent="0.25">
      <c r="A130" s="526" t="s">
        <v>90</v>
      </c>
      <c r="B130" s="526" t="s">
        <v>86</v>
      </c>
      <c r="C130" s="541">
        <v>150</v>
      </c>
      <c r="D130" s="526" t="s">
        <v>190</v>
      </c>
      <c r="E130" s="526" t="s">
        <v>1218</v>
      </c>
      <c r="F130" s="526" t="s">
        <v>182</v>
      </c>
      <c r="G130" s="172">
        <v>46063</v>
      </c>
      <c r="H130" s="173" t="s">
        <v>202</v>
      </c>
      <c r="I130" s="84" t="s">
        <v>203</v>
      </c>
      <c r="J130" s="84" t="s">
        <v>204</v>
      </c>
      <c r="K130" s="84" t="s">
        <v>193</v>
      </c>
      <c r="L130" s="84" t="str">
        <f t="shared" si="58"/>
        <v>GATE VALVE 2" 150# NPT, BB-OS&amp;Y, B148</v>
      </c>
      <c r="M130" s="174">
        <v>1</v>
      </c>
      <c r="N130" s="174"/>
      <c r="O130" s="174"/>
      <c r="P130" s="174"/>
      <c r="Q130" s="174"/>
      <c r="R130" s="172">
        <v>46165</v>
      </c>
      <c r="S130" s="172">
        <v>46234</v>
      </c>
      <c r="T130" s="172"/>
      <c r="U130" s="172"/>
      <c r="V130" s="172"/>
      <c r="W130" s="172"/>
      <c r="X130" s="172"/>
      <c r="Y130" s="172"/>
      <c r="Z130" s="172"/>
      <c r="AA130" s="86"/>
      <c r="AB130" s="86"/>
      <c r="AC130" s="86"/>
      <c r="AD130" s="86"/>
      <c r="AE130" s="99"/>
      <c r="AF130" s="100"/>
      <c r="AG130" s="100"/>
      <c r="AH130" s="100"/>
      <c r="AI130" s="100"/>
      <c r="AJ130" s="100"/>
      <c r="AK130" s="100"/>
      <c r="AL130" s="100"/>
      <c r="AM130" s="100"/>
      <c r="AN130" s="100"/>
      <c r="AO130" s="100"/>
      <c r="AP130" s="100"/>
      <c r="AQ130" s="100"/>
      <c r="AR130" s="100"/>
      <c r="AS130" s="100"/>
      <c r="AT130" s="100"/>
      <c r="AU130" s="100"/>
      <c r="AV130" s="100"/>
      <c r="AW130" s="100"/>
      <c r="AX130" s="100"/>
      <c r="AY130" s="100"/>
      <c r="AZ130" s="100"/>
      <c r="BA130" s="100"/>
      <c r="BB130" s="100"/>
      <c r="BC130" s="100"/>
      <c r="BD130" s="100"/>
      <c r="BE130" s="100"/>
      <c r="BF130" s="100"/>
      <c r="BG130" s="100"/>
      <c r="BH130" s="100"/>
      <c r="BI130" s="100"/>
      <c r="BJ130" s="100"/>
      <c r="BK130" s="100"/>
      <c r="BL130" s="100"/>
      <c r="BM130" s="100"/>
      <c r="BN130" s="100"/>
      <c r="BO130" s="100"/>
      <c r="BP130" s="100"/>
      <c r="BQ130" s="100"/>
      <c r="BR130" s="100"/>
      <c r="BS130" s="100"/>
      <c r="BT130" s="100"/>
      <c r="BU130" s="100"/>
      <c r="BV130" s="100"/>
      <c r="BW130" s="100"/>
      <c r="BX130" s="100"/>
      <c r="BY130" s="100"/>
      <c r="BZ130" s="100"/>
      <c r="CA130" s="100"/>
      <c r="CB130" s="100"/>
      <c r="CC130" s="100"/>
      <c r="CD130" s="100"/>
      <c r="CE130" s="100"/>
      <c r="CF130" s="101"/>
    </row>
    <row r="131" spans="1:84" s="83" customFormat="1" ht="26" customHeight="1" x14ac:dyDescent="0.25">
      <c r="A131" s="526" t="s">
        <v>189</v>
      </c>
      <c r="B131" s="526" t="s">
        <v>84</v>
      </c>
      <c r="C131" s="541">
        <v>150</v>
      </c>
      <c r="D131" s="526" t="s">
        <v>81</v>
      </c>
      <c r="E131" s="526" t="s">
        <v>231</v>
      </c>
      <c r="F131" s="526" t="s">
        <v>107</v>
      </c>
      <c r="G131" s="172">
        <v>46063</v>
      </c>
      <c r="H131" s="173" t="s">
        <v>202</v>
      </c>
      <c r="I131" s="84" t="s">
        <v>203</v>
      </c>
      <c r="J131" s="84" t="s">
        <v>204</v>
      </c>
      <c r="K131" s="84" t="s">
        <v>194</v>
      </c>
      <c r="L131" s="84" t="str">
        <f t="shared" si="58"/>
        <v>BUTTERFLY VALVE 4" 150# RF, WAFER TYPE, A216</v>
      </c>
      <c r="M131" s="174">
        <v>2</v>
      </c>
      <c r="N131" s="174"/>
      <c r="O131" s="174"/>
      <c r="P131" s="174"/>
      <c r="Q131" s="174"/>
      <c r="R131" s="172">
        <v>46165</v>
      </c>
      <c r="S131" s="172">
        <v>46234</v>
      </c>
      <c r="T131" s="172"/>
      <c r="U131" s="172"/>
      <c r="V131" s="172"/>
      <c r="W131" s="172"/>
      <c r="X131" s="172"/>
      <c r="Y131" s="172"/>
      <c r="Z131" s="172"/>
      <c r="AA131" s="86"/>
      <c r="AB131" s="86"/>
      <c r="AC131" s="86"/>
      <c r="AD131" s="86"/>
      <c r="AE131" s="99"/>
      <c r="AF131" s="100"/>
      <c r="AG131" s="100"/>
      <c r="AH131" s="100"/>
      <c r="AI131" s="100"/>
      <c r="AJ131" s="100"/>
      <c r="AK131" s="100"/>
      <c r="AL131" s="100"/>
      <c r="AM131" s="100"/>
      <c r="AN131" s="100"/>
      <c r="AO131" s="100"/>
      <c r="AP131" s="100"/>
      <c r="AQ131" s="100"/>
      <c r="AR131" s="100"/>
      <c r="AS131" s="100"/>
      <c r="AT131" s="100"/>
      <c r="AU131" s="100"/>
      <c r="AV131" s="100"/>
      <c r="AW131" s="100"/>
      <c r="AX131" s="100"/>
      <c r="AY131" s="100"/>
      <c r="AZ131" s="100"/>
      <c r="BA131" s="100"/>
      <c r="BB131" s="100"/>
      <c r="BC131" s="100"/>
      <c r="BD131" s="100"/>
      <c r="BE131" s="100"/>
      <c r="BF131" s="100"/>
      <c r="BG131" s="100"/>
      <c r="BH131" s="100"/>
      <c r="BI131" s="100"/>
      <c r="BJ131" s="100"/>
      <c r="BK131" s="100"/>
      <c r="BL131" s="100"/>
      <c r="BM131" s="100"/>
      <c r="BN131" s="100"/>
      <c r="BO131" s="100"/>
      <c r="BP131" s="100"/>
      <c r="BQ131" s="100"/>
      <c r="BR131" s="100"/>
      <c r="BS131" s="100"/>
      <c r="BT131" s="100"/>
      <c r="BU131" s="100"/>
      <c r="BV131" s="100"/>
      <c r="BW131" s="100"/>
      <c r="BX131" s="100"/>
      <c r="BY131" s="100"/>
      <c r="BZ131" s="100"/>
      <c r="CA131" s="100"/>
      <c r="CB131" s="100"/>
      <c r="CC131" s="100"/>
      <c r="CD131" s="100"/>
      <c r="CE131" s="100"/>
      <c r="CF131" s="101"/>
    </row>
    <row r="132" spans="1:84" s="83" customFormat="1" ht="26" customHeight="1" x14ac:dyDescent="0.25">
      <c r="A132" s="526" t="s">
        <v>78</v>
      </c>
      <c r="B132" s="526" t="s">
        <v>195</v>
      </c>
      <c r="C132" s="541">
        <v>150</v>
      </c>
      <c r="D132" s="526" t="s">
        <v>81</v>
      </c>
      <c r="E132" s="526" t="s">
        <v>205</v>
      </c>
      <c r="F132" s="526" t="s">
        <v>105</v>
      </c>
      <c r="G132" s="172">
        <v>46059</v>
      </c>
      <c r="H132" s="173" t="s">
        <v>196</v>
      </c>
      <c r="I132" s="84" t="s">
        <v>197</v>
      </c>
      <c r="J132" s="84" t="s">
        <v>198</v>
      </c>
      <c r="K132" s="84" t="s">
        <v>199</v>
      </c>
      <c r="L132" s="84" t="str">
        <f t="shared" si="58"/>
        <v>BALL VALVE 24" 150# RF, CARBON STEEL, A105</v>
      </c>
      <c r="M132" s="174">
        <v>2</v>
      </c>
      <c r="N132" s="174"/>
      <c r="O132" s="174"/>
      <c r="P132" s="174"/>
      <c r="Q132" s="174"/>
      <c r="R132" s="172">
        <v>46216</v>
      </c>
      <c r="S132" s="172">
        <v>46234</v>
      </c>
      <c r="T132" s="172"/>
      <c r="U132" s="172"/>
      <c r="V132" s="172"/>
      <c r="W132" s="172"/>
      <c r="X132" s="172"/>
      <c r="Y132" s="172"/>
      <c r="Z132" s="172"/>
      <c r="AA132" s="86"/>
      <c r="AB132" s="86"/>
      <c r="AC132" s="86"/>
      <c r="AD132" s="86"/>
      <c r="AE132" s="99"/>
      <c r="AF132" s="100"/>
      <c r="AG132" s="100"/>
      <c r="AH132" s="100"/>
      <c r="AI132" s="100"/>
      <c r="AJ132" s="100"/>
      <c r="AK132" s="100"/>
      <c r="AL132" s="100"/>
      <c r="AM132" s="100"/>
      <c r="AN132" s="100"/>
      <c r="AO132" s="100"/>
      <c r="AP132" s="100"/>
      <c r="AQ132" s="100"/>
      <c r="AR132" s="100"/>
      <c r="AS132" s="100"/>
      <c r="AT132" s="100"/>
      <c r="AU132" s="100"/>
      <c r="AV132" s="100"/>
      <c r="AW132" s="100"/>
      <c r="AX132" s="100"/>
      <c r="AY132" s="100"/>
      <c r="AZ132" s="100"/>
      <c r="BA132" s="100"/>
      <c r="BB132" s="100"/>
      <c r="BC132" s="100"/>
      <c r="BD132" s="100"/>
      <c r="BE132" s="100"/>
      <c r="BF132" s="100"/>
      <c r="BG132" s="100"/>
      <c r="BH132" s="100"/>
      <c r="BI132" s="100"/>
      <c r="BJ132" s="100"/>
      <c r="BK132" s="100"/>
      <c r="BL132" s="100"/>
      <c r="BM132" s="100"/>
      <c r="BN132" s="100"/>
      <c r="BO132" s="100"/>
      <c r="BP132" s="100"/>
      <c r="BQ132" s="100"/>
      <c r="BR132" s="100"/>
      <c r="BS132" s="100"/>
      <c r="BT132" s="100"/>
      <c r="BU132" s="100"/>
      <c r="BV132" s="100"/>
      <c r="BW132" s="100"/>
      <c r="BX132" s="100"/>
      <c r="BY132" s="100"/>
      <c r="BZ132" s="100"/>
      <c r="CA132" s="100"/>
      <c r="CB132" s="100"/>
      <c r="CC132" s="100"/>
      <c r="CD132" s="100"/>
      <c r="CE132" s="100"/>
      <c r="CF132" s="101"/>
    </row>
    <row r="133" spans="1:84" s="83" customFormat="1" ht="26" customHeight="1" x14ac:dyDescent="0.25">
      <c r="A133" s="526" t="s">
        <v>90</v>
      </c>
      <c r="B133" s="526" t="s">
        <v>118</v>
      </c>
      <c r="C133" s="541">
        <v>150</v>
      </c>
      <c r="D133" s="526" t="s">
        <v>81</v>
      </c>
      <c r="E133" s="526" t="s">
        <v>1218</v>
      </c>
      <c r="F133" s="526" t="s">
        <v>107</v>
      </c>
      <c r="G133" s="172">
        <v>46063</v>
      </c>
      <c r="H133" s="173" t="s">
        <v>206</v>
      </c>
      <c r="I133" s="84" t="s">
        <v>207</v>
      </c>
      <c r="J133" s="84" t="s">
        <v>208</v>
      </c>
      <c r="K133" s="84" t="s">
        <v>125</v>
      </c>
      <c r="L133" s="84" t="str">
        <f t="shared" si="58"/>
        <v>GATE VALVE 16" 150# RF, BB-OS&amp;Y, A216</v>
      </c>
      <c r="M133" s="174">
        <v>1</v>
      </c>
      <c r="N133" s="174"/>
      <c r="O133" s="174"/>
      <c r="P133" s="174"/>
      <c r="Q133" s="174"/>
      <c r="R133" s="172">
        <v>46188</v>
      </c>
      <c r="S133" s="172">
        <v>46234</v>
      </c>
      <c r="T133" s="172"/>
      <c r="U133" s="172"/>
      <c r="V133" s="172"/>
      <c r="W133" s="172"/>
      <c r="X133" s="172"/>
      <c r="Y133" s="172"/>
      <c r="Z133" s="172"/>
      <c r="AA133" s="86"/>
      <c r="AB133" s="86"/>
      <c r="AC133" s="86"/>
      <c r="AD133" s="86"/>
      <c r="AE133" s="99"/>
      <c r="AF133" s="100"/>
      <c r="AG133" s="100"/>
      <c r="AH133" s="100"/>
      <c r="AI133" s="100"/>
      <c r="AJ133" s="100"/>
      <c r="AK133" s="100"/>
      <c r="AL133" s="100"/>
      <c r="AM133" s="100"/>
      <c r="AN133" s="100"/>
      <c r="AO133" s="100"/>
      <c r="AP133" s="100"/>
      <c r="AQ133" s="100"/>
      <c r="AR133" s="100"/>
      <c r="AS133" s="100"/>
      <c r="AT133" s="100"/>
      <c r="AU133" s="100"/>
      <c r="AV133" s="100"/>
      <c r="AW133" s="100"/>
      <c r="AX133" s="100"/>
      <c r="AY133" s="100"/>
      <c r="AZ133" s="100"/>
      <c r="BA133" s="100"/>
      <c r="BB133" s="100"/>
      <c r="BC133" s="100"/>
      <c r="BD133" s="100"/>
      <c r="BE133" s="100"/>
      <c r="BF133" s="100"/>
      <c r="BG133" s="100"/>
      <c r="BH133" s="100"/>
      <c r="BI133" s="100"/>
      <c r="BJ133" s="100"/>
      <c r="BK133" s="100"/>
      <c r="BL133" s="100"/>
      <c r="BM133" s="100"/>
      <c r="BN133" s="100"/>
      <c r="BO133" s="100"/>
      <c r="BP133" s="100"/>
      <c r="BQ133" s="100"/>
      <c r="BR133" s="100"/>
      <c r="BS133" s="100"/>
      <c r="BT133" s="100"/>
      <c r="BU133" s="100"/>
      <c r="BV133" s="100"/>
      <c r="BW133" s="100"/>
      <c r="BX133" s="100"/>
      <c r="BY133" s="100"/>
      <c r="BZ133" s="100"/>
      <c r="CA133" s="100"/>
      <c r="CB133" s="100"/>
      <c r="CC133" s="100"/>
      <c r="CD133" s="100"/>
      <c r="CE133" s="100"/>
      <c r="CF133" s="101"/>
    </row>
    <row r="134" spans="1:84" s="83" customFormat="1" ht="26" customHeight="1" x14ac:dyDescent="0.25">
      <c r="A134" s="526" t="s">
        <v>90</v>
      </c>
      <c r="B134" s="526" t="s">
        <v>80</v>
      </c>
      <c r="C134" s="541">
        <v>150</v>
      </c>
      <c r="D134" s="526" t="s">
        <v>81</v>
      </c>
      <c r="E134" s="526" t="s">
        <v>1218</v>
      </c>
      <c r="F134" s="526" t="s">
        <v>107</v>
      </c>
      <c r="G134" s="172">
        <v>46063</v>
      </c>
      <c r="H134" s="173" t="s">
        <v>206</v>
      </c>
      <c r="I134" s="84" t="s">
        <v>207</v>
      </c>
      <c r="J134" s="84" t="s">
        <v>208</v>
      </c>
      <c r="K134" s="84" t="s">
        <v>91</v>
      </c>
      <c r="L134" s="84" t="str">
        <f t="shared" si="58"/>
        <v>GATE VALVE 10" 150# RF, BB-OS&amp;Y, A216</v>
      </c>
      <c r="M134" s="174">
        <v>1</v>
      </c>
      <c r="N134" s="174"/>
      <c r="O134" s="174"/>
      <c r="P134" s="174"/>
      <c r="Q134" s="174"/>
      <c r="R134" s="172">
        <v>46188</v>
      </c>
      <c r="S134" s="172">
        <v>46234</v>
      </c>
      <c r="T134" s="172"/>
      <c r="U134" s="172"/>
      <c r="V134" s="172"/>
      <c r="W134" s="172"/>
      <c r="X134" s="172"/>
      <c r="Y134" s="172"/>
      <c r="Z134" s="172"/>
      <c r="AA134" s="86"/>
      <c r="AB134" s="86"/>
      <c r="AC134" s="86"/>
      <c r="AD134" s="86"/>
      <c r="AE134" s="99"/>
      <c r="AF134" s="100"/>
      <c r="AG134" s="100"/>
      <c r="AH134" s="100"/>
      <c r="AI134" s="100"/>
      <c r="AJ134" s="100"/>
      <c r="AK134" s="100"/>
      <c r="AL134" s="100"/>
      <c r="AM134" s="100"/>
      <c r="AN134" s="100"/>
      <c r="AO134" s="100"/>
      <c r="AP134" s="100"/>
      <c r="AQ134" s="100"/>
      <c r="AR134" s="100"/>
      <c r="AS134" s="100"/>
      <c r="AT134" s="100"/>
      <c r="AU134" s="100"/>
      <c r="AV134" s="100"/>
      <c r="AW134" s="100"/>
      <c r="AX134" s="100"/>
      <c r="AY134" s="100"/>
      <c r="AZ134" s="100"/>
      <c r="BA134" s="100"/>
      <c r="BB134" s="100"/>
      <c r="BC134" s="100"/>
      <c r="BD134" s="100"/>
      <c r="BE134" s="100"/>
      <c r="BF134" s="100"/>
      <c r="BG134" s="100"/>
      <c r="BH134" s="100"/>
      <c r="BI134" s="100"/>
      <c r="BJ134" s="100"/>
      <c r="BK134" s="100"/>
      <c r="BL134" s="100"/>
      <c r="BM134" s="100"/>
      <c r="BN134" s="100"/>
      <c r="BO134" s="100"/>
      <c r="BP134" s="100"/>
      <c r="BQ134" s="100"/>
      <c r="BR134" s="100"/>
      <c r="BS134" s="100"/>
      <c r="BT134" s="100"/>
      <c r="BU134" s="100"/>
      <c r="BV134" s="100"/>
      <c r="BW134" s="100"/>
      <c r="BX134" s="100"/>
      <c r="BY134" s="100"/>
      <c r="BZ134" s="100"/>
      <c r="CA134" s="100"/>
      <c r="CB134" s="100"/>
      <c r="CC134" s="100"/>
      <c r="CD134" s="100"/>
      <c r="CE134" s="100"/>
      <c r="CF134" s="101"/>
    </row>
    <row r="135" spans="1:84" s="83" customFormat="1" ht="26" customHeight="1" x14ac:dyDescent="0.25">
      <c r="A135" s="526" t="s">
        <v>90</v>
      </c>
      <c r="B135" s="526" t="s">
        <v>84</v>
      </c>
      <c r="C135" s="541">
        <v>150</v>
      </c>
      <c r="D135" s="526" t="s">
        <v>81</v>
      </c>
      <c r="E135" s="526" t="s">
        <v>1218</v>
      </c>
      <c r="F135" s="526" t="s">
        <v>107</v>
      </c>
      <c r="G135" s="172">
        <v>46063</v>
      </c>
      <c r="H135" s="173" t="s">
        <v>206</v>
      </c>
      <c r="I135" s="84" t="s">
        <v>207</v>
      </c>
      <c r="J135" s="84" t="s">
        <v>208</v>
      </c>
      <c r="K135" s="84" t="s">
        <v>91</v>
      </c>
      <c r="L135" s="84" t="str">
        <f t="shared" ref="L135:L198" si="59">IF(A135="","",A135&amp;" VALVE "&amp;B135&amp;" "&amp;C135&amp;"# "&amp;D135&amp;", "&amp;E135&amp;", "&amp;F135)</f>
        <v>GATE VALVE 4" 150# RF, BB-OS&amp;Y, A216</v>
      </c>
      <c r="M135" s="174">
        <v>1</v>
      </c>
      <c r="N135" s="174"/>
      <c r="O135" s="174"/>
      <c r="P135" s="174"/>
      <c r="Q135" s="174"/>
      <c r="R135" s="172">
        <v>46188</v>
      </c>
      <c r="S135" s="172">
        <v>46234</v>
      </c>
      <c r="T135" s="172"/>
      <c r="U135" s="172"/>
      <c r="V135" s="172"/>
      <c r="W135" s="172"/>
      <c r="X135" s="172"/>
      <c r="Y135" s="172"/>
      <c r="Z135" s="172"/>
      <c r="AA135" s="86"/>
      <c r="AB135" s="86"/>
      <c r="AC135" s="86"/>
      <c r="AD135" s="86"/>
      <c r="AE135" s="99"/>
      <c r="AF135" s="100"/>
      <c r="AG135" s="100"/>
      <c r="AH135" s="100"/>
      <c r="AI135" s="100"/>
      <c r="AJ135" s="100"/>
      <c r="AK135" s="100"/>
      <c r="AL135" s="100"/>
      <c r="AM135" s="100"/>
      <c r="AN135" s="100"/>
      <c r="AO135" s="100"/>
      <c r="AP135" s="100"/>
      <c r="AQ135" s="100"/>
      <c r="AR135" s="100"/>
      <c r="AS135" s="100"/>
      <c r="AT135" s="100"/>
      <c r="AU135" s="100"/>
      <c r="AV135" s="100"/>
      <c r="AW135" s="100"/>
      <c r="AX135" s="100"/>
      <c r="AY135" s="100"/>
      <c r="AZ135" s="100"/>
      <c r="BA135" s="100"/>
      <c r="BB135" s="100"/>
      <c r="BC135" s="100"/>
      <c r="BD135" s="100"/>
      <c r="BE135" s="100"/>
      <c r="BF135" s="100"/>
      <c r="BG135" s="100"/>
      <c r="BH135" s="100"/>
      <c r="BI135" s="100"/>
      <c r="BJ135" s="100"/>
      <c r="BK135" s="100"/>
      <c r="BL135" s="100"/>
      <c r="BM135" s="100"/>
      <c r="BN135" s="100"/>
      <c r="BO135" s="100"/>
      <c r="BP135" s="100"/>
      <c r="BQ135" s="100"/>
      <c r="BR135" s="100"/>
      <c r="BS135" s="100"/>
      <c r="BT135" s="100"/>
      <c r="BU135" s="100"/>
      <c r="BV135" s="100"/>
      <c r="BW135" s="100"/>
      <c r="BX135" s="100"/>
      <c r="BY135" s="100"/>
      <c r="BZ135" s="100"/>
      <c r="CA135" s="100"/>
      <c r="CB135" s="100"/>
      <c r="CC135" s="100"/>
      <c r="CD135" s="100"/>
      <c r="CE135" s="100"/>
      <c r="CF135" s="101"/>
    </row>
    <row r="136" spans="1:84" s="83" customFormat="1" ht="26" customHeight="1" x14ac:dyDescent="0.25">
      <c r="A136" s="526" t="s">
        <v>90</v>
      </c>
      <c r="B136" s="526" t="s">
        <v>84</v>
      </c>
      <c r="C136" s="541">
        <v>150</v>
      </c>
      <c r="D136" s="526" t="s">
        <v>81</v>
      </c>
      <c r="E136" s="526" t="s">
        <v>1218</v>
      </c>
      <c r="F136" s="526" t="s">
        <v>107</v>
      </c>
      <c r="G136" s="172">
        <v>46063</v>
      </c>
      <c r="H136" s="173" t="s">
        <v>206</v>
      </c>
      <c r="I136" s="84" t="s">
        <v>207</v>
      </c>
      <c r="J136" s="84" t="s">
        <v>208</v>
      </c>
      <c r="K136" s="84" t="s">
        <v>91</v>
      </c>
      <c r="L136" s="84" t="str">
        <f t="shared" si="59"/>
        <v>GATE VALVE 4" 150# RF, BB-OS&amp;Y, A216</v>
      </c>
      <c r="M136" s="174">
        <v>1</v>
      </c>
      <c r="N136" s="174"/>
      <c r="O136" s="174"/>
      <c r="P136" s="174"/>
      <c r="Q136" s="174"/>
      <c r="R136" s="172">
        <v>46188</v>
      </c>
      <c r="S136" s="172">
        <v>46234</v>
      </c>
      <c r="T136" s="172"/>
      <c r="U136" s="172"/>
      <c r="V136" s="172"/>
      <c r="W136" s="172"/>
      <c r="X136" s="172"/>
      <c r="Y136" s="172"/>
      <c r="Z136" s="172"/>
      <c r="AA136" s="86"/>
      <c r="AB136" s="86"/>
      <c r="AC136" s="86"/>
      <c r="AD136" s="86"/>
      <c r="AE136" s="99"/>
      <c r="AF136" s="100"/>
      <c r="AG136" s="100"/>
      <c r="AH136" s="100"/>
      <c r="AI136" s="100"/>
      <c r="AJ136" s="100"/>
      <c r="AK136" s="100"/>
      <c r="AL136" s="100"/>
      <c r="AM136" s="100"/>
      <c r="AN136" s="100"/>
      <c r="AO136" s="100"/>
      <c r="AP136" s="100"/>
      <c r="AQ136" s="100"/>
      <c r="AR136" s="100"/>
      <c r="AS136" s="100"/>
      <c r="AT136" s="100"/>
      <c r="AU136" s="100"/>
      <c r="AV136" s="100"/>
      <c r="AW136" s="100"/>
      <c r="AX136" s="100"/>
      <c r="AY136" s="100"/>
      <c r="AZ136" s="100"/>
      <c r="BA136" s="100"/>
      <c r="BB136" s="100"/>
      <c r="BC136" s="100"/>
      <c r="BD136" s="100"/>
      <c r="BE136" s="100"/>
      <c r="BF136" s="100"/>
      <c r="BG136" s="100"/>
      <c r="BH136" s="100"/>
      <c r="BI136" s="100"/>
      <c r="BJ136" s="100"/>
      <c r="BK136" s="100"/>
      <c r="BL136" s="100"/>
      <c r="BM136" s="100"/>
      <c r="BN136" s="100"/>
      <c r="BO136" s="100"/>
      <c r="BP136" s="100"/>
      <c r="BQ136" s="100"/>
      <c r="BR136" s="100"/>
      <c r="BS136" s="100"/>
      <c r="BT136" s="100"/>
      <c r="BU136" s="100"/>
      <c r="BV136" s="100"/>
      <c r="BW136" s="100"/>
      <c r="BX136" s="100"/>
      <c r="BY136" s="100"/>
      <c r="BZ136" s="100"/>
      <c r="CA136" s="100"/>
      <c r="CB136" s="100"/>
      <c r="CC136" s="100"/>
      <c r="CD136" s="100"/>
      <c r="CE136" s="100"/>
      <c r="CF136" s="101"/>
    </row>
    <row r="137" spans="1:84" s="83" customFormat="1" ht="26" customHeight="1" x14ac:dyDescent="0.25">
      <c r="A137" s="526" t="s">
        <v>90</v>
      </c>
      <c r="B137" s="526" t="s">
        <v>86</v>
      </c>
      <c r="C137" s="541">
        <v>150</v>
      </c>
      <c r="D137" s="526" t="s">
        <v>81</v>
      </c>
      <c r="E137" s="526" t="s">
        <v>1218</v>
      </c>
      <c r="F137" s="526" t="s">
        <v>107</v>
      </c>
      <c r="G137" s="172">
        <v>46063</v>
      </c>
      <c r="H137" s="173" t="s">
        <v>206</v>
      </c>
      <c r="I137" s="84" t="s">
        <v>207</v>
      </c>
      <c r="J137" s="84" t="s">
        <v>208</v>
      </c>
      <c r="K137" s="84" t="s">
        <v>91</v>
      </c>
      <c r="L137" s="84" t="str">
        <f t="shared" si="59"/>
        <v>GATE VALVE 2" 150# RF, BB-OS&amp;Y, A216</v>
      </c>
      <c r="M137" s="174">
        <v>4</v>
      </c>
      <c r="N137" s="174"/>
      <c r="O137" s="174"/>
      <c r="P137" s="174"/>
      <c r="Q137" s="174"/>
      <c r="R137" s="172">
        <v>46188</v>
      </c>
      <c r="S137" s="172">
        <v>46234</v>
      </c>
      <c r="T137" s="172"/>
      <c r="U137" s="172"/>
      <c r="V137" s="172"/>
      <c r="W137" s="172"/>
      <c r="X137" s="172"/>
      <c r="Y137" s="172"/>
      <c r="Z137" s="172"/>
      <c r="AA137" s="86"/>
      <c r="AB137" s="86"/>
      <c r="AC137" s="86"/>
      <c r="AD137" s="86"/>
      <c r="AE137" s="99"/>
      <c r="AF137" s="100"/>
      <c r="AG137" s="100"/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100"/>
      <c r="AY137" s="100"/>
      <c r="AZ137" s="100"/>
      <c r="BA137" s="100"/>
      <c r="BB137" s="100"/>
      <c r="BC137" s="100"/>
      <c r="BD137" s="100"/>
      <c r="BE137" s="100"/>
      <c r="BF137" s="100"/>
      <c r="BG137" s="100"/>
      <c r="BH137" s="100"/>
      <c r="BI137" s="100"/>
      <c r="BJ137" s="100"/>
      <c r="BK137" s="100"/>
      <c r="BL137" s="100"/>
      <c r="BM137" s="100"/>
      <c r="BN137" s="100"/>
      <c r="BO137" s="100"/>
      <c r="BP137" s="100"/>
      <c r="BQ137" s="100"/>
      <c r="BR137" s="100"/>
      <c r="BS137" s="100"/>
      <c r="BT137" s="100"/>
      <c r="BU137" s="100"/>
      <c r="BV137" s="100"/>
      <c r="BW137" s="100"/>
      <c r="BX137" s="100"/>
      <c r="BY137" s="100"/>
      <c r="BZ137" s="100"/>
      <c r="CA137" s="100"/>
      <c r="CB137" s="100"/>
      <c r="CC137" s="100"/>
      <c r="CD137" s="100"/>
      <c r="CE137" s="100"/>
      <c r="CF137" s="101"/>
    </row>
    <row r="138" spans="1:84" s="83" customFormat="1" ht="26" customHeight="1" x14ac:dyDescent="0.25">
      <c r="A138" s="526" t="s">
        <v>90</v>
      </c>
      <c r="B138" s="526" t="s">
        <v>82</v>
      </c>
      <c r="C138" s="541">
        <v>150</v>
      </c>
      <c r="D138" s="526" t="s">
        <v>81</v>
      </c>
      <c r="E138" s="526" t="s">
        <v>1218</v>
      </c>
      <c r="F138" s="526" t="s">
        <v>107</v>
      </c>
      <c r="G138" s="172">
        <v>46063</v>
      </c>
      <c r="H138" s="173" t="s">
        <v>206</v>
      </c>
      <c r="I138" s="84" t="s">
        <v>207</v>
      </c>
      <c r="J138" s="84" t="s">
        <v>208</v>
      </c>
      <c r="K138" s="84" t="s">
        <v>91</v>
      </c>
      <c r="L138" s="84" t="str">
        <f t="shared" si="59"/>
        <v>GATE VALVE 6" 150# RF, BB-OS&amp;Y, A216</v>
      </c>
      <c r="M138" s="174">
        <v>2</v>
      </c>
      <c r="N138" s="174"/>
      <c r="O138" s="174"/>
      <c r="P138" s="174"/>
      <c r="Q138" s="174"/>
      <c r="R138" s="172">
        <v>46188</v>
      </c>
      <c r="S138" s="172">
        <v>46234</v>
      </c>
      <c r="T138" s="172"/>
      <c r="U138" s="172"/>
      <c r="V138" s="172"/>
      <c r="W138" s="172"/>
      <c r="X138" s="172"/>
      <c r="Y138" s="172"/>
      <c r="Z138" s="172"/>
      <c r="AA138" s="86"/>
      <c r="AB138" s="86"/>
      <c r="AC138" s="86"/>
      <c r="AD138" s="86"/>
      <c r="AE138" s="99"/>
      <c r="AF138" s="100"/>
      <c r="AG138" s="100"/>
      <c r="AH138" s="100"/>
      <c r="AI138" s="100"/>
      <c r="AJ138" s="100"/>
      <c r="AK138" s="100"/>
      <c r="AL138" s="100"/>
      <c r="AM138" s="100"/>
      <c r="AN138" s="100"/>
      <c r="AO138" s="100"/>
      <c r="AP138" s="100"/>
      <c r="AQ138" s="100"/>
      <c r="AR138" s="100"/>
      <c r="AS138" s="100"/>
      <c r="AT138" s="100"/>
      <c r="AU138" s="100"/>
      <c r="AV138" s="100"/>
      <c r="AW138" s="100"/>
      <c r="AX138" s="100"/>
      <c r="AY138" s="100"/>
      <c r="AZ138" s="100"/>
      <c r="BA138" s="100"/>
      <c r="BB138" s="100"/>
      <c r="BC138" s="100"/>
      <c r="BD138" s="100"/>
      <c r="BE138" s="100"/>
      <c r="BF138" s="100"/>
      <c r="BG138" s="100"/>
      <c r="BH138" s="100"/>
      <c r="BI138" s="100"/>
      <c r="BJ138" s="100"/>
      <c r="BK138" s="100"/>
      <c r="BL138" s="100"/>
      <c r="BM138" s="100"/>
      <c r="BN138" s="100"/>
      <c r="BO138" s="100"/>
      <c r="BP138" s="100"/>
      <c r="BQ138" s="100"/>
      <c r="BR138" s="100"/>
      <c r="BS138" s="100"/>
      <c r="BT138" s="100"/>
      <c r="BU138" s="100"/>
      <c r="BV138" s="100"/>
      <c r="BW138" s="100"/>
      <c r="BX138" s="100"/>
      <c r="BY138" s="100"/>
      <c r="BZ138" s="100"/>
      <c r="CA138" s="100"/>
      <c r="CB138" s="100"/>
      <c r="CC138" s="100"/>
      <c r="CD138" s="100"/>
      <c r="CE138" s="100"/>
      <c r="CF138" s="101"/>
    </row>
    <row r="139" spans="1:84" s="83" customFormat="1" ht="26" customHeight="1" x14ac:dyDescent="0.25">
      <c r="A139" s="526" t="s">
        <v>90</v>
      </c>
      <c r="B139" s="526" t="s">
        <v>120</v>
      </c>
      <c r="C139" s="541">
        <v>150</v>
      </c>
      <c r="D139" s="526" t="s">
        <v>81</v>
      </c>
      <c r="E139" s="526" t="s">
        <v>1218</v>
      </c>
      <c r="F139" s="526" t="s">
        <v>107</v>
      </c>
      <c r="G139" s="172">
        <v>46063</v>
      </c>
      <c r="H139" s="173" t="s">
        <v>206</v>
      </c>
      <c r="I139" s="84" t="s">
        <v>207</v>
      </c>
      <c r="J139" s="84" t="s">
        <v>208</v>
      </c>
      <c r="K139" s="84" t="s">
        <v>91</v>
      </c>
      <c r="L139" s="84" t="str">
        <f t="shared" si="59"/>
        <v>GATE VALVE 8" 150# RF, BB-OS&amp;Y, A216</v>
      </c>
      <c r="M139" s="174">
        <v>1</v>
      </c>
      <c r="N139" s="174"/>
      <c r="O139" s="174"/>
      <c r="P139" s="174"/>
      <c r="Q139" s="174"/>
      <c r="R139" s="172">
        <v>46188</v>
      </c>
      <c r="S139" s="172">
        <v>46234</v>
      </c>
      <c r="T139" s="172"/>
      <c r="U139" s="172"/>
      <c r="V139" s="172"/>
      <c r="W139" s="172"/>
      <c r="X139" s="172"/>
      <c r="Y139" s="172"/>
      <c r="Z139" s="172"/>
      <c r="AA139" s="86"/>
      <c r="AB139" s="86"/>
      <c r="AC139" s="86"/>
      <c r="AD139" s="86"/>
      <c r="AE139" s="99"/>
      <c r="AF139" s="100"/>
      <c r="AG139" s="100"/>
      <c r="AH139" s="100"/>
      <c r="AI139" s="100"/>
      <c r="AJ139" s="100"/>
      <c r="AK139" s="100"/>
      <c r="AL139" s="100"/>
      <c r="AM139" s="100"/>
      <c r="AN139" s="100"/>
      <c r="AO139" s="100"/>
      <c r="AP139" s="100"/>
      <c r="AQ139" s="100"/>
      <c r="AR139" s="100"/>
      <c r="AS139" s="100"/>
      <c r="AT139" s="100"/>
      <c r="AU139" s="100"/>
      <c r="AV139" s="100"/>
      <c r="AW139" s="100"/>
      <c r="AX139" s="100"/>
      <c r="AY139" s="100"/>
      <c r="AZ139" s="100"/>
      <c r="BA139" s="100"/>
      <c r="BB139" s="100"/>
      <c r="BC139" s="100"/>
      <c r="BD139" s="100"/>
      <c r="BE139" s="100"/>
      <c r="BF139" s="100"/>
      <c r="BG139" s="100"/>
      <c r="BH139" s="100"/>
      <c r="BI139" s="100"/>
      <c r="BJ139" s="100"/>
      <c r="BK139" s="100"/>
      <c r="BL139" s="100"/>
      <c r="BM139" s="100"/>
      <c r="BN139" s="100"/>
      <c r="BO139" s="100"/>
      <c r="BP139" s="100"/>
      <c r="BQ139" s="100"/>
      <c r="BR139" s="100"/>
      <c r="BS139" s="100"/>
      <c r="BT139" s="100"/>
      <c r="BU139" s="100"/>
      <c r="BV139" s="100"/>
      <c r="BW139" s="100"/>
      <c r="BX139" s="100"/>
      <c r="BY139" s="100"/>
      <c r="BZ139" s="100"/>
      <c r="CA139" s="100"/>
      <c r="CB139" s="100"/>
      <c r="CC139" s="100"/>
      <c r="CD139" s="100"/>
      <c r="CE139" s="100"/>
      <c r="CF139" s="101"/>
    </row>
    <row r="140" spans="1:84" s="83" customFormat="1" ht="26" customHeight="1" x14ac:dyDescent="0.25">
      <c r="A140" s="526" t="s">
        <v>78</v>
      </c>
      <c r="B140" s="526" t="s">
        <v>191</v>
      </c>
      <c r="C140" s="541">
        <v>150</v>
      </c>
      <c r="D140" s="526" t="s">
        <v>81</v>
      </c>
      <c r="E140" s="526" t="s">
        <v>109</v>
      </c>
      <c r="F140" s="526" t="s">
        <v>142</v>
      </c>
      <c r="G140" s="172">
        <v>46063</v>
      </c>
      <c r="H140" s="173" t="s">
        <v>206</v>
      </c>
      <c r="I140" s="84" t="s">
        <v>207</v>
      </c>
      <c r="J140" s="84" t="s">
        <v>208</v>
      </c>
      <c r="K140" s="84" t="s">
        <v>200</v>
      </c>
      <c r="L140" s="84" t="str">
        <f t="shared" si="59"/>
        <v>BALL VALVE 1-1/2" 150# RF, FLOATING, A105N</v>
      </c>
      <c r="M140" s="174">
        <v>2</v>
      </c>
      <c r="N140" s="174"/>
      <c r="O140" s="174"/>
      <c r="P140" s="174"/>
      <c r="Q140" s="174"/>
      <c r="R140" s="172">
        <v>46188</v>
      </c>
      <c r="S140" s="172">
        <v>46234</v>
      </c>
      <c r="T140" s="172"/>
      <c r="U140" s="172"/>
      <c r="V140" s="172"/>
      <c r="W140" s="172"/>
      <c r="X140" s="172"/>
      <c r="Y140" s="172"/>
      <c r="Z140" s="172"/>
      <c r="AA140" s="86"/>
      <c r="AB140" s="86"/>
      <c r="AC140" s="86"/>
      <c r="AD140" s="86"/>
      <c r="AE140" s="99"/>
      <c r="AF140" s="100"/>
      <c r="AG140" s="100"/>
      <c r="AH140" s="100"/>
      <c r="AI140" s="100"/>
      <c r="AJ140" s="100"/>
      <c r="AK140" s="100"/>
      <c r="AL140" s="100"/>
      <c r="AM140" s="100"/>
      <c r="AN140" s="100"/>
      <c r="AO140" s="100"/>
      <c r="AP140" s="100"/>
      <c r="AQ140" s="100"/>
      <c r="AR140" s="100"/>
      <c r="AS140" s="100"/>
      <c r="AT140" s="100"/>
      <c r="AU140" s="100"/>
      <c r="AV140" s="100"/>
      <c r="AW140" s="100"/>
      <c r="AX140" s="100"/>
      <c r="AY140" s="100"/>
      <c r="AZ140" s="100"/>
      <c r="BA140" s="100"/>
      <c r="BB140" s="100"/>
      <c r="BC140" s="100"/>
      <c r="BD140" s="100"/>
      <c r="BE140" s="100"/>
      <c r="BF140" s="100"/>
      <c r="BG140" s="100"/>
      <c r="BH140" s="100"/>
      <c r="BI140" s="100"/>
      <c r="BJ140" s="100"/>
      <c r="BK140" s="100"/>
      <c r="BL140" s="100"/>
      <c r="BM140" s="100"/>
      <c r="BN140" s="100"/>
      <c r="BO140" s="100"/>
      <c r="BP140" s="100"/>
      <c r="BQ140" s="100"/>
      <c r="BR140" s="100"/>
      <c r="BS140" s="100"/>
      <c r="BT140" s="100"/>
      <c r="BU140" s="100"/>
      <c r="BV140" s="100"/>
      <c r="BW140" s="100"/>
      <c r="BX140" s="100"/>
      <c r="BY140" s="100"/>
      <c r="BZ140" s="100"/>
      <c r="CA140" s="100"/>
      <c r="CB140" s="100"/>
      <c r="CC140" s="100"/>
      <c r="CD140" s="100"/>
      <c r="CE140" s="100"/>
      <c r="CF140" s="101"/>
    </row>
    <row r="141" spans="1:84" s="83" customFormat="1" ht="26" customHeight="1" x14ac:dyDescent="0.25">
      <c r="A141" s="526" t="s">
        <v>78</v>
      </c>
      <c r="B141" s="526" t="s">
        <v>86</v>
      </c>
      <c r="C141" s="541">
        <v>150</v>
      </c>
      <c r="D141" s="526" t="s">
        <v>81</v>
      </c>
      <c r="E141" s="526" t="s">
        <v>109</v>
      </c>
      <c r="F141" s="526" t="s">
        <v>142</v>
      </c>
      <c r="G141" s="172">
        <v>46063</v>
      </c>
      <c r="H141" s="173" t="s">
        <v>206</v>
      </c>
      <c r="I141" s="84" t="s">
        <v>207</v>
      </c>
      <c r="J141" s="84" t="s">
        <v>208</v>
      </c>
      <c r="K141" s="84" t="s">
        <v>200</v>
      </c>
      <c r="L141" s="84" t="str">
        <f t="shared" si="59"/>
        <v>BALL VALVE 2" 150# RF, FLOATING, A105N</v>
      </c>
      <c r="M141" s="174">
        <v>3</v>
      </c>
      <c r="N141" s="174"/>
      <c r="O141" s="174"/>
      <c r="P141" s="174"/>
      <c r="Q141" s="174"/>
      <c r="R141" s="172">
        <v>46188</v>
      </c>
      <c r="S141" s="172">
        <v>46234</v>
      </c>
      <c r="T141" s="172"/>
      <c r="U141" s="172"/>
      <c r="V141" s="172"/>
      <c r="W141" s="172"/>
      <c r="X141" s="172"/>
      <c r="Y141" s="172"/>
      <c r="Z141" s="172"/>
      <c r="AA141" s="86"/>
      <c r="AB141" s="86"/>
      <c r="AC141" s="86"/>
      <c r="AD141" s="86"/>
      <c r="AE141" s="99"/>
      <c r="AF141" s="100"/>
      <c r="AG141" s="100"/>
      <c r="AH141" s="100"/>
      <c r="AI141" s="100"/>
      <c r="AJ141" s="100"/>
      <c r="AK141" s="100"/>
      <c r="AL141" s="100"/>
      <c r="AM141" s="100"/>
      <c r="AN141" s="100"/>
      <c r="AO141" s="100"/>
      <c r="AP141" s="100"/>
      <c r="AQ141" s="100"/>
      <c r="AR141" s="100"/>
      <c r="AS141" s="100"/>
      <c r="AT141" s="100"/>
      <c r="AU141" s="100"/>
      <c r="AV141" s="100"/>
      <c r="AW141" s="100"/>
      <c r="AX141" s="100"/>
      <c r="AY141" s="100"/>
      <c r="AZ141" s="100"/>
      <c r="BA141" s="100"/>
      <c r="BB141" s="100"/>
      <c r="BC141" s="100"/>
      <c r="BD141" s="100"/>
      <c r="BE141" s="100"/>
      <c r="BF141" s="100"/>
      <c r="BG141" s="100"/>
      <c r="BH141" s="100"/>
      <c r="BI141" s="100"/>
      <c r="BJ141" s="100"/>
      <c r="BK141" s="100"/>
      <c r="BL141" s="100"/>
      <c r="BM141" s="100"/>
      <c r="BN141" s="100"/>
      <c r="BO141" s="100"/>
      <c r="BP141" s="100"/>
      <c r="BQ141" s="100"/>
      <c r="BR141" s="100"/>
      <c r="BS141" s="100"/>
      <c r="BT141" s="100"/>
      <c r="BU141" s="100"/>
      <c r="BV141" s="100"/>
      <c r="BW141" s="100"/>
      <c r="BX141" s="100"/>
      <c r="BY141" s="100"/>
      <c r="BZ141" s="100"/>
      <c r="CA141" s="100"/>
      <c r="CB141" s="100"/>
      <c r="CC141" s="100"/>
      <c r="CD141" s="100"/>
      <c r="CE141" s="100"/>
      <c r="CF141" s="101"/>
    </row>
    <row r="142" spans="1:84" s="83" customFormat="1" ht="26" customHeight="1" x14ac:dyDescent="0.25">
      <c r="A142" s="526" t="s">
        <v>78</v>
      </c>
      <c r="B142" s="526" t="s">
        <v>89</v>
      </c>
      <c r="C142" s="541">
        <v>800</v>
      </c>
      <c r="D142" s="526" t="s">
        <v>106</v>
      </c>
      <c r="E142" s="526" t="s">
        <v>109</v>
      </c>
      <c r="F142" s="526" t="s">
        <v>142</v>
      </c>
      <c r="G142" s="172">
        <v>46063</v>
      </c>
      <c r="H142" s="173" t="s">
        <v>206</v>
      </c>
      <c r="I142" s="84" t="s">
        <v>207</v>
      </c>
      <c r="J142" s="84" t="s">
        <v>208</v>
      </c>
      <c r="K142" s="84" t="s">
        <v>123</v>
      </c>
      <c r="L142" s="84" t="str">
        <f t="shared" si="59"/>
        <v>BALL VALVE 1/2" 800# SW, FLOATING, A105N</v>
      </c>
      <c r="M142" s="174">
        <v>2</v>
      </c>
      <c r="N142" s="174"/>
      <c r="O142" s="174"/>
      <c r="P142" s="174"/>
      <c r="Q142" s="174"/>
      <c r="R142" s="172">
        <v>46188</v>
      </c>
      <c r="S142" s="172">
        <v>46234</v>
      </c>
      <c r="T142" s="172"/>
      <c r="U142" s="172"/>
      <c r="V142" s="172"/>
      <c r="W142" s="172"/>
      <c r="X142" s="172"/>
      <c r="Y142" s="172"/>
      <c r="Z142" s="172"/>
      <c r="AA142" s="86"/>
      <c r="AB142" s="86"/>
      <c r="AC142" s="86"/>
      <c r="AD142" s="86"/>
      <c r="AE142" s="99"/>
      <c r="AF142" s="100"/>
      <c r="AG142" s="100"/>
      <c r="AH142" s="100"/>
      <c r="AI142" s="100"/>
      <c r="AJ142" s="100"/>
      <c r="AK142" s="100"/>
      <c r="AL142" s="100"/>
      <c r="AM142" s="100"/>
      <c r="AN142" s="100"/>
      <c r="AO142" s="100"/>
      <c r="AP142" s="100"/>
      <c r="AQ142" s="100"/>
      <c r="AR142" s="100"/>
      <c r="AS142" s="100"/>
      <c r="AT142" s="100"/>
      <c r="AU142" s="100"/>
      <c r="AV142" s="100"/>
      <c r="AW142" s="100"/>
      <c r="AX142" s="100"/>
      <c r="AY142" s="100"/>
      <c r="AZ142" s="100"/>
      <c r="BA142" s="100"/>
      <c r="BB142" s="100"/>
      <c r="BC142" s="100"/>
      <c r="BD142" s="100"/>
      <c r="BE142" s="100"/>
      <c r="BF142" s="100"/>
      <c r="BG142" s="100"/>
      <c r="BH142" s="100"/>
      <c r="BI142" s="100"/>
      <c r="BJ142" s="100"/>
      <c r="BK142" s="100"/>
      <c r="BL142" s="100"/>
      <c r="BM142" s="100"/>
      <c r="BN142" s="100"/>
      <c r="BO142" s="100"/>
      <c r="BP142" s="100"/>
      <c r="BQ142" s="100"/>
      <c r="BR142" s="100"/>
      <c r="BS142" s="100"/>
      <c r="BT142" s="100"/>
      <c r="BU142" s="100"/>
      <c r="BV142" s="100"/>
      <c r="BW142" s="100"/>
      <c r="BX142" s="100"/>
      <c r="BY142" s="100"/>
      <c r="BZ142" s="100"/>
      <c r="CA142" s="100"/>
      <c r="CB142" s="100"/>
      <c r="CC142" s="100"/>
      <c r="CD142" s="100"/>
      <c r="CE142" s="100"/>
      <c r="CF142" s="101"/>
    </row>
    <row r="143" spans="1:84" s="83" customFormat="1" ht="26" customHeight="1" x14ac:dyDescent="0.25">
      <c r="A143" s="526" t="s">
        <v>78</v>
      </c>
      <c r="B143" s="526" t="s">
        <v>89</v>
      </c>
      <c r="C143" s="541">
        <v>800</v>
      </c>
      <c r="D143" s="526" t="s">
        <v>106</v>
      </c>
      <c r="E143" s="526" t="s">
        <v>109</v>
      </c>
      <c r="F143" s="526" t="s">
        <v>142</v>
      </c>
      <c r="G143" s="172">
        <v>46063</v>
      </c>
      <c r="H143" s="173" t="s">
        <v>206</v>
      </c>
      <c r="I143" s="84" t="s">
        <v>207</v>
      </c>
      <c r="J143" s="84" t="s">
        <v>208</v>
      </c>
      <c r="K143" s="84" t="s">
        <v>123</v>
      </c>
      <c r="L143" s="84" t="str">
        <f t="shared" si="59"/>
        <v>BALL VALVE 1/2" 800# SW, FLOATING, A105N</v>
      </c>
      <c r="M143" s="174">
        <v>3</v>
      </c>
      <c r="N143" s="174"/>
      <c r="O143" s="174"/>
      <c r="P143" s="174"/>
      <c r="Q143" s="174"/>
      <c r="R143" s="172">
        <v>46188</v>
      </c>
      <c r="S143" s="172">
        <v>46234</v>
      </c>
      <c r="T143" s="172"/>
      <c r="U143" s="172"/>
      <c r="V143" s="172"/>
      <c r="W143" s="172"/>
      <c r="X143" s="172"/>
      <c r="Y143" s="172"/>
      <c r="Z143" s="172"/>
      <c r="AA143" s="86"/>
      <c r="AB143" s="86"/>
      <c r="AC143" s="86"/>
      <c r="AD143" s="86"/>
      <c r="AE143" s="99"/>
      <c r="AF143" s="100"/>
      <c r="AG143" s="100"/>
      <c r="AH143" s="100"/>
      <c r="AI143" s="100"/>
      <c r="AJ143" s="100"/>
      <c r="AK143" s="100"/>
      <c r="AL143" s="100"/>
      <c r="AM143" s="100"/>
      <c r="AN143" s="100"/>
      <c r="AO143" s="100"/>
      <c r="AP143" s="100"/>
      <c r="AQ143" s="100"/>
      <c r="AR143" s="100"/>
      <c r="AS143" s="100"/>
      <c r="AT143" s="100"/>
      <c r="AU143" s="100"/>
      <c r="AV143" s="100"/>
      <c r="AW143" s="100"/>
      <c r="AX143" s="100"/>
      <c r="AY143" s="100"/>
      <c r="AZ143" s="100"/>
      <c r="BA143" s="100"/>
      <c r="BB143" s="100"/>
      <c r="BC143" s="100"/>
      <c r="BD143" s="100"/>
      <c r="BE143" s="100"/>
      <c r="BF143" s="100"/>
      <c r="BG143" s="100"/>
      <c r="BH143" s="100"/>
      <c r="BI143" s="100"/>
      <c r="BJ143" s="100"/>
      <c r="BK143" s="100"/>
      <c r="BL143" s="100"/>
      <c r="BM143" s="100"/>
      <c r="BN143" s="100"/>
      <c r="BO143" s="100"/>
      <c r="BP143" s="100"/>
      <c r="BQ143" s="100"/>
      <c r="BR143" s="100"/>
      <c r="BS143" s="100"/>
      <c r="BT143" s="100"/>
      <c r="BU143" s="100"/>
      <c r="BV143" s="100"/>
      <c r="BW143" s="100"/>
      <c r="BX143" s="100"/>
      <c r="BY143" s="100"/>
      <c r="BZ143" s="100"/>
      <c r="CA143" s="100"/>
      <c r="CB143" s="100"/>
      <c r="CC143" s="100"/>
      <c r="CD143" s="100"/>
      <c r="CE143" s="100"/>
      <c r="CF143" s="101"/>
    </row>
    <row r="144" spans="1:84" s="83" customFormat="1" ht="26" customHeight="1" x14ac:dyDescent="0.25">
      <c r="A144" s="526" t="s">
        <v>143</v>
      </c>
      <c r="B144" s="526" t="s">
        <v>84</v>
      </c>
      <c r="C144" s="541">
        <v>150</v>
      </c>
      <c r="D144" s="526" t="s">
        <v>81</v>
      </c>
      <c r="E144" s="526" t="s">
        <v>1217</v>
      </c>
      <c r="F144" s="526" t="s">
        <v>107</v>
      </c>
      <c r="G144" s="172">
        <v>46063</v>
      </c>
      <c r="H144" s="173" t="s">
        <v>206</v>
      </c>
      <c r="I144" s="84" t="s">
        <v>207</v>
      </c>
      <c r="J144" s="84" t="s">
        <v>208</v>
      </c>
      <c r="K144" s="84" t="s">
        <v>201</v>
      </c>
      <c r="L144" s="84" t="str">
        <f t="shared" si="59"/>
        <v>Y-STRAINER VALVE 4" 150# RF, REGULAR, A216</v>
      </c>
      <c r="M144" s="174">
        <v>2</v>
      </c>
      <c r="N144" s="174"/>
      <c r="O144" s="174"/>
      <c r="P144" s="174"/>
      <c r="Q144" s="174"/>
      <c r="R144" s="172">
        <v>46188</v>
      </c>
      <c r="S144" s="172">
        <v>46234</v>
      </c>
      <c r="T144" s="172"/>
      <c r="U144" s="172"/>
      <c r="V144" s="172"/>
      <c r="W144" s="172"/>
      <c r="X144" s="172"/>
      <c r="Y144" s="172"/>
      <c r="Z144" s="172"/>
      <c r="AA144" s="86"/>
      <c r="AB144" s="86"/>
      <c r="AC144" s="86"/>
      <c r="AD144" s="86"/>
      <c r="AE144" s="99"/>
      <c r="AF144" s="100"/>
      <c r="AG144" s="100"/>
      <c r="AH144" s="100"/>
      <c r="AI144" s="100"/>
      <c r="AJ144" s="100"/>
      <c r="AK144" s="100"/>
      <c r="AL144" s="100"/>
      <c r="AM144" s="100"/>
      <c r="AN144" s="100"/>
      <c r="AO144" s="100"/>
      <c r="AP144" s="100"/>
      <c r="AQ144" s="100"/>
      <c r="AR144" s="100"/>
      <c r="AS144" s="100"/>
      <c r="AT144" s="100"/>
      <c r="AU144" s="100"/>
      <c r="AV144" s="100"/>
      <c r="AW144" s="100"/>
      <c r="AX144" s="100"/>
      <c r="AY144" s="100"/>
      <c r="AZ144" s="100"/>
      <c r="BA144" s="100"/>
      <c r="BB144" s="100"/>
      <c r="BC144" s="100"/>
      <c r="BD144" s="100"/>
      <c r="BE144" s="100"/>
      <c r="BF144" s="100"/>
      <c r="BG144" s="100"/>
      <c r="BH144" s="100"/>
      <c r="BI144" s="100"/>
      <c r="BJ144" s="100"/>
      <c r="BK144" s="100"/>
      <c r="BL144" s="100"/>
      <c r="BM144" s="100"/>
      <c r="BN144" s="100"/>
      <c r="BO144" s="100"/>
      <c r="BP144" s="100"/>
      <c r="BQ144" s="100"/>
      <c r="BR144" s="100"/>
      <c r="BS144" s="100"/>
      <c r="BT144" s="100"/>
      <c r="BU144" s="100"/>
      <c r="BV144" s="100"/>
      <c r="BW144" s="100"/>
      <c r="BX144" s="100"/>
      <c r="BY144" s="100"/>
      <c r="BZ144" s="100"/>
      <c r="CA144" s="100"/>
      <c r="CB144" s="100"/>
      <c r="CC144" s="100"/>
      <c r="CD144" s="100"/>
      <c r="CE144" s="100"/>
      <c r="CF144" s="101"/>
    </row>
    <row r="145" spans="1:84" s="83" customFormat="1" ht="26" customHeight="1" x14ac:dyDescent="0.25">
      <c r="A145" s="526" t="s">
        <v>143</v>
      </c>
      <c r="B145" s="526" t="s">
        <v>82</v>
      </c>
      <c r="C145" s="541">
        <v>150</v>
      </c>
      <c r="D145" s="526" t="s">
        <v>81</v>
      </c>
      <c r="E145" s="526" t="s">
        <v>1217</v>
      </c>
      <c r="F145" s="526" t="s">
        <v>107</v>
      </c>
      <c r="G145" s="172">
        <v>46063</v>
      </c>
      <c r="H145" s="173" t="s">
        <v>206</v>
      </c>
      <c r="I145" s="84" t="s">
        <v>207</v>
      </c>
      <c r="J145" s="84" t="s">
        <v>208</v>
      </c>
      <c r="K145" s="84" t="s">
        <v>201</v>
      </c>
      <c r="L145" s="84" t="str">
        <f t="shared" si="59"/>
        <v>Y-STRAINER VALVE 6" 150# RF, REGULAR, A216</v>
      </c>
      <c r="M145" s="174">
        <v>2</v>
      </c>
      <c r="N145" s="174"/>
      <c r="O145" s="174"/>
      <c r="P145" s="174"/>
      <c r="Q145" s="174"/>
      <c r="R145" s="172">
        <v>46188</v>
      </c>
      <c r="S145" s="172">
        <v>46234</v>
      </c>
      <c r="T145" s="172"/>
      <c r="U145" s="172"/>
      <c r="V145" s="172"/>
      <c r="W145" s="172"/>
      <c r="X145" s="172"/>
      <c r="Y145" s="172"/>
      <c r="Z145" s="172"/>
      <c r="AA145" s="86"/>
      <c r="AB145" s="86"/>
      <c r="AC145" s="86"/>
      <c r="AD145" s="86"/>
      <c r="AE145" s="99"/>
      <c r="AF145" s="100"/>
      <c r="AG145" s="100"/>
      <c r="AH145" s="100"/>
      <c r="AI145" s="100"/>
      <c r="AJ145" s="100"/>
      <c r="AK145" s="100"/>
      <c r="AL145" s="100"/>
      <c r="AM145" s="100"/>
      <c r="AN145" s="100"/>
      <c r="AO145" s="100"/>
      <c r="AP145" s="100"/>
      <c r="AQ145" s="100"/>
      <c r="AR145" s="100"/>
      <c r="AS145" s="100"/>
      <c r="AT145" s="100"/>
      <c r="AU145" s="100"/>
      <c r="AV145" s="100"/>
      <c r="AW145" s="100"/>
      <c r="AX145" s="100"/>
      <c r="AY145" s="100"/>
      <c r="AZ145" s="100"/>
      <c r="BA145" s="100"/>
      <c r="BB145" s="100"/>
      <c r="BC145" s="100"/>
      <c r="BD145" s="100"/>
      <c r="BE145" s="100"/>
      <c r="BF145" s="100"/>
      <c r="BG145" s="100"/>
      <c r="BH145" s="100"/>
      <c r="BI145" s="100"/>
      <c r="BJ145" s="100"/>
      <c r="BK145" s="100"/>
      <c r="BL145" s="100"/>
      <c r="BM145" s="100"/>
      <c r="BN145" s="100"/>
      <c r="BO145" s="100"/>
      <c r="BP145" s="100"/>
      <c r="BQ145" s="100"/>
      <c r="BR145" s="100"/>
      <c r="BS145" s="100"/>
      <c r="BT145" s="100"/>
      <c r="BU145" s="100"/>
      <c r="BV145" s="100"/>
      <c r="BW145" s="100"/>
      <c r="BX145" s="100"/>
      <c r="BY145" s="100"/>
      <c r="BZ145" s="100"/>
      <c r="CA145" s="100"/>
      <c r="CB145" s="100"/>
      <c r="CC145" s="100"/>
      <c r="CD145" s="100"/>
      <c r="CE145" s="100"/>
      <c r="CF145" s="101"/>
    </row>
    <row r="146" spans="1:84" ht="26" customHeight="1" x14ac:dyDescent="0.3">
      <c r="A146" s="460" t="s">
        <v>143</v>
      </c>
      <c r="B146" s="460" t="s">
        <v>191</v>
      </c>
      <c r="C146" s="531">
        <v>150</v>
      </c>
      <c r="D146" s="460" t="s">
        <v>81</v>
      </c>
      <c r="E146" s="460" t="s">
        <v>1217</v>
      </c>
      <c r="F146" s="460" t="s">
        <v>105</v>
      </c>
      <c r="G146" s="172">
        <v>46065</v>
      </c>
      <c r="H146" s="173" t="s">
        <v>1216</v>
      </c>
      <c r="I146" s="84" t="s">
        <v>1215</v>
      </c>
      <c r="J146" s="84" t="s">
        <v>121</v>
      </c>
      <c r="K146" s="84" t="s">
        <v>1208</v>
      </c>
      <c r="L146" s="84" t="str">
        <f t="shared" si="59"/>
        <v>Y-STRAINER VALVE 1-1/2" 150# RF, REGULAR, A105</v>
      </c>
      <c r="M146" s="174">
        <v>1</v>
      </c>
      <c r="N146" s="174"/>
      <c r="O146" s="174"/>
      <c r="P146" s="174"/>
      <c r="Q146" s="174"/>
      <c r="R146" s="172">
        <v>46223</v>
      </c>
      <c r="S146" s="172"/>
      <c r="T146" s="172"/>
      <c r="U146" s="172"/>
      <c r="V146" s="172"/>
      <c r="W146" s="172"/>
      <c r="X146" s="172"/>
      <c r="Y146" s="172"/>
      <c r="Z146" s="172"/>
      <c r="AA146" s="86"/>
      <c r="AB146" s="86"/>
      <c r="AC146" s="86"/>
      <c r="AD146" s="86"/>
    </row>
    <row r="147" spans="1:84" ht="26" customHeight="1" x14ac:dyDescent="0.3">
      <c r="A147" s="460" t="s">
        <v>143</v>
      </c>
      <c r="B147" s="460" t="s">
        <v>191</v>
      </c>
      <c r="C147" s="531">
        <v>150</v>
      </c>
      <c r="D147" s="460" t="s">
        <v>81</v>
      </c>
      <c r="E147" s="460" t="s">
        <v>1217</v>
      </c>
      <c r="F147" s="460" t="s">
        <v>105</v>
      </c>
      <c r="G147" s="172">
        <v>46065</v>
      </c>
      <c r="H147" s="173" t="s">
        <v>1216</v>
      </c>
      <c r="I147" s="84" t="s">
        <v>1215</v>
      </c>
      <c r="J147" s="84" t="s">
        <v>121</v>
      </c>
      <c r="K147" s="84" t="s">
        <v>1208</v>
      </c>
      <c r="L147" s="84" t="str">
        <f t="shared" si="59"/>
        <v>Y-STRAINER VALVE 1-1/2" 150# RF, REGULAR, A105</v>
      </c>
      <c r="M147" s="174">
        <v>1</v>
      </c>
      <c r="N147" s="174"/>
      <c r="O147" s="174"/>
      <c r="P147" s="174"/>
      <c r="Q147" s="174"/>
      <c r="R147" s="172">
        <v>46223</v>
      </c>
      <c r="S147" s="172"/>
      <c r="T147" s="172"/>
      <c r="U147" s="172"/>
      <c r="V147" s="172"/>
      <c r="W147" s="172"/>
      <c r="X147" s="172"/>
      <c r="Y147" s="172"/>
      <c r="Z147" s="172"/>
      <c r="AA147" s="86"/>
      <c r="AB147" s="86"/>
      <c r="AC147" s="86"/>
      <c r="AD147" s="86"/>
    </row>
    <row r="148" spans="1:84" ht="26" customHeight="1" x14ac:dyDescent="0.3">
      <c r="A148" s="460" t="s">
        <v>110</v>
      </c>
      <c r="B148" s="460" t="s">
        <v>80</v>
      </c>
      <c r="C148" s="531">
        <v>300</v>
      </c>
      <c r="D148" s="460" t="s">
        <v>81</v>
      </c>
      <c r="E148" s="460" t="s">
        <v>1217</v>
      </c>
      <c r="F148" s="460" t="s">
        <v>107</v>
      </c>
      <c r="G148" s="172">
        <v>46065</v>
      </c>
      <c r="H148" s="173" t="s">
        <v>1216</v>
      </c>
      <c r="I148" s="84" t="s">
        <v>1215</v>
      </c>
      <c r="J148" s="84" t="s">
        <v>121</v>
      </c>
      <c r="K148" s="84" t="s">
        <v>1209</v>
      </c>
      <c r="L148" s="84" t="str">
        <f t="shared" si="59"/>
        <v>T-STRAINER VALVE 10" 300# RF, REGULAR, A216</v>
      </c>
      <c r="M148" s="174">
        <v>1</v>
      </c>
      <c r="N148" s="174"/>
      <c r="O148" s="174"/>
      <c r="P148" s="174"/>
      <c r="Q148" s="174"/>
      <c r="R148" s="172">
        <v>46223</v>
      </c>
      <c r="S148" s="172"/>
      <c r="T148" s="172"/>
      <c r="U148" s="172"/>
      <c r="V148" s="172"/>
      <c r="W148" s="172"/>
      <c r="X148" s="172"/>
      <c r="Y148" s="172"/>
      <c r="Z148" s="172"/>
      <c r="AA148" s="86"/>
      <c r="AB148" s="86"/>
      <c r="AC148" s="86"/>
      <c r="AD148" s="86"/>
    </row>
    <row r="149" spans="1:84" ht="26" customHeight="1" x14ac:dyDescent="0.3">
      <c r="A149" s="460" t="s">
        <v>110</v>
      </c>
      <c r="B149" s="460" t="s">
        <v>80</v>
      </c>
      <c r="C149" s="531">
        <v>300</v>
      </c>
      <c r="D149" s="460" t="s">
        <v>81</v>
      </c>
      <c r="E149" s="460" t="s">
        <v>1217</v>
      </c>
      <c r="F149" s="460" t="s">
        <v>107</v>
      </c>
      <c r="G149" s="172">
        <v>46065</v>
      </c>
      <c r="H149" s="173" t="s">
        <v>1216</v>
      </c>
      <c r="I149" s="84" t="s">
        <v>1215</v>
      </c>
      <c r="J149" s="84" t="s">
        <v>121</v>
      </c>
      <c r="K149" s="84" t="s">
        <v>1209</v>
      </c>
      <c r="L149" s="84" t="str">
        <f t="shared" si="59"/>
        <v>T-STRAINER VALVE 10" 300# RF, REGULAR, A216</v>
      </c>
      <c r="M149" s="174">
        <v>1</v>
      </c>
      <c r="N149" s="174"/>
      <c r="O149" s="174"/>
      <c r="P149" s="174"/>
      <c r="Q149" s="174"/>
      <c r="R149" s="172">
        <v>46223</v>
      </c>
      <c r="S149" s="172"/>
      <c r="T149" s="172"/>
      <c r="U149" s="172"/>
      <c r="V149" s="172"/>
      <c r="W149" s="172"/>
      <c r="X149" s="172"/>
      <c r="Y149" s="172"/>
      <c r="Z149" s="172"/>
      <c r="AA149" s="86"/>
      <c r="AB149" s="86"/>
      <c r="AC149" s="86"/>
      <c r="AD149" s="86"/>
    </row>
    <row r="150" spans="1:84" ht="26" customHeight="1" x14ac:dyDescent="0.3">
      <c r="A150" s="460" t="s">
        <v>110</v>
      </c>
      <c r="B150" s="460" t="s">
        <v>84</v>
      </c>
      <c r="C150" s="531">
        <v>300</v>
      </c>
      <c r="D150" s="460" t="s">
        <v>81</v>
      </c>
      <c r="E150" s="460" t="s">
        <v>1217</v>
      </c>
      <c r="F150" s="460" t="s">
        <v>107</v>
      </c>
      <c r="G150" s="172">
        <v>46065</v>
      </c>
      <c r="H150" s="173" t="s">
        <v>1216</v>
      </c>
      <c r="I150" s="84" t="s">
        <v>1215</v>
      </c>
      <c r="J150" s="84" t="s">
        <v>121</v>
      </c>
      <c r="K150" s="84" t="s">
        <v>1209</v>
      </c>
      <c r="L150" s="84" t="str">
        <f t="shared" si="59"/>
        <v>T-STRAINER VALVE 4" 300# RF, REGULAR, A216</v>
      </c>
      <c r="M150" s="174">
        <v>1</v>
      </c>
      <c r="N150" s="174"/>
      <c r="O150" s="174"/>
      <c r="P150" s="174"/>
      <c r="Q150" s="174"/>
      <c r="R150" s="172">
        <v>46223</v>
      </c>
      <c r="S150" s="172"/>
      <c r="T150" s="172"/>
      <c r="U150" s="172"/>
      <c r="V150" s="172"/>
      <c r="W150" s="172"/>
      <c r="X150" s="172"/>
      <c r="Y150" s="172"/>
      <c r="Z150" s="172"/>
      <c r="AA150" s="86"/>
      <c r="AB150" s="86"/>
      <c r="AC150" s="86"/>
      <c r="AD150" s="86"/>
    </row>
    <row r="151" spans="1:84" ht="26" customHeight="1" x14ac:dyDescent="0.3">
      <c r="A151" s="460" t="s">
        <v>110</v>
      </c>
      <c r="B151" s="460" t="s">
        <v>84</v>
      </c>
      <c r="C151" s="531">
        <v>300</v>
      </c>
      <c r="D151" s="460" t="s">
        <v>81</v>
      </c>
      <c r="E151" s="460" t="s">
        <v>1217</v>
      </c>
      <c r="F151" s="460" t="s">
        <v>107</v>
      </c>
      <c r="G151" s="172">
        <v>46065</v>
      </c>
      <c r="H151" s="173" t="s">
        <v>1216</v>
      </c>
      <c r="I151" s="84" t="s">
        <v>1215</v>
      </c>
      <c r="J151" s="84" t="s">
        <v>121</v>
      </c>
      <c r="K151" s="84" t="s">
        <v>1209</v>
      </c>
      <c r="L151" s="84" t="str">
        <f t="shared" si="59"/>
        <v>T-STRAINER VALVE 4" 300# RF, REGULAR, A216</v>
      </c>
      <c r="M151" s="174">
        <v>1</v>
      </c>
      <c r="N151" s="174"/>
      <c r="O151" s="174"/>
      <c r="P151" s="174"/>
      <c r="Q151" s="174"/>
      <c r="R151" s="172">
        <v>46223</v>
      </c>
      <c r="S151" s="172"/>
      <c r="T151" s="172"/>
      <c r="U151" s="172"/>
      <c r="V151" s="172"/>
      <c r="W151" s="172"/>
      <c r="X151" s="172"/>
      <c r="Y151" s="172"/>
      <c r="Z151" s="172"/>
      <c r="AA151" s="86"/>
      <c r="AB151" s="86"/>
      <c r="AC151" s="86"/>
      <c r="AD151" s="86"/>
    </row>
    <row r="152" spans="1:84" ht="26" customHeight="1" x14ac:dyDescent="0.3">
      <c r="A152" s="460" t="s">
        <v>110</v>
      </c>
      <c r="B152" s="460" t="s">
        <v>84</v>
      </c>
      <c r="C152" s="531">
        <v>300</v>
      </c>
      <c r="D152" s="460" t="s">
        <v>81</v>
      </c>
      <c r="E152" s="460" t="s">
        <v>1217</v>
      </c>
      <c r="F152" s="460" t="s">
        <v>107</v>
      </c>
      <c r="G152" s="172">
        <v>46065</v>
      </c>
      <c r="H152" s="173" t="s">
        <v>1216</v>
      </c>
      <c r="I152" s="84" t="s">
        <v>1215</v>
      </c>
      <c r="J152" s="84" t="s">
        <v>121</v>
      </c>
      <c r="K152" s="84" t="s">
        <v>1209</v>
      </c>
      <c r="L152" s="84" t="str">
        <f t="shared" si="59"/>
        <v>T-STRAINER VALVE 4" 300# RF, REGULAR, A216</v>
      </c>
      <c r="M152" s="174">
        <v>1</v>
      </c>
      <c r="N152" s="174"/>
      <c r="O152" s="174"/>
      <c r="P152" s="174"/>
      <c r="Q152" s="174"/>
      <c r="R152" s="172">
        <v>46223</v>
      </c>
      <c r="S152" s="172"/>
      <c r="T152" s="172"/>
      <c r="U152" s="172"/>
      <c r="V152" s="172"/>
      <c r="W152" s="172"/>
      <c r="X152" s="172"/>
      <c r="Y152" s="172"/>
      <c r="Z152" s="172"/>
      <c r="AA152" s="86"/>
      <c r="AB152" s="86"/>
      <c r="AC152" s="86"/>
      <c r="AD152" s="86"/>
    </row>
    <row r="153" spans="1:84" ht="26" customHeight="1" x14ac:dyDescent="0.3">
      <c r="A153" s="460" t="s">
        <v>143</v>
      </c>
      <c r="B153" s="460" t="s">
        <v>85</v>
      </c>
      <c r="C153" s="531">
        <v>150</v>
      </c>
      <c r="D153" s="460" t="s">
        <v>81</v>
      </c>
      <c r="E153" s="460" t="s">
        <v>1217</v>
      </c>
      <c r="F153" s="460" t="s">
        <v>107</v>
      </c>
      <c r="G153" s="172">
        <v>46065</v>
      </c>
      <c r="H153" s="173" t="s">
        <v>1216</v>
      </c>
      <c r="I153" s="84" t="s">
        <v>1215</v>
      </c>
      <c r="J153" s="84" t="s">
        <v>121</v>
      </c>
      <c r="K153" s="84" t="s">
        <v>201</v>
      </c>
      <c r="L153" s="84" t="str">
        <f t="shared" si="59"/>
        <v>Y-STRAINER VALVE 3" 150# RF, REGULAR, A216</v>
      </c>
      <c r="M153" s="174">
        <v>1</v>
      </c>
      <c r="N153" s="174"/>
      <c r="O153" s="174"/>
      <c r="P153" s="174"/>
      <c r="Q153" s="174"/>
      <c r="R153" s="172">
        <v>46223</v>
      </c>
      <c r="S153" s="172"/>
      <c r="T153" s="172"/>
      <c r="U153" s="172"/>
      <c r="V153" s="172"/>
      <c r="W153" s="172"/>
      <c r="X153" s="172"/>
      <c r="Y153" s="172"/>
      <c r="Z153" s="172"/>
      <c r="AA153" s="86"/>
      <c r="AB153" s="86"/>
      <c r="AC153" s="86"/>
      <c r="AD153" s="86"/>
    </row>
    <row r="154" spans="1:84" ht="26" customHeight="1" x14ac:dyDescent="0.3">
      <c r="A154" s="460" t="s">
        <v>143</v>
      </c>
      <c r="B154" s="460" t="s">
        <v>85</v>
      </c>
      <c r="C154" s="531">
        <v>150</v>
      </c>
      <c r="D154" s="460" t="s">
        <v>81</v>
      </c>
      <c r="E154" s="460" t="s">
        <v>1217</v>
      </c>
      <c r="F154" s="460" t="s">
        <v>107</v>
      </c>
      <c r="G154" s="172">
        <v>46065</v>
      </c>
      <c r="H154" s="173" t="s">
        <v>1216</v>
      </c>
      <c r="I154" s="84" t="s">
        <v>1215</v>
      </c>
      <c r="J154" s="84" t="s">
        <v>121</v>
      </c>
      <c r="K154" s="84" t="s">
        <v>201</v>
      </c>
      <c r="L154" s="84" t="str">
        <f t="shared" si="59"/>
        <v>Y-STRAINER VALVE 3" 150# RF, REGULAR, A216</v>
      </c>
      <c r="M154" s="174">
        <v>1</v>
      </c>
      <c r="N154" s="174"/>
      <c r="O154" s="174"/>
      <c r="P154" s="174"/>
      <c r="Q154" s="174"/>
      <c r="R154" s="172">
        <v>46223</v>
      </c>
      <c r="S154" s="172"/>
      <c r="T154" s="172"/>
      <c r="U154" s="172"/>
      <c r="V154" s="172"/>
      <c r="W154" s="172"/>
      <c r="X154" s="172"/>
      <c r="Y154" s="172"/>
      <c r="Z154" s="172"/>
      <c r="AA154" s="86"/>
      <c r="AB154" s="86"/>
      <c r="AC154" s="86"/>
      <c r="AD154" s="86"/>
    </row>
    <row r="155" spans="1:84" ht="26" customHeight="1" x14ac:dyDescent="0.3">
      <c r="A155" s="460" t="s">
        <v>110</v>
      </c>
      <c r="B155" s="460" t="s">
        <v>84</v>
      </c>
      <c r="C155" s="531">
        <v>150</v>
      </c>
      <c r="D155" s="460" t="s">
        <v>81</v>
      </c>
      <c r="E155" s="460" t="s">
        <v>1217</v>
      </c>
      <c r="F155" s="460" t="s">
        <v>107</v>
      </c>
      <c r="G155" s="172">
        <v>46065</v>
      </c>
      <c r="H155" s="173" t="s">
        <v>1216</v>
      </c>
      <c r="I155" s="84" t="s">
        <v>1215</v>
      </c>
      <c r="J155" s="84" t="s">
        <v>121</v>
      </c>
      <c r="K155" s="84" t="s">
        <v>1211</v>
      </c>
      <c r="L155" s="84" t="str">
        <f t="shared" si="59"/>
        <v>T-STRAINER VALVE 4" 150# RF, REGULAR, A216</v>
      </c>
      <c r="M155" s="174">
        <v>1</v>
      </c>
      <c r="N155" s="174"/>
      <c r="O155" s="174"/>
      <c r="P155" s="174"/>
      <c r="Q155" s="174"/>
      <c r="R155" s="172">
        <v>46223</v>
      </c>
      <c r="S155" s="172"/>
      <c r="T155" s="172"/>
      <c r="U155" s="172"/>
      <c r="V155" s="172"/>
      <c r="W155" s="172"/>
      <c r="X155" s="172"/>
      <c r="Y155" s="172"/>
      <c r="Z155" s="172"/>
      <c r="AA155" s="86"/>
      <c r="AB155" s="86"/>
      <c r="AC155" s="86"/>
      <c r="AD155" s="86"/>
    </row>
    <row r="156" spans="1:84" ht="26" customHeight="1" x14ac:dyDescent="0.3">
      <c r="A156" s="460" t="s">
        <v>110</v>
      </c>
      <c r="B156" s="460" t="s">
        <v>84</v>
      </c>
      <c r="C156" s="531">
        <v>150</v>
      </c>
      <c r="D156" s="460" t="s">
        <v>81</v>
      </c>
      <c r="E156" s="460" t="s">
        <v>1217</v>
      </c>
      <c r="F156" s="460" t="s">
        <v>107</v>
      </c>
      <c r="G156" s="172">
        <v>46065</v>
      </c>
      <c r="H156" s="173" t="s">
        <v>1216</v>
      </c>
      <c r="I156" s="84" t="s">
        <v>1215</v>
      </c>
      <c r="J156" s="84" t="s">
        <v>121</v>
      </c>
      <c r="K156" s="84" t="s">
        <v>1211</v>
      </c>
      <c r="L156" s="84" t="str">
        <f t="shared" si="59"/>
        <v>T-STRAINER VALVE 4" 150# RF, REGULAR, A216</v>
      </c>
      <c r="M156" s="174">
        <v>1</v>
      </c>
      <c r="N156" s="174"/>
      <c r="O156" s="174"/>
      <c r="P156" s="174"/>
      <c r="Q156" s="174"/>
      <c r="R156" s="172">
        <v>46223</v>
      </c>
      <c r="S156" s="172"/>
      <c r="T156" s="172"/>
      <c r="U156" s="172"/>
      <c r="V156" s="172"/>
      <c r="W156" s="172"/>
      <c r="X156" s="172"/>
      <c r="Y156" s="172"/>
      <c r="Z156" s="172"/>
      <c r="AA156" s="86"/>
      <c r="AB156" s="86"/>
      <c r="AC156" s="86"/>
      <c r="AD156" s="86"/>
    </row>
    <row r="157" spans="1:84" ht="26" customHeight="1" x14ac:dyDescent="0.3">
      <c r="A157" s="460" t="s">
        <v>110</v>
      </c>
      <c r="B157" s="460" t="s">
        <v>84</v>
      </c>
      <c r="C157" s="531">
        <v>150</v>
      </c>
      <c r="D157" s="460" t="s">
        <v>81</v>
      </c>
      <c r="E157" s="460" t="s">
        <v>1217</v>
      </c>
      <c r="F157" s="460" t="s">
        <v>107</v>
      </c>
      <c r="G157" s="172">
        <v>46065</v>
      </c>
      <c r="H157" s="173" t="s">
        <v>1216</v>
      </c>
      <c r="I157" s="84" t="s">
        <v>1215</v>
      </c>
      <c r="J157" s="84" t="s">
        <v>121</v>
      </c>
      <c r="K157" s="84" t="s">
        <v>1211</v>
      </c>
      <c r="L157" s="84" t="str">
        <f t="shared" si="59"/>
        <v>T-STRAINER VALVE 4" 150# RF, REGULAR, A216</v>
      </c>
      <c r="M157" s="174">
        <v>1</v>
      </c>
      <c r="N157" s="174"/>
      <c r="O157" s="174"/>
      <c r="P157" s="174"/>
      <c r="Q157" s="174"/>
      <c r="R157" s="172">
        <v>46223</v>
      </c>
      <c r="S157" s="172"/>
      <c r="T157" s="172"/>
      <c r="U157" s="172"/>
      <c r="V157" s="172"/>
      <c r="W157" s="172"/>
      <c r="X157" s="172"/>
      <c r="Y157" s="172"/>
      <c r="Z157" s="172"/>
      <c r="AA157" s="86"/>
      <c r="AB157" s="86"/>
      <c r="AC157" s="86"/>
      <c r="AD157" s="86"/>
    </row>
    <row r="158" spans="1:84" ht="26" customHeight="1" x14ac:dyDescent="0.3">
      <c r="A158" s="460" t="s">
        <v>1760</v>
      </c>
      <c r="B158" s="460" t="s">
        <v>85</v>
      </c>
      <c r="C158" s="531">
        <v>300</v>
      </c>
      <c r="D158" s="460" t="s">
        <v>81</v>
      </c>
      <c r="E158" s="460" t="s">
        <v>1217</v>
      </c>
      <c r="F158" s="460" t="s">
        <v>107</v>
      </c>
      <c r="G158" s="172">
        <v>46065</v>
      </c>
      <c r="H158" s="173" t="s">
        <v>1216</v>
      </c>
      <c r="I158" s="84" t="s">
        <v>1215</v>
      </c>
      <c r="J158" s="84" t="s">
        <v>121</v>
      </c>
      <c r="K158" s="84" t="s">
        <v>1212</v>
      </c>
      <c r="L158" s="84" t="str">
        <f t="shared" si="59"/>
        <v>BUCKET-STR VALVE 3" 300# RF, REGULAR, A216</v>
      </c>
      <c r="M158" s="174">
        <v>1</v>
      </c>
      <c r="N158" s="174"/>
      <c r="O158" s="174"/>
      <c r="P158" s="174"/>
      <c r="Q158" s="174"/>
      <c r="R158" s="172">
        <v>46223</v>
      </c>
      <c r="S158" s="172"/>
      <c r="T158" s="172"/>
      <c r="U158" s="172"/>
      <c r="V158" s="172"/>
      <c r="W158" s="172"/>
      <c r="X158" s="172"/>
      <c r="Y158" s="172"/>
      <c r="Z158" s="172"/>
      <c r="AA158" s="86"/>
      <c r="AB158" s="86"/>
      <c r="AC158" s="86"/>
      <c r="AD158" s="86"/>
    </row>
    <row r="159" spans="1:84" ht="26" customHeight="1" x14ac:dyDescent="0.3">
      <c r="A159" s="460" t="s">
        <v>1760</v>
      </c>
      <c r="B159" s="460" t="s">
        <v>119</v>
      </c>
      <c r="C159" s="531">
        <v>150</v>
      </c>
      <c r="D159" s="460" t="s">
        <v>81</v>
      </c>
      <c r="E159" s="460" t="s">
        <v>1217</v>
      </c>
      <c r="F159" s="460" t="s">
        <v>107</v>
      </c>
      <c r="G159" s="172">
        <v>46065</v>
      </c>
      <c r="H159" s="173" t="s">
        <v>1216</v>
      </c>
      <c r="I159" s="84" t="s">
        <v>1215</v>
      </c>
      <c r="J159" s="84" t="s">
        <v>121</v>
      </c>
      <c r="K159" s="84" t="s">
        <v>1210</v>
      </c>
      <c r="L159" s="84" t="str">
        <f t="shared" si="59"/>
        <v>BUCKET-STR VALVE 12" 150# RF, REGULAR, A216</v>
      </c>
      <c r="M159" s="174">
        <v>1</v>
      </c>
      <c r="N159" s="174"/>
      <c r="O159" s="174"/>
      <c r="P159" s="174"/>
      <c r="Q159" s="174"/>
      <c r="R159" s="172">
        <v>46223</v>
      </c>
      <c r="S159" s="172"/>
      <c r="T159" s="172"/>
      <c r="U159" s="172"/>
      <c r="V159" s="172"/>
      <c r="W159" s="172"/>
      <c r="X159" s="172"/>
      <c r="Y159" s="172"/>
      <c r="Z159" s="172"/>
      <c r="AA159" s="86"/>
      <c r="AB159" s="86"/>
      <c r="AC159" s="86"/>
      <c r="AD159" s="86"/>
    </row>
    <row r="160" spans="1:84" ht="26" customHeight="1" x14ac:dyDescent="0.3">
      <c r="A160" s="460" t="s">
        <v>1760</v>
      </c>
      <c r="B160" s="460" t="s">
        <v>119</v>
      </c>
      <c r="C160" s="531">
        <v>150</v>
      </c>
      <c r="D160" s="460" t="s">
        <v>81</v>
      </c>
      <c r="E160" s="460" t="s">
        <v>1217</v>
      </c>
      <c r="F160" s="460" t="s">
        <v>107</v>
      </c>
      <c r="G160" s="172">
        <v>46065</v>
      </c>
      <c r="H160" s="173" t="s">
        <v>1216</v>
      </c>
      <c r="I160" s="84" t="s">
        <v>1215</v>
      </c>
      <c r="J160" s="84" t="s">
        <v>121</v>
      </c>
      <c r="K160" s="84" t="s">
        <v>1210</v>
      </c>
      <c r="L160" s="84" t="str">
        <f t="shared" si="59"/>
        <v>BUCKET-STR VALVE 12" 150# RF, REGULAR, A216</v>
      </c>
      <c r="M160" s="174">
        <v>1</v>
      </c>
      <c r="N160" s="174"/>
      <c r="O160" s="174"/>
      <c r="P160" s="174"/>
      <c r="Q160" s="174"/>
      <c r="R160" s="172">
        <v>46223</v>
      </c>
      <c r="S160" s="172"/>
      <c r="T160" s="172"/>
      <c r="U160" s="172"/>
      <c r="V160" s="172"/>
      <c r="W160" s="172"/>
      <c r="X160" s="172"/>
      <c r="Y160" s="172"/>
      <c r="Z160" s="172"/>
      <c r="AA160" s="86"/>
      <c r="AB160" s="86"/>
      <c r="AC160" s="86"/>
      <c r="AD160" s="86"/>
    </row>
    <row r="161" spans="1:30" ht="26" customHeight="1" x14ac:dyDescent="0.3">
      <c r="A161" s="460" t="s">
        <v>1760</v>
      </c>
      <c r="B161" s="460" t="s">
        <v>85</v>
      </c>
      <c r="C161" s="531">
        <v>300</v>
      </c>
      <c r="D161" s="460" t="s">
        <v>81</v>
      </c>
      <c r="E161" s="460" t="s">
        <v>1217</v>
      </c>
      <c r="F161" s="460" t="s">
        <v>107</v>
      </c>
      <c r="G161" s="172">
        <v>46065</v>
      </c>
      <c r="H161" s="173" t="s">
        <v>1216</v>
      </c>
      <c r="I161" s="84" t="s">
        <v>1215</v>
      </c>
      <c r="J161" s="84" t="s">
        <v>121</v>
      </c>
      <c r="K161" s="84" t="s">
        <v>1212</v>
      </c>
      <c r="L161" s="84" t="str">
        <f t="shared" si="59"/>
        <v>BUCKET-STR VALVE 3" 300# RF, REGULAR, A216</v>
      </c>
      <c r="M161" s="174">
        <v>1</v>
      </c>
      <c r="N161" s="174"/>
      <c r="O161" s="174"/>
      <c r="P161" s="174"/>
      <c r="Q161" s="174"/>
      <c r="R161" s="172">
        <v>46223</v>
      </c>
      <c r="S161" s="172"/>
      <c r="T161" s="172"/>
      <c r="U161" s="172"/>
      <c r="V161" s="172"/>
      <c r="W161" s="172"/>
      <c r="X161" s="172"/>
      <c r="Y161" s="172"/>
      <c r="Z161" s="172"/>
      <c r="AA161" s="86"/>
      <c r="AB161" s="86"/>
      <c r="AC161" s="86"/>
      <c r="AD161" s="86"/>
    </row>
    <row r="162" spans="1:30" ht="26" customHeight="1" x14ac:dyDescent="0.3">
      <c r="A162" s="460" t="s">
        <v>110</v>
      </c>
      <c r="B162" s="460" t="s">
        <v>80</v>
      </c>
      <c r="C162" s="531">
        <v>150</v>
      </c>
      <c r="D162" s="460" t="s">
        <v>81</v>
      </c>
      <c r="E162" s="460" t="s">
        <v>1217</v>
      </c>
      <c r="F162" s="460" t="s">
        <v>1758</v>
      </c>
      <c r="G162" s="172">
        <v>46065</v>
      </c>
      <c r="H162" s="173" t="s">
        <v>1216</v>
      </c>
      <c r="I162" s="84" t="s">
        <v>1215</v>
      </c>
      <c r="J162" s="84" t="s">
        <v>121</v>
      </c>
      <c r="K162" s="84" t="s">
        <v>1213</v>
      </c>
      <c r="L162" s="84" t="str">
        <f t="shared" si="59"/>
        <v>T-STRAINER VALVE 10" 150# RF, REGULAR, ASTM A351</v>
      </c>
      <c r="M162" s="174">
        <v>1</v>
      </c>
      <c r="N162" s="174"/>
      <c r="O162" s="174"/>
      <c r="P162" s="174"/>
      <c r="Q162" s="174"/>
      <c r="R162" s="172">
        <v>46223</v>
      </c>
      <c r="S162" s="172"/>
      <c r="T162" s="172"/>
      <c r="U162" s="172"/>
      <c r="V162" s="172"/>
      <c r="W162" s="172"/>
      <c r="X162" s="172"/>
      <c r="Y162" s="172"/>
      <c r="Z162" s="172"/>
      <c r="AA162" s="86"/>
      <c r="AB162" s="86"/>
      <c r="AC162" s="86"/>
      <c r="AD162" s="86"/>
    </row>
    <row r="163" spans="1:30" ht="26" customHeight="1" x14ac:dyDescent="0.3">
      <c r="A163" s="460" t="s">
        <v>110</v>
      </c>
      <c r="B163" s="460" t="s">
        <v>80</v>
      </c>
      <c r="C163" s="531">
        <v>150</v>
      </c>
      <c r="D163" s="460" t="s">
        <v>81</v>
      </c>
      <c r="E163" s="460" t="s">
        <v>1217</v>
      </c>
      <c r="F163" s="460" t="s">
        <v>1758</v>
      </c>
      <c r="G163" s="172">
        <v>46065</v>
      </c>
      <c r="H163" s="173" t="s">
        <v>1216</v>
      </c>
      <c r="I163" s="84" t="s">
        <v>1215</v>
      </c>
      <c r="J163" s="84" t="s">
        <v>121</v>
      </c>
      <c r="K163" s="84" t="s">
        <v>1213</v>
      </c>
      <c r="L163" s="84" t="str">
        <f t="shared" si="59"/>
        <v>T-STRAINER VALVE 10" 150# RF, REGULAR, ASTM A351</v>
      </c>
      <c r="M163" s="174">
        <v>1</v>
      </c>
      <c r="N163" s="174"/>
      <c r="O163" s="174"/>
      <c r="P163" s="174"/>
      <c r="Q163" s="174"/>
      <c r="R163" s="172">
        <v>46223</v>
      </c>
      <c r="S163" s="172"/>
      <c r="T163" s="172"/>
      <c r="U163" s="172"/>
      <c r="V163" s="172"/>
      <c r="W163" s="172"/>
      <c r="X163" s="172"/>
      <c r="Y163" s="172"/>
      <c r="Z163" s="172"/>
      <c r="AA163" s="86"/>
      <c r="AB163" s="86"/>
      <c r="AC163" s="86"/>
      <c r="AD163" s="86"/>
    </row>
    <row r="164" spans="1:30" ht="26" customHeight="1" x14ac:dyDescent="0.3">
      <c r="A164" s="460" t="s">
        <v>110</v>
      </c>
      <c r="B164" s="460" t="s">
        <v>80</v>
      </c>
      <c r="C164" s="531">
        <v>150</v>
      </c>
      <c r="D164" s="460" t="s">
        <v>81</v>
      </c>
      <c r="E164" s="460" t="s">
        <v>1217</v>
      </c>
      <c r="F164" s="460" t="s">
        <v>1758</v>
      </c>
      <c r="G164" s="172">
        <v>46065</v>
      </c>
      <c r="H164" s="173" t="s">
        <v>1216</v>
      </c>
      <c r="I164" s="84" t="s">
        <v>1215</v>
      </c>
      <c r="J164" s="84" t="s">
        <v>121</v>
      </c>
      <c r="K164" s="84" t="s">
        <v>1213</v>
      </c>
      <c r="L164" s="84" t="str">
        <f t="shared" si="59"/>
        <v>T-STRAINER VALVE 10" 150# RF, REGULAR, ASTM A351</v>
      </c>
      <c r="M164" s="174">
        <v>1</v>
      </c>
      <c r="N164" s="174"/>
      <c r="O164" s="174"/>
      <c r="P164" s="174"/>
      <c r="Q164" s="174"/>
      <c r="R164" s="172">
        <v>46223</v>
      </c>
      <c r="S164" s="172"/>
      <c r="T164" s="172"/>
      <c r="U164" s="172"/>
      <c r="V164" s="172"/>
      <c r="W164" s="172"/>
      <c r="X164" s="172"/>
      <c r="Y164" s="172"/>
      <c r="Z164" s="172"/>
      <c r="AA164" s="86"/>
      <c r="AB164" s="86"/>
      <c r="AC164" s="86"/>
      <c r="AD164" s="86"/>
    </row>
    <row r="165" spans="1:30" ht="26" customHeight="1" x14ac:dyDescent="0.3">
      <c r="A165" s="460" t="s">
        <v>110</v>
      </c>
      <c r="B165" s="460" t="s">
        <v>80</v>
      </c>
      <c r="C165" s="531">
        <v>150</v>
      </c>
      <c r="D165" s="460" t="s">
        <v>81</v>
      </c>
      <c r="E165" s="460" t="s">
        <v>1217</v>
      </c>
      <c r="F165" s="460" t="s">
        <v>1758</v>
      </c>
      <c r="G165" s="172">
        <v>46065</v>
      </c>
      <c r="H165" s="173" t="s">
        <v>1216</v>
      </c>
      <c r="I165" s="84" t="s">
        <v>1215</v>
      </c>
      <c r="J165" s="84" t="s">
        <v>121</v>
      </c>
      <c r="K165" s="84" t="s">
        <v>1213</v>
      </c>
      <c r="L165" s="84" t="str">
        <f t="shared" si="59"/>
        <v>T-STRAINER VALVE 10" 150# RF, REGULAR, ASTM A351</v>
      </c>
      <c r="M165" s="174">
        <v>1</v>
      </c>
      <c r="N165" s="174"/>
      <c r="O165" s="174"/>
      <c r="P165" s="174"/>
      <c r="Q165" s="174"/>
      <c r="R165" s="172">
        <v>46223</v>
      </c>
      <c r="S165" s="172"/>
      <c r="T165" s="172"/>
      <c r="U165" s="172"/>
      <c r="V165" s="172"/>
      <c r="W165" s="172"/>
      <c r="X165" s="172"/>
      <c r="Y165" s="172"/>
      <c r="Z165" s="172"/>
      <c r="AA165" s="86"/>
      <c r="AB165" s="86"/>
      <c r="AC165" s="86"/>
      <c r="AD165" s="86"/>
    </row>
    <row r="166" spans="1:30" ht="26" customHeight="1" x14ac:dyDescent="0.3">
      <c r="A166" s="460" t="s">
        <v>110</v>
      </c>
      <c r="B166" s="460" t="s">
        <v>80</v>
      </c>
      <c r="C166" s="531">
        <v>150</v>
      </c>
      <c r="D166" s="460" t="s">
        <v>81</v>
      </c>
      <c r="E166" s="460" t="s">
        <v>1217</v>
      </c>
      <c r="F166" s="460" t="s">
        <v>1758</v>
      </c>
      <c r="G166" s="172">
        <v>46065</v>
      </c>
      <c r="H166" s="173" t="s">
        <v>1216</v>
      </c>
      <c r="I166" s="84" t="s">
        <v>1215</v>
      </c>
      <c r="J166" s="84" t="s">
        <v>121</v>
      </c>
      <c r="K166" s="84" t="s">
        <v>1213</v>
      </c>
      <c r="L166" s="84" t="str">
        <f t="shared" si="59"/>
        <v>T-STRAINER VALVE 10" 150# RF, REGULAR, ASTM A351</v>
      </c>
      <c r="M166" s="174">
        <v>1</v>
      </c>
      <c r="N166" s="174"/>
      <c r="O166" s="174"/>
      <c r="P166" s="174"/>
      <c r="Q166" s="174"/>
      <c r="R166" s="172">
        <v>46223</v>
      </c>
      <c r="S166" s="172"/>
      <c r="T166" s="172"/>
      <c r="U166" s="172"/>
      <c r="V166" s="172"/>
      <c r="W166" s="172"/>
      <c r="X166" s="172"/>
      <c r="Y166" s="172"/>
      <c r="Z166" s="172"/>
      <c r="AA166" s="86"/>
      <c r="AB166" s="86"/>
      <c r="AC166" s="86"/>
      <c r="AD166" s="86"/>
    </row>
    <row r="167" spans="1:30" ht="26" customHeight="1" x14ac:dyDescent="0.3">
      <c r="A167" s="460" t="s">
        <v>110</v>
      </c>
      <c r="B167" s="460" t="s">
        <v>195</v>
      </c>
      <c r="C167" s="531">
        <v>150</v>
      </c>
      <c r="D167" s="460" t="s">
        <v>81</v>
      </c>
      <c r="E167" s="460" t="s">
        <v>1217</v>
      </c>
      <c r="F167" s="460" t="s">
        <v>1758</v>
      </c>
      <c r="G167" s="172">
        <v>46065</v>
      </c>
      <c r="H167" s="173" t="s">
        <v>1216</v>
      </c>
      <c r="I167" s="84" t="s">
        <v>1215</v>
      </c>
      <c r="J167" s="84" t="s">
        <v>121</v>
      </c>
      <c r="K167" s="84" t="s">
        <v>1213</v>
      </c>
      <c r="L167" s="84" t="str">
        <f t="shared" si="59"/>
        <v>T-STRAINER VALVE 24" 150# RF, REGULAR, ASTM A351</v>
      </c>
      <c r="M167" s="174">
        <v>1</v>
      </c>
      <c r="N167" s="174"/>
      <c r="O167" s="174"/>
      <c r="P167" s="174"/>
      <c r="Q167" s="174"/>
      <c r="R167" s="172">
        <v>46223</v>
      </c>
      <c r="S167" s="172"/>
      <c r="T167" s="172"/>
      <c r="U167" s="172"/>
      <c r="V167" s="172"/>
      <c r="W167" s="172"/>
      <c r="X167" s="172"/>
      <c r="Y167" s="172"/>
      <c r="Z167" s="172"/>
      <c r="AA167" s="86"/>
      <c r="AB167" s="86"/>
      <c r="AC167" s="86"/>
      <c r="AD167" s="86"/>
    </row>
    <row r="168" spans="1:30" ht="26" customHeight="1" x14ac:dyDescent="0.3">
      <c r="A168" s="460" t="s">
        <v>110</v>
      </c>
      <c r="B168" s="460" t="s">
        <v>195</v>
      </c>
      <c r="C168" s="531">
        <v>150</v>
      </c>
      <c r="D168" s="460" t="s">
        <v>81</v>
      </c>
      <c r="E168" s="460" t="s">
        <v>1217</v>
      </c>
      <c r="F168" s="460" t="s">
        <v>1758</v>
      </c>
      <c r="G168" s="172">
        <v>46065</v>
      </c>
      <c r="H168" s="173" t="s">
        <v>1216</v>
      </c>
      <c r="I168" s="84" t="s">
        <v>1215</v>
      </c>
      <c r="J168" s="84" t="s">
        <v>121</v>
      </c>
      <c r="K168" s="84" t="s">
        <v>1213</v>
      </c>
      <c r="L168" s="84" t="str">
        <f t="shared" si="59"/>
        <v>T-STRAINER VALVE 24" 150# RF, REGULAR, ASTM A351</v>
      </c>
      <c r="M168" s="174">
        <v>1</v>
      </c>
      <c r="N168" s="174"/>
      <c r="O168" s="174"/>
      <c r="P168" s="174"/>
      <c r="Q168" s="174"/>
      <c r="R168" s="172">
        <v>46223</v>
      </c>
      <c r="S168" s="172"/>
      <c r="T168" s="172"/>
      <c r="U168" s="172"/>
      <c r="V168" s="172"/>
      <c r="W168" s="172"/>
      <c r="X168" s="172"/>
      <c r="Y168" s="172"/>
      <c r="Z168" s="172"/>
      <c r="AA168" s="86"/>
      <c r="AB168" s="86"/>
      <c r="AC168" s="86"/>
      <c r="AD168" s="86"/>
    </row>
    <row r="169" spans="1:30" ht="26" customHeight="1" x14ac:dyDescent="0.3">
      <c r="A169" s="460" t="s">
        <v>110</v>
      </c>
      <c r="B169" s="460" t="s">
        <v>118</v>
      </c>
      <c r="C169" s="531">
        <v>150</v>
      </c>
      <c r="D169" s="460" t="s">
        <v>81</v>
      </c>
      <c r="E169" s="460" t="s">
        <v>1217</v>
      </c>
      <c r="F169" s="460" t="s">
        <v>1758</v>
      </c>
      <c r="G169" s="172">
        <v>46065</v>
      </c>
      <c r="H169" s="173" t="s">
        <v>1216</v>
      </c>
      <c r="I169" s="84" t="s">
        <v>1215</v>
      </c>
      <c r="J169" s="84" t="s">
        <v>121</v>
      </c>
      <c r="K169" s="84" t="s">
        <v>1213</v>
      </c>
      <c r="L169" s="84" t="str">
        <f t="shared" si="59"/>
        <v>T-STRAINER VALVE 16" 150# RF, REGULAR, ASTM A351</v>
      </c>
      <c r="M169" s="174">
        <v>1</v>
      </c>
      <c r="N169" s="174"/>
      <c r="O169" s="174"/>
      <c r="P169" s="174"/>
      <c r="Q169" s="174"/>
      <c r="R169" s="172">
        <v>46223</v>
      </c>
      <c r="S169" s="172"/>
      <c r="T169" s="172"/>
      <c r="U169" s="172"/>
      <c r="V169" s="172"/>
      <c r="W169" s="172"/>
      <c r="X169" s="172"/>
      <c r="Y169" s="172"/>
      <c r="Z169" s="172"/>
      <c r="AA169" s="86"/>
      <c r="AB169" s="86"/>
      <c r="AC169" s="86"/>
      <c r="AD169" s="86"/>
    </row>
    <row r="170" spans="1:30" ht="26" customHeight="1" x14ac:dyDescent="0.3">
      <c r="A170" s="460" t="s">
        <v>110</v>
      </c>
      <c r="B170" s="460" t="s">
        <v>118</v>
      </c>
      <c r="C170" s="531">
        <v>150</v>
      </c>
      <c r="D170" s="460" t="s">
        <v>81</v>
      </c>
      <c r="E170" s="460" t="s">
        <v>1217</v>
      </c>
      <c r="F170" s="460" t="s">
        <v>1758</v>
      </c>
      <c r="G170" s="172">
        <v>46065</v>
      </c>
      <c r="H170" s="173" t="s">
        <v>1216</v>
      </c>
      <c r="I170" s="84" t="s">
        <v>1215</v>
      </c>
      <c r="J170" s="84" t="s">
        <v>121</v>
      </c>
      <c r="K170" s="84" t="s">
        <v>1213</v>
      </c>
      <c r="L170" s="84" t="str">
        <f t="shared" si="59"/>
        <v>T-STRAINER VALVE 16" 150# RF, REGULAR, ASTM A351</v>
      </c>
      <c r="M170" s="174">
        <v>1</v>
      </c>
      <c r="N170" s="174"/>
      <c r="O170" s="174"/>
      <c r="P170" s="174"/>
      <c r="Q170" s="174"/>
      <c r="R170" s="172">
        <v>46223</v>
      </c>
      <c r="S170" s="172"/>
      <c r="T170" s="172"/>
      <c r="U170" s="172"/>
      <c r="V170" s="172"/>
      <c r="W170" s="172"/>
      <c r="X170" s="172"/>
      <c r="Y170" s="172"/>
      <c r="Z170" s="172"/>
      <c r="AA170" s="86"/>
      <c r="AB170" s="86"/>
      <c r="AC170" s="86"/>
      <c r="AD170" s="86"/>
    </row>
    <row r="171" spans="1:30" ht="26" customHeight="1" x14ac:dyDescent="0.3">
      <c r="A171" s="460" t="s">
        <v>110</v>
      </c>
      <c r="B171" s="460" t="s">
        <v>195</v>
      </c>
      <c r="C171" s="531">
        <v>150</v>
      </c>
      <c r="D171" s="460" t="s">
        <v>81</v>
      </c>
      <c r="E171" s="460" t="s">
        <v>1217</v>
      </c>
      <c r="F171" s="460" t="s">
        <v>1758</v>
      </c>
      <c r="G171" s="172">
        <v>46065</v>
      </c>
      <c r="H171" s="173" t="s">
        <v>1216</v>
      </c>
      <c r="I171" s="84" t="s">
        <v>1215</v>
      </c>
      <c r="J171" s="84" t="s">
        <v>121</v>
      </c>
      <c r="K171" s="84" t="s">
        <v>1213</v>
      </c>
      <c r="L171" s="84" t="str">
        <f t="shared" si="59"/>
        <v>T-STRAINER VALVE 24" 150# RF, REGULAR, ASTM A351</v>
      </c>
      <c r="M171" s="174">
        <v>1</v>
      </c>
      <c r="N171" s="174"/>
      <c r="O171" s="174"/>
      <c r="P171" s="174"/>
      <c r="Q171" s="174"/>
      <c r="R171" s="172">
        <v>46223</v>
      </c>
      <c r="S171" s="172"/>
      <c r="T171" s="172"/>
      <c r="U171" s="172"/>
      <c r="V171" s="172"/>
      <c r="W171" s="172"/>
      <c r="X171" s="172"/>
      <c r="Y171" s="172"/>
      <c r="Z171" s="172"/>
      <c r="AA171" s="86"/>
      <c r="AB171" s="86"/>
      <c r="AC171" s="86"/>
      <c r="AD171" s="86"/>
    </row>
    <row r="172" spans="1:30" ht="26" customHeight="1" x14ac:dyDescent="0.3">
      <c r="A172" s="460" t="s">
        <v>110</v>
      </c>
      <c r="B172" s="460" t="s">
        <v>195</v>
      </c>
      <c r="C172" s="531">
        <v>150</v>
      </c>
      <c r="D172" s="460" t="s">
        <v>81</v>
      </c>
      <c r="E172" s="460" t="s">
        <v>1217</v>
      </c>
      <c r="F172" s="460" t="s">
        <v>1758</v>
      </c>
      <c r="G172" s="172">
        <v>46065</v>
      </c>
      <c r="H172" s="173" t="s">
        <v>1216</v>
      </c>
      <c r="I172" s="84" t="s">
        <v>1215</v>
      </c>
      <c r="J172" s="84" t="s">
        <v>121</v>
      </c>
      <c r="K172" s="84" t="s">
        <v>1213</v>
      </c>
      <c r="L172" s="84" t="str">
        <f t="shared" si="59"/>
        <v>T-STRAINER VALVE 24" 150# RF, REGULAR, ASTM A351</v>
      </c>
      <c r="M172" s="174">
        <v>1</v>
      </c>
      <c r="N172" s="174"/>
      <c r="O172" s="174"/>
      <c r="P172" s="174"/>
      <c r="Q172" s="174"/>
      <c r="R172" s="172">
        <v>46223</v>
      </c>
      <c r="S172" s="172"/>
      <c r="T172" s="172"/>
      <c r="U172" s="172"/>
      <c r="V172" s="172"/>
      <c r="W172" s="172"/>
      <c r="X172" s="172"/>
      <c r="Y172" s="172"/>
      <c r="Z172" s="172"/>
      <c r="AA172" s="86"/>
      <c r="AB172" s="86"/>
      <c r="AC172" s="86"/>
      <c r="AD172" s="86"/>
    </row>
    <row r="173" spans="1:30" ht="26" customHeight="1" x14ac:dyDescent="0.3">
      <c r="A173" s="460" t="s">
        <v>110</v>
      </c>
      <c r="B173" s="460" t="s">
        <v>80</v>
      </c>
      <c r="C173" s="531">
        <v>150</v>
      </c>
      <c r="D173" s="460" t="s">
        <v>81</v>
      </c>
      <c r="E173" s="460" t="s">
        <v>1217</v>
      </c>
      <c r="F173" s="460" t="s">
        <v>1757</v>
      </c>
      <c r="G173" s="172">
        <v>46065</v>
      </c>
      <c r="H173" s="173" t="s">
        <v>1216</v>
      </c>
      <c r="I173" s="84" t="s">
        <v>1215</v>
      </c>
      <c r="J173" s="84" t="s">
        <v>121</v>
      </c>
      <c r="K173" s="84" t="s">
        <v>1211</v>
      </c>
      <c r="L173" s="84" t="str">
        <f t="shared" si="59"/>
        <v>T-STRAINER VALVE 10" 150# RF, REGULAR, ASTM A216</v>
      </c>
      <c r="M173" s="174">
        <v>1</v>
      </c>
      <c r="N173" s="174"/>
      <c r="O173" s="174"/>
      <c r="P173" s="174"/>
      <c r="Q173" s="174"/>
      <c r="R173" s="172">
        <v>46223</v>
      </c>
      <c r="S173" s="172"/>
      <c r="T173" s="172"/>
      <c r="U173" s="172"/>
      <c r="V173" s="172"/>
      <c r="W173" s="172"/>
      <c r="X173" s="172"/>
      <c r="Y173" s="172"/>
      <c r="Z173" s="172"/>
      <c r="AA173" s="86"/>
      <c r="AB173" s="86"/>
      <c r="AC173" s="86"/>
      <c r="AD173" s="86"/>
    </row>
    <row r="174" spans="1:30" ht="26" customHeight="1" x14ac:dyDescent="0.3">
      <c r="A174" s="460" t="s">
        <v>110</v>
      </c>
      <c r="B174" s="460" t="s">
        <v>80</v>
      </c>
      <c r="C174" s="531">
        <v>150</v>
      </c>
      <c r="D174" s="460" t="s">
        <v>81</v>
      </c>
      <c r="E174" s="460" t="s">
        <v>1217</v>
      </c>
      <c r="F174" s="460" t="s">
        <v>1757</v>
      </c>
      <c r="G174" s="172">
        <v>46065</v>
      </c>
      <c r="H174" s="173" t="s">
        <v>1216</v>
      </c>
      <c r="I174" s="84" t="s">
        <v>1215</v>
      </c>
      <c r="J174" s="84" t="s">
        <v>121</v>
      </c>
      <c r="K174" s="84" t="s">
        <v>1211</v>
      </c>
      <c r="L174" s="84" t="str">
        <f t="shared" si="59"/>
        <v>T-STRAINER VALVE 10" 150# RF, REGULAR, ASTM A216</v>
      </c>
      <c r="M174" s="174">
        <v>1</v>
      </c>
      <c r="N174" s="174"/>
      <c r="O174" s="174"/>
      <c r="P174" s="174"/>
      <c r="Q174" s="174"/>
      <c r="R174" s="172">
        <v>46223</v>
      </c>
      <c r="S174" s="172"/>
      <c r="T174" s="172"/>
      <c r="U174" s="172"/>
      <c r="V174" s="172"/>
      <c r="W174" s="172"/>
      <c r="X174" s="172"/>
      <c r="Y174" s="172"/>
      <c r="Z174" s="172"/>
      <c r="AA174" s="86"/>
      <c r="AB174" s="86"/>
      <c r="AC174" s="86"/>
      <c r="AD174" s="86"/>
    </row>
    <row r="175" spans="1:30" ht="26" customHeight="1" x14ac:dyDescent="0.3">
      <c r="A175" s="460" t="s">
        <v>110</v>
      </c>
      <c r="B175" s="460" t="s">
        <v>80</v>
      </c>
      <c r="C175" s="531">
        <v>150</v>
      </c>
      <c r="D175" s="460" t="s">
        <v>81</v>
      </c>
      <c r="E175" s="460" t="s">
        <v>1217</v>
      </c>
      <c r="F175" s="460" t="s">
        <v>1757</v>
      </c>
      <c r="G175" s="172">
        <v>46065</v>
      </c>
      <c r="H175" s="173" t="s">
        <v>1216</v>
      </c>
      <c r="I175" s="84" t="s">
        <v>1215</v>
      </c>
      <c r="J175" s="84" t="s">
        <v>121</v>
      </c>
      <c r="K175" s="84" t="s">
        <v>1211</v>
      </c>
      <c r="L175" s="84" t="str">
        <f t="shared" si="59"/>
        <v>T-STRAINER VALVE 10" 150# RF, REGULAR, ASTM A216</v>
      </c>
      <c r="M175" s="174">
        <v>1</v>
      </c>
      <c r="N175" s="174"/>
      <c r="O175" s="174"/>
      <c r="P175" s="174"/>
      <c r="Q175" s="174"/>
      <c r="R175" s="172">
        <v>46223</v>
      </c>
      <c r="S175" s="172"/>
      <c r="T175" s="172"/>
      <c r="U175" s="172"/>
      <c r="V175" s="172"/>
      <c r="W175" s="172"/>
      <c r="X175" s="172"/>
      <c r="Y175" s="172"/>
      <c r="Z175" s="172"/>
      <c r="AA175" s="86"/>
      <c r="AB175" s="86"/>
      <c r="AC175" s="86"/>
      <c r="AD175" s="86"/>
    </row>
    <row r="176" spans="1:30" ht="26" customHeight="1" x14ac:dyDescent="0.3">
      <c r="A176" s="460" t="s">
        <v>110</v>
      </c>
      <c r="B176" s="460" t="s">
        <v>80</v>
      </c>
      <c r="C176" s="531">
        <v>150</v>
      </c>
      <c r="D176" s="460" t="s">
        <v>81</v>
      </c>
      <c r="E176" s="460" t="s">
        <v>1217</v>
      </c>
      <c r="F176" s="460" t="s">
        <v>1757</v>
      </c>
      <c r="G176" s="172">
        <v>46065</v>
      </c>
      <c r="H176" s="173" t="s">
        <v>1216</v>
      </c>
      <c r="I176" s="84" t="s">
        <v>1215</v>
      </c>
      <c r="J176" s="84" t="s">
        <v>121</v>
      </c>
      <c r="K176" s="84" t="s">
        <v>1211</v>
      </c>
      <c r="L176" s="84" t="str">
        <f t="shared" si="59"/>
        <v>T-STRAINER VALVE 10" 150# RF, REGULAR, ASTM A216</v>
      </c>
      <c r="M176" s="174">
        <v>1</v>
      </c>
      <c r="N176" s="174"/>
      <c r="O176" s="174"/>
      <c r="P176" s="174"/>
      <c r="Q176" s="174"/>
      <c r="R176" s="172">
        <v>46223</v>
      </c>
      <c r="S176" s="172"/>
      <c r="T176" s="172"/>
      <c r="U176" s="172"/>
      <c r="V176" s="172"/>
      <c r="W176" s="172"/>
      <c r="X176" s="172"/>
      <c r="Y176" s="172"/>
      <c r="Z176" s="172"/>
      <c r="AA176" s="86"/>
      <c r="AB176" s="86"/>
      <c r="AC176" s="86"/>
      <c r="AD176" s="86"/>
    </row>
    <row r="177" spans="1:30" ht="26" customHeight="1" x14ac:dyDescent="0.3">
      <c r="A177" s="460" t="s">
        <v>110</v>
      </c>
      <c r="B177" s="460" t="s">
        <v>80</v>
      </c>
      <c r="C177" s="531">
        <v>150</v>
      </c>
      <c r="D177" s="460" t="s">
        <v>81</v>
      </c>
      <c r="E177" s="460" t="s">
        <v>1217</v>
      </c>
      <c r="F177" s="460" t="s">
        <v>1757</v>
      </c>
      <c r="G177" s="172">
        <v>46065</v>
      </c>
      <c r="H177" s="173" t="s">
        <v>1216</v>
      </c>
      <c r="I177" s="84" t="s">
        <v>1215</v>
      </c>
      <c r="J177" s="84" t="s">
        <v>121</v>
      </c>
      <c r="K177" s="84" t="s">
        <v>1211</v>
      </c>
      <c r="L177" s="84" t="str">
        <f t="shared" si="59"/>
        <v>T-STRAINER VALVE 10" 150# RF, REGULAR, ASTM A216</v>
      </c>
      <c r="M177" s="174">
        <v>1</v>
      </c>
      <c r="N177" s="174"/>
      <c r="O177" s="174"/>
      <c r="P177" s="174"/>
      <c r="Q177" s="174"/>
      <c r="R177" s="172">
        <v>46223</v>
      </c>
      <c r="S177" s="172"/>
      <c r="T177" s="172"/>
      <c r="U177" s="172"/>
      <c r="V177" s="172"/>
      <c r="W177" s="172"/>
      <c r="X177" s="172"/>
      <c r="Y177" s="172"/>
      <c r="Z177" s="172"/>
      <c r="AA177" s="86"/>
      <c r="AB177" s="86"/>
      <c r="AC177" s="86"/>
      <c r="AD177" s="86"/>
    </row>
    <row r="178" spans="1:30" ht="26" customHeight="1" x14ac:dyDescent="0.3">
      <c r="A178" s="460" t="s">
        <v>110</v>
      </c>
      <c r="B178" s="460" t="s">
        <v>118</v>
      </c>
      <c r="C178" s="531">
        <v>150</v>
      </c>
      <c r="D178" s="460" t="s">
        <v>81</v>
      </c>
      <c r="E178" s="460" t="s">
        <v>1217</v>
      </c>
      <c r="F178" s="460" t="s">
        <v>1757</v>
      </c>
      <c r="G178" s="172">
        <v>46065</v>
      </c>
      <c r="H178" s="173" t="s">
        <v>1216</v>
      </c>
      <c r="I178" s="84" t="s">
        <v>1215</v>
      </c>
      <c r="J178" s="84" t="s">
        <v>121</v>
      </c>
      <c r="K178" s="84" t="s">
        <v>1211</v>
      </c>
      <c r="L178" s="84" t="str">
        <f t="shared" si="59"/>
        <v>T-STRAINER VALVE 16" 150# RF, REGULAR, ASTM A216</v>
      </c>
      <c r="M178" s="174">
        <v>1</v>
      </c>
      <c r="N178" s="174"/>
      <c r="O178" s="174"/>
      <c r="P178" s="174"/>
      <c r="Q178" s="174"/>
      <c r="R178" s="172">
        <v>46223</v>
      </c>
      <c r="S178" s="172"/>
      <c r="T178" s="172"/>
      <c r="U178" s="172"/>
      <c r="V178" s="172"/>
      <c r="W178" s="172"/>
      <c r="X178" s="172"/>
      <c r="Y178" s="172"/>
      <c r="Z178" s="172"/>
      <c r="AA178" s="86"/>
      <c r="AB178" s="86"/>
      <c r="AC178" s="86"/>
      <c r="AD178" s="86"/>
    </row>
    <row r="179" spans="1:30" ht="26" customHeight="1" x14ac:dyDescent="0.3">
      <c r="A179" s="460" t="s">
        <v>110</v>
      </c>
      <c r="B179" s="460" t="s">
        <v>118</v>
      </c>
      <c r="C179" s="531">
        <v>150</v>
      </c>
      <c r="D179" s="460" t="s">
        <v>81</v>
      </c>
      <c r="E179" s="460" t="s">
        <v>1217</v>
      </c>
      <c r="F179" s="460" t="s">
        <v>1757</v>
      </c>
      <c r="G179" s="172">
        <v>46065</v>
      </c>
      <c r="H179" s="173" t="s">
        <v>1216</v>
      </c>
      <c r="I179" s="84" t="s">
        <v>1215</v>
      </c>
      <c r="J179" s="84" t="s">
        <v>121</v>
      </c>
      <c r="K179" s="84" t="s">
        <v>1211</v>
      </c>
      <c r="L179" s="84" t="str">
        <f t="shared" si="59"/>
        <v>T-STRAINER VALVE 16" 150# RF, REGULAR, ASTM A216</v>
      </c>
      <c r="M179" s="174">
        <v>1</v>
      </c>
      <c r="N179" s="174"/>
      <c r="O179" s="174"/>
      <c r="P179" s="174"/>
      <c r="Q179" s="174"/>
      <c r="R179" s="172">
        <v>46223</v>
      </c>
      <c r="S179" s="172"/>
      <c r="T179" s="172"/>
      <c r="U179" s="172"/>
      <c r="V179" s="172"/>
      <c r="W179" s="172"/>
      <c r="X179" s="172"/>
      <c r="Y179" s="172"/>
      <c r="Z179" s="172"/>
      <c r="AA179" s="86"/>
      <c r="AB179" s="86"/>
      <c r="AC179" s="86"/>
      <c r="AD179" s="86"/>
    </row>
    <row r="180" spans="1:30" ht="26" customHeight="1" x14ac:dyDescent="0.3">
      <c r="A180" s="460" t="s">
        <v>110</v>
      </c>
      <c r="B180" s="460" t="s">
        <v>195</v>
      </c>
      <c r="C180" s="531">
        <v>150</v>
      </c>
      <c r="D180" s="460" t="s">
        <v>81</v>
      </c>
      <c r="E180" s="460" t="s">
        <v>1217</v>
      </c>
      <c r="F180" s="460" t="s">
        <v>1757</v>
      </c>
      <c r="G180" s="172">
        <v>46065</v>
      </c>
      <c r="H180" s="173" t="s">
        <v>1216</v>
      </c>
      <c r="I180" s="84" t="s">
        <v>1215</v>
      </c>
      <c r="J180" s="84" t="s">
        <v>121</v>
      </c>
      <c r="K180" s="84" t="s">
        <v>1211</v>
      </c>
      <c r="L180" s="84" t="str">
        <f t="shared" si="59"/>
        <v>T-STRAINER VALVE 24" 150# RF, REGULAR, ASTM A216</v>
      </c>
      <c r="M180" s="174">
        <v>1</v>
      </c>
      <c r="N180" s="174"/>
      <c r="O180" s="174"/>
      <c r="P180" s="174"/>
      <c r="Q180" s="174"/>
      <c r="R180" s="172">
        <v>46223</v>
      </c>
      <c r="S180" s="172"/>
      <c r="T180" s="172"/>
      <c r="U180" s="172"/>
      <c r="V180" s="172"/>
      <c r="W180" s="172"/>
      <c r="X180" s="172"/>
      <c r="Y180" s="172"/>
      <c r="Z180" s="172"/>
      <c r="AA180" s="86"/>
      <c r="AB180" s="86"/>
      <c r="AC180" s="86"/>
      <c r="AD180" s="86"/>
    </row>
    <row r="181" spans="1:30" ht="26" customHeight="1" x14ac:dyDescent="0.3">
      <c r="A181" s="460" t="s">
        <v>110</v>
      </c>
      <c r="B181" s="460" t="s">
        <v>195</v>
      </c>
      <c r="C181" s="531">
        <v>150</v>
      </c>
      <c r="D181" s="460" t="s">
        <v>81</v>
      </c>
      <c r="E181" s="460" t="s">
        <v>1217</v>
      </c>
      <c r="F181" s="460" t="s">
        <v>1757</v>
      </c>
      <c r="G181" s="172">
        <v>46065</v>
      </c>
      <c r="H181" s="173" t="s">
        <v>1216</v>
      </c>
      <c r="I181" s="84" t="s">
        <v>1215</v>
      </c>
      <c r="J181" s="84" t="s">
        <v>121</v>
      </c>
      <c r="K181" s="84" t="s">
        <v>1211</v>
      </c>
      <c r="L181" s="84" t="str">
        <f t="shared" si="59"/>
        <v>T-STRAINER VALVE 24" 150# RF, REGULAR, ASTM A216</v>
      </c>
      <c r="M181" s="174">
        <v>1</v>
      </c>
      <c r="N181" s="174"/>
      <c r="O181" s="174"/>
      <c r="P181" s="174"/>
      <c r="Q181" s="174"/>
      <c r="R181" s="172">
        <v>46223</v>
      </c>
      <c r="S181" s="172"/>
      <c r="T181" s="172"/>
      <c r="U181" s="172"/>
      <c r="V181" s="172"/>
      <c r="W181" s="172"/>
      <c r="X181" s="172"/>
      <c r="Y181" s="172"/>
      <c r="Z181" s="172"/>
      <c r="AA181" s="86"/>
      <c r="AB181" s="86"/>
      <c r="AC181" s="86"/>
      <c r="AD181" s="86"/>
    </row>
    <row r="182" spans="1:30" ht="26" customHeight="1" x14ac:dyDescent="0.3">
      <c r="A182" s="460" t="s">
        <v>110</v>
      </c>
      <c r="B182" s="460" t="s">
        <v>195</v>
      </c>
      <c r="C182" s="531">
        <v>150</v>
      </c>
      <c r="D182" s="460" t="s">
        <v>81</v>
      </c>
      <c r="E182" s="460" t="s">
        <v>1217</v>
      </c>
      <c r="F182" s="460" t="s">
        <v>1757</v>
      </c>
      <c r="G182" s="172">
        <v>46065</v>
      </c>
      <c r="H182" s="173" t="s">
        <v>1216</v>
      </c>
      <c r="I182" s="84" t="s">
        <v>1215</v>
      </c>
      <c r="J182" s="84" t="s">
        <v>121</v>
      </c>
      <c r="K182" s="84" t="s">
        <v>1211</v>
      </c>
      <c r="L182" s="84" t="str">
        <f t="shared" si="59"/>
        <v>T-STRAINER VALVE 24" 150# RF, REGULAR, ASTM A216</v>
      </c>
      <c r="M182" s="174">
        <v>1</v>
      </c>
      <c r="N182" s="174"/>
      <c r="O182" s="174"/>
      <c r="P182" s="174"/>
      <c r="Q182" s="174"/>
      <c r="R182" s="172">
        <v>46223</v>
      </c>
      <c r="S182" s="172"/>
      <c r="T182" s="172"/>
      <c r="U182" s="172"/>
      <c r="V182" s="172"/>
      <c r="W182" s="172"/>
      <c r="X182" s="172"/>
      <c r="Y182" s="172"/>
      <c r="Z182" s="172"/>
      <c r="AA182" s="86"/>
      <c r="AB182" s="86"/>
      <c r="AC182" s="86"/>
      <c r="AD182" s="86"/>
    </row>
    <row r="183" spans="1:30" ht="26" customHeight="1" x14ac:dyDescent="0.3">
      <c r="A183" s="460" t="s">
        <v>110</v>
      </c>
      <c r="B183" s="460" t="s">
        <v>195</v>
      </c>
      <c r="C183" s="531">
        <v>150</v>
      </c>
      <c r="D183" s="460" t="s">
        <v>81</v>
      </c>
      <c r="E183" s="460" t="s">
        <v>1217</v>
      </c>
      <c r="F183" s="460" t="s">
        <v>1757</v>
      </c>
      <c r="G183" s="172">
        <v>46065</v>
      </c>
      <c r="H183" s="173" t="s">
        <v>1216</v>
      </c>
      <c r="I183" s="84" t="s">
        <v>1215</v>
      </c>
      <c r="J183" s="84" t="s">
        <v>121</v>
      </c>
      <c r="K183" s="84" t="s">
        <v>1211</v>
      </c>
      <c r="L183" s="84" t="str">
        <f t="shared" si="59"/>
        <v>T-STRAINER VALVE 24" 150# RF, REGULAR, ASTM A216</v>
      </c>
      <c r="M183" s="174">
        <v>1</v>
      </c>
      <c r="N183" s="174"/>
      <c r="O183" s="174"/>
      <c r="P183" s="174"/>
      <c r="Q183" s="174"/>
      <c r="R183" s="172">
        <v>46223</v>
      </c>
      <c r="S183" s="172"/>
      <c r="T183" s="172"/>
      <c r="U183" s="172"/>
      <c r="V183" s="172"/>
      <c r="W183" s="172"/>
      <c r="X183" s="172"/>
      <c r="Y183" s="172"/>
      <c r="Z183" s="172"/>
      <c r="AA183" s="86"/>
      <c r="AB183" s="86"/>
      <c r="AC183" s="86"/>
      <c r="AD183" s="86"/>
    </row>
    <row r="184" spans="1:30" ht="26" customHeight="1" x14ac:dyDescent="0.3">
      <c r="A184" s="460" t="s">
        <v>110</v>
      </c>
      <c r="B184" s="460" t="s">
        <v>118</v>
      </c>
      <c r="C184" s="531">
        <v>300</v>
      </c>
      <c r="D184" s="460" t="s">
        <v>81</v>
      </c>
      <c r="E184" s="460" t="s">
        <v>1217</v>
      </c>
      <c r="F184" s="460" t="s">
        <v>1757</v>
      </c>
      <c r="G184" s="172">
        <v>46065</v>
      </c>
      <c r="H184" s="173" t="s">
        <v>1216</v>
      </c>
      <c r="I184" s="84" t="s">
        <v>1215</v>
      </c>
      <c r="J184" s="84" t="s">
        <v>121</v>
      </c>
      <c r="K184" s="84" t="s">
        <v>1209</v>
      </c>
      <c r="L184" s="84" t="str">
        <f t="shared" si="59"/>
        <v>T-STRAINER VALVE 16" 300# RF, REGULAR, ASTM A216</v>
      </c>
      <c r="M184" s="174">
        <v>1</v>
      </c>
      <c r="N184" s="174"/>
      <c r="O184" s="174"/>
      <c r="P184" s="174"/>
      <c r="Q184" s="174"/>
      <c r="R184" s="172">
        <v>46223</v>
      </c>
      <c r="S184" s="172"/>
      <c r="T184" s="172"/>
      <c r="U184" s="172"/>
      <c r="V184" s="172"/>
      <c r="W184" s="172"/>
      <c r="X184" s="172"/>
      <c r="Y184" s="172"/>
      <c r="Z184" s="172"/>
      <c r="AA184" s="86"/>
      <c r="AB184" s="86"/>
      <c r="AC184" s="86"/>
      <c r="AD184" s="86"/>
    </row>
    <row r="185" spans="1:30" ht="26" customHeight="1" x14ac:dyDescent="0.3">
      <c r="A185" s="460" t="s">
        <v>110</v>
      </c>
      <c r="B185" s="460" t="s">
        <v>118</v>
      </c>
      <c r="C185" s="531">
        <v>300</v>
      </c>
      <c r="D185" s="460" t="s">
        <v>81</v>
      </c>
      <c r="E185" s="460" t="s">
        <v>1217</v>
      </c>
      <c r="F185" s="460" t="s">
        <v>1757</v>
      </c>
      <c r="G185" s="172">
        <v>46065</v>
      </c>
      <c r="H185" s="173" t="s">
        <v>1216</v>
      </c>
      <c r="I185" s="84" t="s">
        <v>1215</v>
      </c>
      <c r="J185" s="84" t="s">
        <v>121</v>
      </c>
      <c r="K185" s="84" t="s">
        <v>1209</v>
      </c>
      <c r="L185" s="84" t="str">
        <f t="shared" si="59"/>
        <v>T-STRAINER VALVE 16" 300# RF, REGULAR, ASTM A216</v>
      </c>
      <c r="M185" s="174">
        <v>1</v>
      </c>
      <c r="N185" s="174"/>
      <c r="O185" s="174"/>
      <c r="P185" s="174"/>
      <c r="Q185" s="174"/>
      <c r="R185" s="172">
        <v>46223</v>
      </c>
      <c r="S185" s="172"/>
      <c r="T185" s="172"/>
      <c r="U185" s="172"/>
      <c r="V185" s="172"/>
      <c r="W185" s="172"/>
      <c r="X185" s="172"/>
      <c r="Y185" s="172"/>
      <c r="Z185" s="172"/>
      <c r="AA185" s="86"/>
      <c r="AB185" s="86"/>
      <c r="AC185" s="86"/>
      <c r="AD185" s="86"/>
    </row>
    <row r="186" spans="1:30" ht="26" customHeight="1" x14ac:dyDescent="0.3">
      <c r="A186" s="460" t="s">
        <v>110</v>
      </c>
      <c r="B186" s="460" t="s">
        <v>119</v>
      </c>
      <c r="C186" s="531">
        <v>300</v>
      </c>
      <c r="D186" s="460" t="s">
        <v>81</v>
      </c>
      <c r="E186" s="460" t="s">
        <v>1217</v>
      </c>
      <c r="F186" s="460" t="s">
        <v>1757</v>
      </c>
      <c r="G186" s="172">
        <v>46065</v>
      </c>
      <c r="H186" s="173" t="s">
        <v>1216</v>
      </c>
      <c r="I186" s="84" t="s">
        <v>1215</v>
      </c>
      <c r="J186" s="84" t="s">
        <v>121</v>
      </c>
      <c r="K186" s="84" t="s">
        <v>1209</v>
      </c>
      <c r="L186" s="84" t="str">
        <f t="shared" si="59"/>
        <v>T-STRAINER VALVE 12" 300# RF, REGULAR, ASTM A216</v>
      </c>
      <c r="M186" s="174">
        <v>1</v>
      </c>
      <c r="N186" s="458"/>
      <c r="O186" s="458"/>
      <c r="P186" s="458"/>
      <c r="Q186" s="459"/>
      <c r="R186" s="172">
        <v>46223</v>
      </c>
      <c r="S186" s="172"/>
      <c r="T186" s="172"/>
      <c r="U186" s="172"/>
      <c r="V186" s="172"/>
      <c r="W186" s="172"/>
      <c r="X186" s="172"/>
      <c r="Y186" s="172"/>
      <c r="Z186" s="172"/>
      <c r="AA186" s="460"/>
      <c r="AB186" s="460"/>
      <c r="AC186" s="460"/>
      <c r="AD186" s="86"/>
    </row>
    <row r="187" spans="1:30" ht="26" customHeight="1" x14ac:dyDescent="0.3">
      <c r="A187" s="460" t="s">
        <v>110</v>
      </c>
      <c r="B187" s="460" t="s">
        <v>119</v>
      </c>
      <c r="C187" s="531">
        <v>300</v>
      </c>
      <c r="D187" s="460" t="s">
        <v>81</v>
      </c>
      <c r="E187" s="460" t="s">
        <v>1217</v>
      </c>
      <c r="F187" s="460" t="s">
        <v>1757</v>
      </c>
      <c r="G187" s="172">
        <v>46065</v>
      </c>
      <c r="H187" s="173" t="s">
        <v>1216</v>
      </c>
      <c r="I187" s="84" t="s">
        <v>1215</v>
      </c>
      <c r="J187" s="84" t="s">
        <v>121</v>
      </c>
      <c r="K187" s="84" t="s">
        <v>1209</v>
      </c>
      <c r="L187" s="84" t="str">
        <f t="shared" si="59"/>
        <v>T-STRAINER VALVE 12" 300# RF, REGULAR, ASTM A216</v>
      </c>
      <c r="M187" s="174">
        <v>1</v>
      </c>
      <c r="N187" s="458"/>
      <c r="O187" s="458"/>
      <c r="P187" s="458"/>
      <c r="Q187" s="459"/>
      <c r="R187" s="172">
        <v>46223</v>
      </c>
      <c r="S187" s="172"/>
      <c r="T187" s="172"/>
      <c r="U187" s="172"/>
      <c r="V187" s="172"/>
      <c r="W187" s="172"/>
      <c r="X187" s="172"/>
      <c r="Y187" s="172"/>
      <c r="Z187" s="172"/>
      <c r="AA187" s="460"/>
      <c r="AB187" s="460"/>
      <c r="AC187" s="460"/>
      <c r="AD187" s="86"/>
    </row>
    <row r="188" spans="1:30" ht="26" customHeight="1" x14ac:dyDescent="0.3">
      <c r="A188" s="460" t="s">
        <v>110</v>
      </c>
      <c r="B188" s="460" t="s">
        <v>119</v>
      </c>
      <c r="C188" s="531">
        <v>300</v>
      </c>
      <c r="D188" s="460" t="s">
        <v>81</v>
      </c>
      <c r="E188" s="460" t="s">
        <v>1217</v>
      </c>
      <c r="F188" s="460" t="s">
        <v>1757</v>
      </c>
      <c r="G188" s="172">
        <v>46065</v>
      </c>
      <c r="H188" s="173" t="s">
        <v>1216</v>
      </c>
      <c r="I188" s="84" t="s">
        <v>1215</v>
      </c>
      <c r="J188" s="84" t="s">
        <v>121</v>
      </c>
      <c r="K188" s="84" t="s">
        <v>1209</v>
      </c>
      <c r="L188" s="84" t="str">
        <f t="shared" si="59"/>
        <v>T-STRAINER VALVE 12" 300# RF, REGULAR, ASTM A216</v>
      </c>
      <c r="M188" s="174">
        <v>1</v>
      </c>
      <c r="N188" s="458"/>
      <c r="O188" s="458"/>
      <c r="P188" s="458"/>
      <c r="Q188" s="459"/>
      <c r="R188" s="172">
        <v>46223</v>
      </c>
      <c r="S188" s="172"/>
      <c r="T188" s="172"/>
      <c r="U188" s="172"/>
      <c r="V188" s="172"/>
      <c r="W188" s="172"/>
      <c r="X188" s="172"/>
      <c r="Y188" s="172"/>
      <c r="Z188" s="172"/>
      <c r="AA188" s="460"/>
      <c r="AB188" s="460"/>
      <c r="AC188" s="460"/>
      <c r="AD188" s="86"/>
    </row>
    <row r="189" spans="1:30" ht="26" customHeight="1" x14ac:dyDescent="0.3">
      <c r="A189" s="460" t="s">
        <v>110</v>
      </c>
      <c r="B189" s="460" t="s">
        <v>119</v>
      </c>
      <c r="C189" s="531">
        <v>300</v>
      </c>
      <c r="D189" s="460" t="s">
        <v>81</v>
      </c>
      <c r="E189" s="460" t="s">
        <v>1217</v>
      </c>
      <c r="F189" s="460" t="s">
        <v>1757</v>
      </c>
      <c r="G189" s="172">
        <v>46065</v>
      </c>
      <c r="H189" s="173" t="s">
        <v>1216</v>
      </c>
      <c r="I189" s="84" t="s">
        <v>1215</v>
      </c>
      <c r="J189" s="84" t="s">
        <v>121</v>
      </c>
      <c r="K189" s="84" t="s">
        <v>1209</v>
      </c>
      <c r="L189" s="84" t="str">
        <f t="shared" si="59"/>
        <v>T-STRAINER VALVE 12" 300# RF, REGULAR, ASTM A216</v>
      </c>
      <c r="M189" s="174">
        <v>1</v>
      </c>
      <c r="N189" s="458"/>
      <c r="O189" s="458"/>
      <c r="P189" s="458"/>
      <c r="Q189" s="459"/>
      <c r="R189" s="172">
        <v>46223</v>
      </c>
      <c r="S189" s="172"/>
      <c r="T189" s="172"/>
      <c r="U189" s="172"/>
      <c r="V189" s="172"/>
      <c r="W189" s="172"/>
      <c r="X189" s="172"/>
      <c r="Y189" s="172"/>
      <c r="Z189" s="172"/>
      <c r="AA189" s="460"/>
      <c r="AB189" s="460"/>
      <c r="AC189" s="460"/>
      <c r="AD189" s="86"/>
    </row>
    <row r="190" spans="1:30" ht="26" customHeight="1" x14ac:dyDescent="0.3">
      <c r="A190" s="460" t="s">
        <v>143</v>
      </c>
      <c r="B190" s="460" t="s">
        <v>82</v>
      </c>
      <c r="C190" s="531">
        <v>150</v>
      </c>
      <c r="D190" s="460" t="s">
        <v>81</v>
      </c>
      <c r="E190" s="460" t="s">
        <v>1217</v>
      </c>
      <c r="F190" s="460" t="s">
        <v>107</v>
      </c>
      <c r="G190" s="172">
        <v>46065</v>
      </c>
      <c r="H190" s="173" t="s">
        <v>1216</v>
      </c>
      <c r="I190" s="84" t="s">
        <v>1215</v>
      </c>
      <c r="J190" s="84" t="s">
        <v>121</v>
      </c>
      <c r="K190" s="84" t="s">
        <v>201</v>
      </c>
      <c r="L190" s="84" t="str">
        <f t="shared" si="59"/>
        <v>Y-STRAINER VALVE 6" 150# RF, REGULAR, A216</v>
      </c>
      <c r="M190" s="174">
        <v>1</v>
      </c>
      <c r="N190" s="458"/>
      <c r="O190" s="458"/>
      <c r="P190" s="458"/>
      <c r="Q190" s="459"/>
      <c r="R190" s="172">
        <v>46223</v>
      </c>
      <c r="S190" s="172"/>
      <c r="T190" s="172"/>
      <c r="U190" s="172"/>
      <c r="V190" s="172"/>
      <c r="W190" s="172"/>
      <c r="X190" s="172"/>
      <c r="Y190" s="172"/>
      <c r="Z190" s="172"/>
      <c r="AA190" s="460"/>
      <c r="AB190" s="460"/>
      <c r="AC190" s="460"/>
      <c r="AD190" s="86"/>
    </row>
    <row r="191" spans="1:30" ht="26" customHeight="1" x14ac:dyDescent="0.3">
      <c r="A191" s="460" t="s">
        <v>143</v>
      </c>
      <c r="B191" s="460" t="s">
        <v>84</v>
      </c>
      <c r="C191" s="531">
        <v>150</v>
      </c>
      <c r="D191" s="460" t="s">
        <v>81</v>
      </c>
      <c r="E191" s="460" t="s">
        <v>1217</v>
      </c>
      <c r="F191" s="460" t="s">
        <v>107</v>
      </c>
      <c r="G191" s="172">
        <v>46065</v>
      </c>
      <c r="H191" s="173" t="s">
        <v>1216</v>
      </c>
      <c r="I191" s="84" t="s">
        <v>1215</v>
      </c>
      <c r="J191" s="84" t="s">
        <v>121</v>
      </c>
      <c r="K191" s="84" t="s">
        <v>201</v>
      </c>
      <c r="L191" s="84" t="str">
        <f t="shared" si="59"/>
        <v>Y-STRAINER VALVE 4" 150# RF, REGULAR, A216</v>
      </c>
      <c r="M191" s="174">
        <v>1</v>
      </c>
      <c r="N191" s="458"/>
      <c r="O191" s="458"/>
      <c r="P191" s="458"/>
      <c r="Q191" s="459"/>
      <c r="R191" s="172">
        <v>46223</v>
      </c>
      <c r="S191" s="172"/>
      <c r="T191" s="172"/>
      <c r="U191" s="172"/>
      <c r="V191" s="172"/>
      <c r="W191" s="172"/>
      <c r="X191" s="172"/>
      <c r="Y191" s="172"/>
      <c r="Z191" s="172"/>
      <c r="AA191" s="460"/>
      <c r="AB191" s="460"/>
      <c r="AC191" s="460"/>
      <c r="AD191" s="86"/>
    </row>
    <row r="192" spans="1:30" ht="26" customHeight="1" x14ac:dyDescent="0.3">
      <c r="A192" s="460" t="s">
        <v>1760</v>
      </c>
      <c r="B192" s="460" t="s">
        <v>82</v>
      </c>
      <c r="C192" s="531">
        <v>150</v>
      </c>
      <c r="D192" s="460" t="s">
        <v>81</v>
      </c>
      <c r="E192" s="460" t="s">
        <v>1217</v>
      </c>
      <c r="F192" s="460" t="s">
        <v>107</v>
      </c>
      <c r="G192" s="172">
        <v>46065</v>
      </c>
      <c r="H192" s="173" t="s">
        <v>1216</v>
      </c>
      <c r="I192" s="84" t="s">
        <v>1215</v>
      </c>
      <c r="J192" s="84" t="s">
        <v>121</v>
      </c>
      <c r="K192" s="84" t="s">
        <v>1210</v>
      </c>
      <c r="L192" s="84" t="str">
        <f t="shared" si="59"/>
        <v>BUCKET-STR VALVE 6" 150# RF, REGULAR, A216</v>
      </c>
      <c r="M192" s="174">
        <v>1</v>
      </c>
      <c r="N192" s="458"/>
      <c r="O192" s="458"/>
      <c r="P192" s="458"/>
      <c r="Q192" s="459"/>
      <c r="R192" s="172">
        <v>46223</v>
      </c>
      <c r="S192" s="172"/>
      <c r="T192" s="172"/>
      <c r="U192" s="172"/>
      <c r="V192" s="172"/>
      <c r="W192" s="172"/>
      <c r="X192" s="172"/>
      <c r="Y192" s="172"/>
      <c r="Z192" s="172"/>
      <c r="AA192" s="460"/>
      <c r="AB192" s="460"/>
      <c r="AC192" s="460"/>
      <c r="AD192" s="86"/>
    </row>
    <row r="193" spans="1:30" ht="26" customHeight="1" x14ac:dyDescent="0.3">
      <c r="A193" s="460" t="s">
        <v>1760</v>
      </c>
      <c r="B193" s="460" t="s">
        <v>82</v>
      </c>
      <c r="C193" s="531">
        <v>150</v>
      </c>
      <c r="D193" s="460" t="s">
        <v>81</v>
      </c>
      <c r="E193" s="460" t="s">
        <v>1217</v>
      </c>
      <c r="F193" s="460" t="s">
        <v>107</v>
      </c>
      <c r="G193" s="172">
        <v>46065</v>
      </c>
      <c r="H193" s="173" t="s">
        <v>1216</v>
      </c>
      <c r="I193" s="84" t="s">
        <v>1215</v>
      </c>
      <c r="J193" s="84" t="s">
        <v>121</v>
      </c>
      <c r="K193" s="84" t="s">
        <v>1210</v>
      </c>
      <c r="L193" s="84" t="str">
        <f t="shared" si="59"/>
        <v>BUCKET-STR VALVE 6" 150# RF, REGULAR, A216</v>
      </c>
      <c r="M193" s="174">
        <v>1</v>
      </c>
      <c r="N193" s="458"/>
      <c r="O193" s="458"/>
      <c r="P193" s="458"/>
      <c r="Q193" s="459"/>
      <c r="R193" s="172">
        <v>46223</v>
      </c>
      <c r="S193" s="172"/>
      <c r="T193" s="172"/>
      <c r="U193" s="172"/>
      <c r="V193" s="172"/>
      <c r="W193" s="172"/>
      <c r="X193" s="172"/>
      <c r="Y193" s="172"/>
      <c r="Z193" s="172"/>
      <c r="AA193" s="460"/>
      <c r="AB193" s="460"/>
      <c r="AC193" s="460"/>
      <c r="AD193" s="86"/>
    </row>
    <row r="194" spans="1:30" ht="26" customHeight="1" x14ac:dyDescent="0.3">
      <c r="A194" s="460" t="s">
        <v>143</v>
      </c>
      <c r="B194" s="460" t="s">
        <v>82</v>
      </c>
      <c r="C194" s="531">
        <v>150</v>
      </c>
      <c r="D194" s="460" t="s">
        <v>81</v>
      </c>
      <c r="E194" s="460" t="s">
        <v>1217</v>
      </c>
      <c r="F194" s="460" t="s">
        <v>107</v>
      </c>
      <c r="G194" s="172">
        <v>46065</v>
      </c>
      <c r="H194" s="173" t="s">
        <v>1216</v>
      </c>
      <c r="I194" s="84" t="s">
        <v>1215</v>
      </c>
      <c r="J194" s="84" t="s">
        <v>121</v>
      </c>
      <c r="K194" s="84" t="s">
        <v>201</v>
      </c>
      <c r="L194" s="84" t="str">
        <f t="shared" si="59"/>
        <v>Y-STRAINER VALVE 6" 150# RF, REGULAR, A216</v>
      </c>
      <c r="M194" s="174">
        <v>1</v>
      </c>
      <c r="N194" s="458"/>
      <c r="O194" s="458"/>
      <c r="P194" s="458"/>
      <c r="Q194" s="459"/>
      <c r="R194" s="172">
        <v>46223</v>
      </c>
      <c r="S194" s="172"/>
      <c r="T194" s="172"/>
      <c r="U194" s="172"/>
      <c r="V194" s="172"/>
      <c r="W194" s="172"/>
      <c r="X194" s="172"/>
      <c r="Y194" s="172"/>
      <c r="Z194" s="172"/>
      <c r="AA194" s="460"/>
      <c r="AB194" s="460"/>
      <c r="AC194" s="460"/>
      <c r="AD194" s="86"/>
    </row>
    <row r="195" spans="1:30" ht="26" customHeight="1" x14ac:dyDescent="0.3">
      <c r="A195" s="460" t="s">
        <v>1760</v>
      </c>
      <c r="B195" s="460" t="s">
        <v>82</v>
      </c>
      <c r="C195" s="531">
        <v>150</v>
      </c>
      <c r="D195" s="460" t="s">
        <v>81</v>
      </c>
      <c r="E195" s="460" t="s">
        <v>1217</v>
      </c>
      <c r="F195" s="460" t="s">
        <v>107</v>
      </c>
      <c r="G195" s="172">
        <v>46065</v>
      </c>
      <c r="H195" s="173" t="s">
        <v>1216</v>
      </c>
      <c r="I195" s="84" t="s">
        <v>1215</v>
      </c>
      <c r="J195" s="84" t="s">
        <v>121</v>
      </c>
      <c r="K195" s="84" t="s">
        <v>1210</v>
      </c>
      <c r="L195" s="84" t="str">
        <f t="shared" si="59"/>
        <v>BUCKET-STR VALVE 6" 150# RF, REGULAR, A216</v>
      </c>
      <c r="M195" s="174">
        <v>1</v>
      </c>
      <c r="N195" s="458"/>
      <c r="O195" s="458"/>
      <c r="P195" s="458"/>
      <c r="Q195" s="459"/>
      <c r="R195" s="172">
        <v>46223</v>
      </c>
      <c r="S195" s="172"/>
      <c r="T195" s="172"/>
      <c r="U195" s="172"/>
      <c r="V195" s="172"/>
      <c r="W195" s="172"/>
      <c r="X195" s="172"/>
      <c r="Y195" s="172"/>
      <c r="Z195" s="172"/>
      <c r="AA195" s="460"/>
      <c r="AB195" s="460"/>
      <c r="AC195" s="460"/>
      <c r="AD195" s="86"/>
    </row>
    <row r="196" spans="1:30" ht="26" customHeight="1" x14ac:dyDescent="0.3">
      <c r="A196" s="460" t="s">
        <v>1760</v>
      </c>
      <c r="B196" s="460" t="s">
        <v>82</v>
      </c>
      <c r="C196" s="531">
        <v>150</v>
      </c>
      <c r="D196" s="460" t="s">
        <v>81</v>
      </c>
      <c r="E196" s="460" t="s">
        <v>1217</v>
      </c>
      <c r="F196" s="460" t="s">
        <v>107</v>
      </c>
      <c r="G196" s="172">
        <v>46065</v>
      </c>
      <c r="H196" s="173" t="s">
        <v>1216</v>
      </c>
      <c r="I196" s="84" t="s">
        <v>1215</v>
      </c>
      <c r="J196" s="84" t="s">
        <v>121</v>
      </c>
      <c r="K196" s="84" t="s">
        <v>1210</v>
      </c>
      <c r="L196" s="84" t="str">
        <f t="shared" si="59"/>
        <v>BUCKET-STR VALVE 6" 150# RF, REGULAR, A216</v>
      </c>
      <c r="M196" s="174">
        <v>1</v>
      </c>
      <c r="N196" s="458"/>
      <c r="O196" s="458"/>
      <c r="P196" s="458"/>
      <c r="Q196" s="459"/>
      <c r="R196" s="172">
        <v>46223</v>
      </c>
      <c r="S196" s="172"/>
      <c r="T196" s="172"/>
      <c r="U196" s="172"/>
      <c r="V196" s="172"/>
      <c r="W196" s="172"/>
      <c r="X196" s="172"/>
      <c r="Y196" s="172"/>
      <c r="Z196" s="172"/>
      <c r="AA196" s="460"/>
      <c r="AB196" s="460"/>
      <c r="AC196" s="460"/>
      <c r="AD196" s="86"/>
    </row>
    <row r="197" spans="1:30" ht="26" customHeight="1" x14ac:dyDescent="0.3">
      <c r="A197" s="460" t="s">
        <v>1760</v>
      </c>
      <c r="B197" s="460" t="s">
        <v>82</v>
      </c>
      <c r="C197" s="531">
        <v>150</v>
      </c>
      <c r="D197" s="460" t="s">
        <v>81</v>
      </c>
      <c r="E197" s="460" t="s">
        <v>1217</v>
      </c>
      <c r="F197" s="460" t="s">
        <v>107</v>
      </c>
      <c r="G197" s="172">
        <v>46065</v>
      </c>
      <c r="H197" s="173" t="s">
        <v>1216</v>
      </c>
      <c r="I197" s="84" t="s">
        <v>1215</v>
      </c>
      <c r="J197" s="84" t="s">
        <v>121</v>
      </c>
      <c r="K197" s="84" t="s">
        <v>1210</v>
      </c>
      <c r="L197" s="84" t="str">
        <f t="shared" si="59"/>
        <v>BUCKET-STR VALVE 6" 150# RF, REGULAR, A216</v>
      </c>
      <c r="M197" s="174">
        <v>1</v>
      </c>
      <c r="N197" s="458"/>
      <c r="O197" s="458"/>
      <c r="P197" s="458"/>
      <c r="Q197" s="459"/>
      <c r="R197" s="172">
        <v>46223</v>
      </c>
      <c r="S197" s="172"/>
      <c r="T197" s="172"/>
      <c r="U197" s="172"/>
      <c r="V197" s="172"/>
      <c r="W197" s="172"/>
      <c r="X197" s="172"/>
      <c r="Y197" s="172"/>
      <c r="Z197" s="172"/>
      <c r="AA197" s="460"/>
      <c r="AB197" s="460"/>
      <c r="AC197" s="460"/>
      <c r="AD197" s="86"/>
    </row>
    <row r="198" spans="1:30" ht="26" customHeight="1" x14ac:dyDescent="0.3">
      <c r="A198" s="460" t="s">
        <v>1760</v>
      </c>
      <c r="B198" s="460" t="s">
        <v>82</v>
      </c>
      <c r="C198" s="531">
        <v>150</v>
      </c>
      <c r="D198" s="460" t="s">
        <v>81</v>
      </c>
      <c r="E198" s="460" t="s">
        <v>1217</v>
      </c>
      <c r="F198" s="460" t="s">
        <v>107</v>
      </c>
      <c r="G198" s="172">
        <v>46065</v>
      </c>
      <c r="H198" s="173" t="s">
        <v>1216</v>
      </c>
      <c r="I198" s="84" t="s">
        <v>1215</v>
      </c>
      <c r="J198" s="84" t="s">
        <v>121</v>
      </c>
      <c r="K198" s="84" t="s">
        <v>1210</v>
      </c>
      <c r="L198" s="84" t="str">
        <f t="shared" si="59"/>
        <v>BUCKET-STR VALVE 6" 150# RF, REGULAR, A216</v>
      </c>
      <c r="M198" s="174">
        <v>1</v>
      </c>
      <c r="N198" s="458"/>
      <c r="O198" s="458"/>
      <c r="P198" s="458"/>
      <c r="Q198" s="459"/>
      <c r="R198" s="172">
        <v>46223</v>
      </c>
      <c r="S198" s="172"/>
      <c r="T198" s="172"/>
      <c r="U198" s="172"/>
      <c r="V198" s="172"/>
      <c r="W198" s="172"/>
      <c r="X198" s="172"/>
      <c r="Y198" s="172"/>
      <c r="Z198" s="172"/>
      <c r="AA198" s="460"/>
      <c r="AB198" s="460"/>
      <c r="AC198" s="460"/>
      <c r="AD198" s="86"/>
    </row>
    <row r="199" spans="1:30" ht="26" customHeight="1" x14ac:dyDescent="0.3">
      <c r="A199" s="460" t="s">
        <v>1760</v>
      </c>
      <c r="B199" s="460" t="s">
        <v>119</v>
      </c>
      <c r="C199" s="531">
        <v>150</v>
      </c>
      <c r="D199" s="460" t="s">
        <v>81</v>
      </c>
      <c r="E199" s="460" t="s">
        <v>1217</v>
      </c>
      <c r="F199" s="460" t="s">
        <v>107</v>
      </c>
      <c r="G199" s="172">
        <v>46065</v>
      </c>
      <c r="H199" s="173" t="s">
        <v>1216</v>
      </c>
      <c r="I199" s="84" t="s">
        <v>1215</v>
      </c>
      <c r="J199" s="84" t="s">
        <v>121</v>
      </c>
      <c r="K199" s="84" t="s">
        <v>1210</v>
      </c>
      <c r="L199" s="84" t="str">
        <f t="shared" ref="L199:L262" si="60">IF(A199="","",A199&amp;" VALVE "&amp;B199&amp;" "&amp;C199&amp;"# "&amp;D199&amp;", "&amp;E199&amp;", "&amp;F199)</f>
        <v>BUCKET-STR VALVE 12" 150# RF, REGULAR, A216</v>
      </c>
      <c r="M199" s="174">
        <v>1</v>
      </c>
      <c r="N199" s="458"/>
      <c r="O199" s="458"/>
      <c r="P199" s="458"/>
      <c r="Q199" s="459"/>
      <c r="R199" s="172">
        <v>46223</v>
      </c>
      <c r="S199" s="172"/>
      <c r="T199" s="172"/>
      <c r="U199" s="172"/>
      <c r="V199" s="172"/>
      <c r="W199" s="172"/>
      <c r="X199" s="172"/>
      <c r="Y199" s="172"/>
      <c r="Z199" s="172"/>
      <c r="AA199" s="460"/>
      <c r="AB199" s="460"/>
      <c r="AC199" s="460"/>
      <c r="AD199" s="86"/>
    </row>
    <row r="200" spans="1:30" ht="26" customHeight="1" x14ac:dyDescent="0.3">
      <c r="A200" s="460" t="s">
        <v>1760</v>
      </c>
      <c r="B200" s="460" t="s">
        <v>119</v>
      </c>
      <c r="C200" s="531">
        <v>150</v>
      </c>
      <c r="D200" s="460" t="s">
        <v>81</v>
      </c>
      <c r="E200" s="460" t="s">
        <v>1217</v>
      </c>
      <c r="F200" s="460" t="s">
        <v>107</v>
      </c>
      <c r="G200" s="172">
        <v>46065</v>
      </c>
      <c r="H200" s="173" t="s">
        <v>1216</v>
      </c>
      <c r="I200" s="84" t="s">
        <v>1215</v>
      </c>
      <c r="J200" s="84" t="s">
        <v>121</v>
      </c>
      <c r="K200" s="84" t="s">
        <v>1210</v>
      </c>
      <c r="L200" s="84" t="str">
        <f t="shared" si="60"/>
        <v>BUCKET-STR VALVE 12" 150# RF, REGULAR, A216</v>
      </c>
      <c r="M200" s="174">
        <v>1</v>
      </c>
      <c r="N200" s="458"/>
      <c r="O200" s="458"/>
      <c r="P200" s="458"/>
      <c r="Q200" s="459"/>
      <c r="R200" s="172">
        <v>46223</v>
      </c>
      <c r="S200" s="172"/>
      <c r="T200" s="172"/>
      <c r="U200" s="172"/>
      <c r="V200" s="172"/>
      <c r="W200" s="172"/>
      <c r="X200" s="172"/>
      <c r="Y200" s="172"/>
      <c r="Z200" s="172"/>
      <c r="AA200" s="460"/>
      <c r="AB200" s="460"/>
      <c r="AC200" s="460"/>
      <c r="AD200" s="86"/>
    </row>
    <row r="201" spans="1:30" ht="26" customHeight="1" x14ac:dyDescent="0.3">
      <c r="A201" s="460" t="s">
        <v>1760</v>
      </c>
      <c r="B201" s="460" t="s">
        <v>80</v>
      </c>
      <c r="C201" s="531">
        <v>150</v>
      </c>
      <c r="D201" s="460" t="s">
        <v>81</v>
      </c>
      <c r="E201" s="460" t="s">
        <v>1217</v>
      </c>
      <c r="F201" s="460" t="s">
        <v>107</v>
      </c>
      <c r="G201" s="172">
        <v>46065</v>
      </c>
      <c r="H201" s="173" t="s">
        <v>1216</v>
      </c>
      <c r="I201" s="84" t="s">
        <v>1215</v>
      </c>
      <c r="J201" s="84" t="s">
        <v>121</v>
      </c>
      <c r="K201" s="84" t="s">
        <v>1210</v>
      </c>
      <c r="L201" s="84" t="str">
        <f t="shared" si="60"/>
        <v>BUCKET-STR VALVE 10" 150# RF, REGULAR, A216</v>
      </c>
      <c r="M201" s="174">
        <v>1</v>
      </c>
      <c r="N201" s="458"/>
      <c r="O201" s="458"/>
      <c r="P201" s="458"/>
      <c r="Q201" s="459"/>
      <c r="R201" s="172">
        <v>46223</v>
      </c>
      <c r="S201" s="172"/>
      <c r="T201" s="172"/>
      <c r="U201" s="172"/>
      <c r="V201" s="172"/>
      <c r="W201" s="172"/>
      <c r="X201" s="172"/>
      <c r="Y201" s="172"/>
      <c r="Z201" s="172"/>
      <c r="AA201" s="460"/>
      <c r="AB201" s="460"/>
      <c r="AC201" s="460"/>
      <c r="AD201" s="86"/>
    </row>
    <row r="202" spans="1:30" ht="26" customHeight="1" x14ac:dyDescent="0.3">
      <c r="A202" s="460" t="s">
        <v>1760</v>
      </c>
      <c r="B202" s="460" t="s">
        <v>80</v>
      </c>
      <c r="C202" s="531">
        <v>150</v>
      </c>
      <c r="D202" s="460" t="s">
        <v>81</v>
      </c>
      <c r="E202" s="460" t="s">
        <v>1217</v>
      </c>
      <c r="F202" s="460" t="s">
        <v>107</v>
      </c>
      <c r="G202" s="172">
        <v>46065</v>
      </c>
      <c r="H202" s="173" t="s">
        <v>1216</v>
      </c>
      <c r="I202" s="84" t="s">
        <v>1215</v>
      </c>
      <c r="J202" s="84" t="s">
        <v>121</v>
      </c>
      <c r="K202" s="84" t="s">
        <v>1210</v>
      </c>
      <c r="L202" s="84" t="str">
        <f t="shared" si="60"/>
        <v>BUCKET-STR VALVE 10" 150# RF, REGULAR, A216</v>
      </c>
      <c r="M202" s="174">
        <v>1</v>
      </c>
      <c r="N202" s="458"/>
      <c r="O202" s="458"/>
      <c r="P202" s="458"/>
      <c r="Q202" s="459"/>
      <c r="R202" s="172">
        <v>46223</v>
      </c>
      <c r="S202" s="172"/>
      <c r="T202" s="172"/>
      <c r="U202" s="172"/>
      <c r="V202" s="172"/>
      <c r="W202" s="172"/>
      <c r="X202" s="172"/>
      <c r="Y202" s="172"/>
      <c r="Z202" s="172"/>
      <c r="AA202" s="460"/>
      <c r="AB202" s="460"/>
      <c r="AC202" s="460"/>
      <c r="AD202" s="86"/>
    </row>
    <row r="203" spans="1:30" ht="26" customHeight="1" x14ac:dyDescent="0.3">
      <c r="A203" s="460" t="s">
        <v>1760</v>
      </c>
      <c r="B203" s="460" t="s">
        <v>119</v>
      </c>
      <c r="C203" s="531">
        <v>150</v>
      </c>
      <c r="D203" s="460" t="s">
        <v>81</v>
      </c>
      <c r="E203" s="460" t="s">
        <v>1217</v>
      </c>
      <c r="F203" s="460" t="s">
        <v>107</v>
      </c>
      <c r="G203" s="172">
        <v>46065</v>
      </c>
      <c r="H203" s="173" t="s">
        <v>1216</v>
      </c>
      <c r="I203" s="84" t="s">
        <v>1215</v>
      </c>
      <c r="J203" s="84" t="s">
        <v>121</v>
      </c>
      <c r="K203" s="84" t="s">
        <v>1210</v>
      </c>
      <c r="L203" s="84" t="str">
        <f t="shared" si="60"/>
        <v>BUCKET-STR VALVE 12" 150# RF, REGULAR, A216</v>
      </c>
      <c r="M203" s="174">
        <v>1</v>
      </c>
      <c r="N203" s="458"/>
      <c r="O203" s="458"/>
      <c r="P203" s="458"/>
      <c r="Q203" s="459"/>
      <c r="R203" s="172">
        <v>46223</v>
      </c>
      <c r="S203" s="172"/>
      <c r="T203" s="172"/>
      <c r="U203" s="172"/>
      <c r="V203" s="172"/>
      <c r="W203" s="172"/>
      <c r="X203" s="172"/>
      <c r="Y203" s="172"/>
      <c r="Z203" s="172"/>
      <c r="AA203" s="460"/>
      <c r="AB203" s="460"/>
      <c r="AC203" s="460"/>
      <c r="AD203" s="86"/>
    </row>
    <row r="204" spans="1:30" ht="26" customHeight="1" x14ac:dyDescent="0.3">
      <c r="A204" s="460" t="s">
        <v>1760</v>
      </c>
      <c r="B204" s="460" t="s">
        <v>119</v>
      </c>
      <c r="C204" s="531">
        <v>150</v>
      </c>
      <c r="D204" s="460" t="s">
        <v>81</v>
      </c>
      <c r="E204" s="460" t="s">
        <v>1217</v>
      </c>
      <c r="F204" s="460" t="s">
        <v>107</v>
      </c>
      <c r="G204" s="172">
        <v>46065</v>
      </c>
      <c r="H204" s="173" t="s">
        <v>1216</v>
      </c>
      <c r="I204" s="84" t="s">
        <v>1215</v>
      </c>
      <c r="J204" s="84" t="s">
        <v>121</v>
      </c>
      <c r="K204" s="84" t="s">
        <v>1210</v>
      </c>
      <c r="L204" s="84" t="str">
        <f t="shared" si="60"/>
        <v>BUCKET-STR VALVE 12" 150# RF, REGULAR, A216</v>
      </c>
      <c r="M204" s="174">
        <v>1</v>
      </c>
      <c r="N204" s="458"/>
      <c r="O204" s="458"/>
      <c r="P204" s="458"/>
      <c r="Q204" s="459"/>
      <c r="R204" s="172">
        <v>46223</v>
      </c>
      <c r="S204" s="172"/>
      <c r="T204" s="172"/>
      <c r="U204" s="172"/>
      <c r="V204" s="172"/>
      <c r="W204" s="172"/>
      <c r="X204" s="172"/>
      <c r="Y204" s="172"/>
      <c r="Z204" s="172"/>
      <c r="AA204" s="460"/>
      <c r="AB204" s="460"/>
      <c r="AC204" s="460"/>
      <c r="AD204" s="86"/>
    </row>
    <row r="205" spans="1:30" ht="26" customHeight="1" x14ac:dyDescent="0.3">
      <c r="A205" s="460" t="s">
        <v>1760</v>
      </c>
      <c r="B205" s="460" t="s">
        <v>80</v>
      </c>
      <c r="C205" s="531">
        <v>150</v>
      </c>
      <c r="D205" s="460" t="s">
        <v>81</v>
      </c>
      <c r="E205" s="460" t="s">
        <v>1217</v>
      </c>
      <c r="F205" s="460" t="s">
        <v>107</v>
      </c>
      <c r="G205" s="172">
        <v>46065</v>
      </c>
      <c r="H205" s="173" t="s">
        <v>1216</v>
      </c>
      <c r="I205" s="84" t="s">
        <v>1215</v>
      </c>
      <c r="J205" s="84" t="s">
        <v>121</v>
      </c>
      <c r="K205" s="84" t="s">
        <v>1210</v>
      </c>
      <c r="L205" s="84" t="str">
        <f t="shared" si="60"/>
        <v>BUCKET-STR VALVE 10" 150# RF, REGULAR, A216</v>
      </c>
      <c r="M205" s="174">
        <v>1</v>
      </c>
      <c r="N205" s="458"/>
      <c r="O205" s="458"/>
      <c r="P205" s="458"/>
      <c r="Q205" s="459"/>
      <c r="R205" s="172">
        <v>46223</v>
      </c>
      <c r="S205" s="172"/>
      <c r="T205" s="172"/>
      <c r="U205" s="172"/>
      <c r="V205" s="172"/>
      <c r="W205" s="172"/>
      <c r="X205" s="172"/>
      <c r="Y205" s="172"/>
      <c r="Z205" s="172"/>
      <c r="AA205" s="460"/>
      <c r="AB205" s="460"/>
      <c r="AC205" s="460"/>
      <c r="AD205" s="86"/>
    </row>
    <row r="206" spans="1:30" ht="26" customHeight="1" x14ac:dyDescent="0.3">
      <c r="A206" s="460" t="s">
        <v>1760</v>
      </c>
      <c r="B206" s="460" t="s">
        <v>80</v>
      </c>
      <c r="C206" s="531">
        <v>150</v>
      </c>
      <c r="D206" s="460" t="s">
        <v>81</v>
      </c>
      <c r="E206" s="460" t="s">
        <v>1217</v>
      </c>
      <c r="F206" s="460" t="s">
        <v>107</v>
      </c>
      <c r="G206" s="172">
        <v>46065</v>
      </c>
      <c r="H206" s="173" t="s">
        <v>1216</v>
      </c>
      <c r="I206" s="84" t="s">
        <v>1215</v>
      </c>
      <c r="J206" s="84" t="s">
        <v>121</v>
      </c>
      <c r="K206" s="84" t="s">
        <v>1210</v>
      </c>
      <c r="L206" s="84" t="str">
        <f t="shared" si="60"/>
        <v>BUCKET-STR VALVE 10" 150# RF, REGULAR, A216</v>
      </c>
      <c r="M206" s="174">
        <v>1</v>
      </c>
      <c r="N206" s="458"/>
      <c r="O206" s="458"/>
      <c r="P206" s="458"/>
      <c r="Q206" s="459"/>
      <c r="R206" s="172">
        <v>46223</v>
      </c>
      <c r="S206" s="172"/>
      <c r="T206" s="172"/>
      <c r="U206" s="172"/>
      <c r="V206" s="172"/>
      <c r="W206" s="172"/>
      <c r="X206" s="172"/>
      <c r="Y206" s="172"/>
      <c r="Z206" s="172"/>
      <c r="AA206" s="460"/>
      <c r="AB206" s="460"/>
      <c r="AC206" s="460"/>
      <c r="AD206" s="86"/>
    </row>
    <row r="207" spans="1:30" ht="26" customHeight="1" x14ac:dyDescent="0.3">
      <c r="A207" s="460" t="s">
        <v>1760</v>
      </c>
      <c r="B207" s="460" t="s">
        <v>688</v>
      </c>
      <c r="C207" s="531">
        <v>150</v>
      </c>
      <c r="D207" s="460" t="s">
        <v>81</v>
      </c>
      <c r="E207" s="460" t="s">
        <v>1217</v>
      </c>
      <c r="F207" s="460" t="s">
        <v>107</v>
      </c>
      <c r="G207" s="172">
        <v>46065</v>
      </c>
      <c r="H207" s="173" t="s">
        <v>1216</v>
      </c>
      <c r="I207" s="84" t="s">
        <v>1215</v>
      </c>
      <c r="J207" s="84" t="s">
        <v>121</v>
      </c>
      <c r="K207" s="84" t="s">
        <v>1210</v>
      </c>
      <c r="L207" s="84" t="str">
        <f t="shared" si="60"/>
        <v>BUCKET-STR VALVE 18" 150# RF, REGULAR, A216</v>
      </c>
      <c r="M207" s="174">
        <v>1</v>
      </c>
      <c r="N207" s="458"/>
      <c r="O207" s="458"/>
      <c r="P207" s="458"/>
      <c r="Q207" s="459"/>
      <c r="R207" s="172">
        <v>46223</v>
      </c>
      <c r="S207" s="172"/>
      <c r="T207" s="172"/>
      <c r="U207" s="172"/>
      <c r="V207" s="172"/>
      <c r="W207" s="172"/>
      <c r="X207" s="172"/>
      <c r="Y207" s="172"/>
      <c r="Z207" s="172"/>
      <c r="AA207" s="460"/>
      <c r="AB207" s="460"/>
      <c r="AC207" s="460"/>
      <c r="AD207" s="86"/>
    </row>
    <row r="208" spans="1:30" ht="26" customHeight="1" x14ac:dyDescent="0.3">
      <c r="A208" s="460" t="s">
        <v>1760</v>
      </c>
      <c r="B208" s="460" t="s">
        <v>688</v>
      </c>
      <c r="C208" s="531">
        <v>150</v>
      </c>
      <c r="D208" s="460" t="s">
        <v>81</v>
      </c>
      <c r="E208" s="460" t="s">
        <v>1217</v>
      </c>
      <c r="F208" s="460" t="s">
        <v>107</v>
      </c>
      <c r="G208" s="172">
        <v>46065</v>
      </c>
      <c r="H208" s="173" t="s">
        <v>1216</v>
      </c>
      <c r="I208" s="84" t="s">
        <v>1215</v>
      </c>
      <c r="J208" s="84" t="s">
        <v>121</v>
      </c>
      <c r="K208" s="84" t="s">
        <v>1210</v>
      </c>
      <c r="L208" s="84" t="str">
        <f t="shared" si="60"/>
        <v>BUCKET-STR VALVE 18" 150# RF, REGULAR, A216</v>
      </c>
      <c r="M208" s="174">
        <v>1</v>
      </c>
      <c r="N208" s="458"/>
      <c r="O208" s="458"/>
      <c r="P208" s="458"/>
      <c r="Q208" s="459"/>
      <c r="R208" s="172">
        <v>46223</v>
      </c>
      <c r="S208" s="172"/>
      <c r="T208" s="172"/>
      <c r="U208" s="172"/>
      <c r="V208" s="172"/>
      <c r="W208" s="172"/>
      <c r="X208" s="172"/>
      <c r="Y208" s="172"/>
      <c r="Z208" s="172"/>
      <c r="AA208" s="460"/>
      <c r="AB208" s="460"/>
      <c r="AC208" s="460"/>
      <c r="AD208" s="86"/>
    </row>
    <row r="209" spans="1:84" ht="26" customHeight="1" x14ac:dyDescent="0.3">
      <c r="A209" s="460" t="s">
        <v>1760</v>
      </c>
      <c r="B209" s="460" t="s">
        <v>688</v>
      </c>
      <c r="C209" s="531">
        <v>150</v>
      </c>
      <c r="D209" s="460" t="s">
        <v>81</v>
      </c>
      <c r="E209" s="460" t="s">
        <v>1217</v>
      </c>
      <c r="F209" s="460" t="s">
        <v>107</v>
      </c>
      <c r="G209" s="172">
        <v>46065</v>
      </c>
      <c r="H209" s="173" t="s">
        <v>1216</v>
      </c>
      <c r="I209" s="84" t="s">
        <v>1215</v>
      </c>
      <c r="J209" s="84" t="s">
        <v>121</v>
      </c>
      <c r="K209" s="84" t="s">
        <v>1210</v>
      </c>
      <c r="L209" s="84" t="str">
        <f t="shared" si="60"/>
        <v>BUCKET-STR VALVE 18" 150# RF, REGULAR, A216</v>
      </c>
      <c r="M209" s="174">
        <v>1</v>
      </c>
      <c r="N209" s="458"/>
      <c r="O209" s="458"/>
      <c r="P209" s="458"/>
      <c r="Q209" s="459"/>
      <c r="R209" s="172">
        <v>46223</v>
      </c>
      <c r="S209" s="172"/>
      <c r="T209" s="172"/>
      <c r="U209" s="172"/>
      <c r="V209" s="172"/>
      <c r="W209" s="172"/>
      <c r="X209" s="172"/>
      <c r="Y209" s="172"/>
      <c r="Z209" s="172"/>
      <c r="AA209" s="460"/>
      <c r="AB209" s="460"/>
      <c r="AC209" s="460"/>
      <c r="AD209" s="86"/>
    </row>
    <row r="210" spans="1:84" ht="26" customHeight="1" x14ac:dyDescent="0.3">
      <c r="A210" s="460" t="s">
        <v>1760</v>
      </c>
      <c r="B210" s="460" t="s">
        <v>688</v>
      </c>
      <c r="C210" s="531">
        <v>150</v>
      </c>
      <c r="D210" s="460" t="s">
        <v>81</v>
      </c>
      <c r="E210" s="460" t="s">
        <v>1217</v>
      </c>
      <c r="F210" s="460" t="s">
        <v>107</v>
      </c>
      <c r="G210" s="172">
        <v>46065</v>
      </c>
      <c r="H210" s="173" t="s">
        <v>1216</v>
      </c>
      <c r="I210" s="84" t="s">
        <v>1215</v>
      </c>
      <c r="J210" s="84" t="s">
        <v>121</v>
      </c>
      <c r="K210" s="84" t="s">
        <v>1210</v>
      </c>
      <c r="L210" s="84" t="str">
        <f t="shared" si="60"/>
        <v>BUCKET-STR VALVE 18" 150# RF, REGULAR, A216</v>
      </c>
      <c r="M210" s="174">
        <v>1</v>
      </c>
      <c r="N210" s="458"/>
      <c r="O210" s="458"/>
      <c r="P210" s="458"/>
      <c r="Q210" s="459"/>
      <c r="R210" s="172">
        <v>46223</v>
      </c>
      <c r="S210" s="172"/>
      <c r="T210" s="172"/>
      <c r="U210" s="172"/>
      <c r="V210" s="172"/>
      <c r="W210" s="172"/>
      <c r="X210" s="172"/>
      <c r="Y210" s="172"/>
      <c r="Z210" s="172"/>
      <c r="AA210" s="460"/>
      <c r="AB210" s="460"/>
      <c r="AC210" s="460"/>
      <c r="AD210" s="86"/>
    </row>
    <row r="211" spans="1:84" ht="26" customHeight="1" x14ac:dyDescent="0.3">
      <c r="A211" s="460" t="s">
        <v>1760</v>
      </c>
      <c r="B211" s="460" t="s">
        <v>80</v>
      </c>
      <c r="C211" s="531">
        <v>150</v>
      </c>
      <c r="D211" s="460" t="s">
        <v>81</v>
      </c>
      <c r="E211" s="460" t="s">
        <v>1217</v>
      </c>
      <c r="F211" s="460" t="s">
        <v>107</v>
      </c>
      <c r="G211" s="172">
        <v>46065</v>
      </c>
      <c r="H211" s="173" t="s">
        <v>1216</v>
      </c>
      <c r="I211" s="84" t="s">
        <v>1215</v>
      </c>
      <c r="J211" s="84" t="s">
        <v>121</v>
      </c>
      <c r="K211" s="84" t="s">
        <v>1210</v>
      </c>
      <c r="L211" s="84" t="str">
        <f t="shared" si="60"/>
        <v>BUCKET-STR VALVE 10" 150# RF, REGULAR, A216</v>
      </c>
      <c r="M211" s="174">
        <v>1</v>
      </c>
      <c r="N211" s="458"/>
      <c r="O211" s="458"/>
      <c r="P211" s="458"/>
      <c r="Q211" s="459"/>
      <c r="R211" s="172">
        <v>46223</v>
      </c>
      <c r="S211" s="172"/>
      <c r="T211" s="172"/>
      <c r="U211" s="172"/>
      <c r="V211" s="172"/>
      <c r="W211" s="172"/>
      <c r="X211" s="172"/>
      <c r="Y211" s="172"/>
      <c r="Z211" s="172"/>
      <c r="AA211" s="460"/>
      <c r="AB211" s="460"/>
      <c r="AC211" s="460"/>
      <c r="AD211" s="86"/>
    </row>
    <row r="212" spans="1:84" ht="26" customHeight="1" x14ac:dyDescent="0.3">
      <c r="A212" s="460" t="s">
        <v>1760</v>
      </c>
      <c r="B212" s="460" t="s">
        <v>80</v>
      </c>
      <c r="C212" s="531">
        <v>150</v>
      </c>
      <c r="D212" s="460" t="s">
        <v>81</v>
      </c>
      <c r="E212" s="460" t="s">
        <v>1217</v>
      </c>
      <c r="F212" s="460" t="s">
        <v>107</v>
      </c>
      <c r="G212" s="172">
        <v>46065</v>
      </c>
      <c r="H212" s="173" t="s">
        <v>1216</v>
      </c>
      <c r="I212" s="84" t="s">
        <v>1215</v>
      </c>
      <c r="J212" s="84" t="s">
        <v>121</v>
      </c>
      <c r="K212" s="84" t="s">
        <v>1210</v>
      </c>
      <c r="L212" s="84" t="str">
        <f t="shared" si="60"/>
        <v>BUCKET-STR VALVE 10" 150# RF, REGULAR, A216</v>
      </c>
      <c r="M212" s="174">
        <v>1</v>
      </c>
      <c r="N212" s="458"/>
      <c r="O212" s="458"/>
      <c r="P212" s="458"/>
      <c r="Q212" s="459"/>
      <c r="R212" s="172">
        <v>46223</v>
      </c>
      <c r="S212" s="172"/>
      <c r="T212" s="172"/>
      <c r="U212" s="172"/>
      <c r="V212" s="172"/>
      <c r="W212" s="172"/>
      <c r="X212" s="172"/>
      <c r="Y212" s="172"/>
      <c r="Z212" s="172"/>
      <c r="AA212" s="460"/>
      <c r="AB212" s="460"/>
      <c r="AC212" s="460"/>
      <c r="AD212" s="86"/>
    </row>
    <row r="213" spans="1:84" ht="26" customHeight="1" x14ac:dyDescent="0.3">
      <c r="A213" s="460" t="s">
        <v>1760</v>
      </c>
      <c r="B213" s="460" t="s">
        <v>80</v>
      </c>
      <c r="C213" s="531">
        <v>150</v>
      </c>
      <c r="D213" s="460" t="s">
        <v>81</v>
      </c>
      <c r="E213" s="460" t="s">
        <v>1217</v>
      </c>
      <c r="F213" s="460" t="s">
        <v>107</v>
      </c>
      <c r="G213" s="172">
        <v>46065</v>
      </c>
      <c r="H213" s="173" t="s">
        <v>1216</v>
      </c>
      <c r="I213" s="84" t="s">
        <v>1215</v>
      </c>
      <c r="J213" s="84" t="s">
        <v>121</v>
      </c>
      <c r="K213" s="84" t="s">
        <v>1210</v>
      </c>
      <c r="L213" s="84" t="str">
        <f t="shared" si="60"/>
        <v>BUCKET-STR VALVE 10" 150# RF, REGULAR, A216</v>
      </c>
      <c r="M213" s="174">
        <v>1</v>
      </c>
      <c r="N213" s="458"/>
      <c r="O213" s="458"/>
      <c r="P213" s="458"/>
      <c r="Q213" s="459"/>
      <c r="R213" s="172">
        <v>46223</v>
      </c>
      <c r="S213" s="172"/>
      <c r="T213" s="172"/>
      <c r="U213" s="172"/>
      <c r="V213" s="172"/>
      <c r="W213" s="172"/>
      <c r="X213" s="172"/>
      <c r="Y213" s="172"/>
      <c r="Z213" s="172"/>
      <c r="AA213" s="460"/>
      <c r="AB213" s="460"/>
      <c r="AC213" s="460"/>
      <c r="AD213" s="86"/>
    </row>
    <row r="214" spans="1:84" ht="26" customHeight="1" x14ac:dyDescent="0.3">
      <c r="A214" s="460" t="s">
        <v>1760</v>
      </c>
      <c r="B214" s="460" t="s">
        <v>118</v>
      </c>
      <c r="C214" s="531">
        <v>300</v>
      </c>
      <c r="D214" s="460" t="s">
        <v>81</v>
      </c>
      <c r="E214" s="460" t="s">
        <v>1217</v>
      </c>
      <c r="F214" s="460" t="s">
        <v>107</v>
      </c>
      <c r="G214" s="172">
        <v>46065</v>
      </c>
      <c r="H214" s="173" t="s">
        <v>1216</v>
      </c>
      <c r="I214" s="84" t="s">
        <v>1215</v>
      </c>
      <c r="J214" s="84" t="s">
        <v>121</v>
      </c>
      <c r="K214" s="84" t="s">
        <v>1212</v>
      </c>
      <c r="L214" s="84" t="str">
        <f t="shared" si="60"/>
        <v>BUCKET-STR VALVE 16" 300# RF, REGULAR, A216</v>
      </c>
      <c r="M214" s="174">
        <v>1</v>
      </c>
      <c r="N214" s="458"/>
      <c r="O214" s="458"/>
      <c r="P214" s="458"/>
      <c r="Q214" s="459"/>
      <c r="R214" s="172">
        <v>46223</v>
      </c>
      <c r="S214" s="172"/>
      <c r="T214" s="172"/>
      <c r="U214" s="172"/>
      <c r="V214" s="172"/>
      <c r="W214" s="172"/>
      <c r="X214" s="172"/>
      <c r="Y214" s="172"/>
      <c r="Z214" s="172"/>
      <c r="AA214" s="460"/>
      <c r="AB214" s="460"/>
      <c r="AC214" s="460"/>
      <c r="AD214" s="86"/>
    </row>
    <row r="215" spans="1:84" ht="26" customHeight="1" x14ac:dyDescent="0.3">
      <c r="A215" s="460" t="s">
        <v>1760</v>
      </c>
      <c r="B215" s="460" t="s">
        <v>118</v>
      </c>
      <c r="C215" s="531">
        <v>300</v>
      </c>
      <c r="D215" s="460" t="s">
        <v>81</v>
      </c>
      <c r="E215" s="460" t="s">
        <v>1217</v>
      </c>
      <c r="F215" s="460" t="s">
        <v>107</v>
      </c>
      <c r="G215" s="172">
        <v>46065</v>
      </c>
      <c r="H215" s="173" t="s">
        <v>1216</v>
      </c>
      <c r="I215" s="84" t="s">
        <v>1215</v>
      </c>
      <c r="J215" s="84" t="s">
        <v>121</v>
      </c>
      <c r="K215" s="84" t="s">
        <v>1212</v>
      </c>
      <c r="L215" s="84" t="str">
        <f t="shared" si="60"/>
        <v>BUCKET-STR VALVE 16" 300# RF, REGULAR, A216</v>
      </c>
      <c r="M215" s="174">
        <v>1</v>
      </c>
      <c r="N215" s="458"/>
      <c r="O215" s="458"/>
      <c r="P215" s="458"/>
      <c r="Q215" s="459"/>
      <c r="R215" s="172">
        <v>46223</v>
      </c>
      <c r="S215" s="172"/>
      <c r="T215" s="172"/>
      <c r="U215" s="172"/>
      <c r="V215" s="172"/>
      <c r="W215" s="172"/>
      <c r="X215" s="172"/>
      <c r="Y215" s="172"/>
      <c r="Z215" s="172"/>
      <c r="AA215" s="460"/>
      <c r="AB215" s="460"/>
      <c r="AC215" s="460"/>
      <c r="AD215" s="86"/>
    </row>
    <row r="216" spans="1:84" ht="26" customHeight="1" x14ac:dyDescent="0.3">
      <c r="A216" s="460" t="s">
        <v>1760</v>
      </c>
      <c r="B216" s="460" t="s">
        <v>86</v>
      </c>
      <c r="C216" s="531">
        <v>150</v>
      </c>
      <c r="D216" s="460" t="s">
        <v>81</v>
      </c>
      <c r="E216" s="460" t="s">
        <v>1217</v>
      </c>
      <c r="F216" s="460" t="s">
        <v>1757</v>
      </c>
      <c r="G216" s="172">
        <v>46065</v>
      </c>
      <c r="H216" s="173" t="s">
        <v>1216</v>
      </c>
      <c r="I216" s="84" t="s">
        <v>1215</v>
      </c>
      <c r="J216" s="84" t="s">
        <v>121</v>
      </c>
      <c r="K216" s="84" t="s">
        <v>1214</v>
      </c>
      <c r="L216" s="84" t="str">
        <f t="shared" si="60"/>
        <v>BUCKET-STR VALVE 2" 150# RF, REGULAR, ASTM A216</v>
      </c>
      <c r="M216" s="174">
        <v>1</v>
      </c>
      <c r="N216" s="458"/>
      <c r="O216" s="458"/>
      <c r="P216" s="458"/>
      <c r="Q216" s="459"/>
      <c r="R216" s="172">
        <v>46223</v>
      </c>
      <c r="S216" s="172"/>
      <c r="T216" s="172"/>
      <c r="U216" s="172"/>
      <c r="V216" s="172"/>
      <c r="W216" s="172"/>
      <c r="X216" s="172"/>
      <c r="Y216" s="172"/>
      <c r="Z216" s="172"/>
      <c r="AA216" s="460"/>
      <c r="AB216" s="460"/>
      <c r="AC216" s="460"/>
      <c r="AD216" s="86"/>
    </row>
    <row r="217" spans="1:84" ht="26" customHeight="1" x14ac:dyDescent="0.3">
      <c r="A217" s="460" t="s">
        <v>1760</v>
      </c>
      <c r="B217" s="460" t="s">
        <v>86</v>
      </c>
      <c r="C217" s="531">
        <v>150</v>
      </c>
      <c r="D217" s="460" t="s">
        <v>81</v>
      </c>
      <c r="E217" s="460" t="s">
        <v>1217</v>
      </c>
      <c r="F217" s="460" t="s">
        <v>1757</v>
      </c>
      <c r="G217" s="172">
        <v>46065</v>
      </c>
      <c r="H217" s="173" t="s">
        <v>1216</v>
      </c>
      <c r="I217" s="84" t="s">
        <v>1215</v>
      </c>
      <c r="J217" s="84" t="s">
        <v>121</v>
      </c>
      <c r="K217" s="84" t="s">
        <v>1214</v>
      </c>
      <c r="L217" s="84" t="str">
        <f t="shared" si="60"/>
        <v>BUCKET-STR VALVE 2" 150# RF, REGULAR, ASTM A216</v>
      </c>
      <c r="M217" s="174">
        <v>1</v>
      </c>
      <c r="N217" s="458"/>
      <c r="O217" s="458"/>
      <c r="P217" s="458"/>
      <c r="Q217" s="459"/>
      <c r="R217" s="172">
        <v>46223</v>
      </c>
      <c r="S217" s="172"/>
      <c r="T217" s="172"/>
      <c r="U217" s="172"/>
      <c r="V217" s="172"/>
      <c r="W217" s="172"/>
      <c r="X217" s="172"/>
      <c r="Y217" s="172"/>
      <c r="Z217" s="172"/>
      <c r="AA217" s="460"/>
      <c r="AB217" s="460"/>
      <c r="AC217" s="460"/>
      <c r="AD217" s="86"/>
    </row>
    <row r="218" spans="1:84" ht="26" customHeight="1" x14ac:dyDescent="0.3">
      <c r="A218" s="460" t="s">
        <v>1760</v>
      </c>
      <c r="B218" s="460" t="s">
        <v>86</v>
      </c>
      <c r="C218" s="531">
        <v>150</v>
      </c>
      <c r="D218" s="460" t="s">
        <v>81</v>
      </c>
      <c r="E218" s="460" t="s">
        <v>1217</v>
      </c>
      <c r="F218" s="460" t="s">
        <v>1757</v>
      </c>
      <c r="G218" s="172">
        <v>46065</v>
      </c>
      <c r="H218" s="173" t="s">
        <v>1216</v>
      </c>
      <c r="I218" s="84" t="s">
        <v>1215</v>
      </c>
      <c r="J218" s="84" t="s">
        <v>121</v>
      </c>
      <c r="K218" s="84" t="s">
        <v>1214</v>
      </c>
      <c r="L218" s="84" t="str">
        <f t="shared" si="60"/>
        <v>BUCKET-STR VALVE 2" 150# RF, REGULAR, ASTM A216</v>
      </c>
      <c r="M218" s="174">
        <v>1</v>
      </c>
      <c r="N218" s="458"/>
      <c r="O218" s="458"/>
      <c r="P218" s="458"/>
      <c r="Q218" s="459"/>
      <c r="R218" s="172">
        <v>46223</v>
      </c>
      <c r="S218" s="172"/>
      <c r="T218" s="172"/>
      <c r="U218" s="172"/>
      <c r="V218" s="172"/>
      <c r="W218" s="172"/>
      <c r="X218" s="172"/>
      <c r="Y218" s="172"/>
      <c r="Z218" s="172"/>
      <c r="AA218" s="460"/>
      <c r="AB218" s="460"/>
      <c r="AC218" s="460"/>
      <c r="AD218" s="86"/>
    </row>
    <row r="219" spans="1:84" ht="26" customHeight="1" x14ac:dyDescent="0.3">
      <c r="A219" s="460" t="s">
        <v>1760</v>
      </c>
      <c r="B219" s="460" t="s">
        <v>86</v>
      </c>
      <c r="C219" s="531">
        <v>150</v>
      </c>
      <c r="D219" s="460" t="s">
        <v>81</v>
      </c>
      <c r="E219" s="460" t="s">
        <v>1217</v>
      </c>
      <c r="F219" s="460" t="s">
        <v>1757</v>
      </c>
      <c r="G219" s="172">
        <v>46065</v>
      </c>
      <c r="H219" s="173" t="s">
        <v>1216</v>
      </c>
      <c r="I219" s="84" t="s">
        <v>1215</v>
      </c>
      <c r="J219" s="84" t="s">
        <v>121</v>
      </c>
      <c r="K219" s="84" t="s">
        <v>1214</v>
      </c>
      <c r="L219" s="84" t="str">
        <f t="shared" si="60"/>
        <v>BUCKET-STR VALVE 2" 150# RF, REGULAR, ASTM A216</v>
      </c>
      <c r="M219" s="174">
        <v>1</v>
      </c>
      <c r="N219" s="458"/>
      <c r="O219" s="458"/>
      <c r="P219" s="458"/>
      <c r="Q219" s="459"/>
      <c r="R219" s="172">
        <v>46223</v>
      </c>
      <c r="S219" s="172"/>
      <c r="T219" s="172"/>
      <c r="U219" s="172"/>
      <c r="V219" s="172"/>
      <c r="W219" s="172"/>
      <c r="X219" s="172"/>
      <c r="Y219" s="172"/>
      <c r="Z219" s="172"/>
      <c r="AA219" s="460"/>
      <c r="AB219" s="460"/>
      <c r="AC219" s="460"/>
      <c r="AD219" s="86"/>
    </row>
    <row r="220" spans="1:84" ht="26" customHeight="1" x14ac:dyDescent="0.3">
      <c r="A220" s="460" t="s">
        <v>78</v>
      </c>
      <c r="B220" s="460" t="s">
        <v>89</v>
      </c>
      <c r="C220" s="531">
        <v>800</v>
      </c>
      <c r="D220" s="460" t="s">
        <v>106</v>
      </c>
      <c r="E220" s="460" t="s">
        <v>109</v>
      </c>
      <c r="F220" s="460" t="s">
        <v>180</v>
      </c>
      <c r="G220" s="457">
        <v>46091</v>
      </c>
      <c r="H220" s="173" t="s">
        <v>1746</v>
      </c>
      <c r="I220" s="84" t="s">
        <v>1747</v>
      </c>
      <c r="J220" s="84" t="s">
        <v>1748</v>
      </c>
      <c r="K220" s="84" t="s">
        <v>1749</v>
      </c>
      <c r="L220" s="84" t="str">
        <f t="shared" si="60"/>
        <v>BALL VALVE 1/2" 800# SW, FLOATING, A182</v>
      </c>
      <c r="M220" s="174">
        <v>14</v>
      </c>
      <c r="N220" s="458"/>
      <c r="O220" s="458"/>
      <c r="P220" s="458"/>
      <c r="Q220" s="459"/>
      <c r="R220" s="457"/>
      <c r="S220" s="172"/>
      <c r="T220" s="172"/>
      <c r="U220" s="172"/>
      <c r="V220" s="172"/>
      <c r="W220" s="172"/>
      <c r="X220" s="172"/>
      <c r="Y220" s="172"/>
      <c r="Z220" s="172"/>
      <c r="AA220" s="460"/>
      <c r="AB220" s="460"/>
      <c r="AC220" s="460"/>
      <c r="AD220" s="86"/>
    </row>
    <row r="221" spans="1:84" ht="26" customHeight="1" x14ac:dyDescent="0.3">
      <c r="A221" s="460" t="s">
        <v>94</v>
      </c>
      <c r="B221" s="460" t="s">
        <v>89</v>
      </c>
      <c r="C221" s="531">
        <v>800</v>
      </c>
      <c r="D221" s="460" t="s">
        <v>106</v>
      </c>
      <c r="E221" s="460" t="s">
        <v>97</v>
      </c>
      <c r="F221" s="460" t="s">
        <v>180</v>
      </c>
      <c r="G221" s="457">
        <v>46091</v>
      </c>
      <c r="H221" s="173" t="s">
        <v>1746</v>
      </c>
      <c r="I221" s="84" t="s">
        <v>1747</v>
      </c>
      <c r="J221" s="84" t="s">
        <v>1748</v>
      </c>
      <c r="K221" s="84" t="s">
        <v>1750</v>
      </c>
      <c r="L221" s="84" t="str">
        <f t="shared" si="60"/>
        <v>CHECK VALVE 1/2" 800# SW, BOLTED CAP, A182</v>
      </c>
      <c r="M221" s="174">
        <v>2</v>
      </c>
      <c r="N221" s="458"/>
      <c r="O221" s="458"/>
      <c r="P221" s="458"/>
      <c r="Q221" s="459"/>
      <c r="R221" s="457"/>
      <c r="S221" s="172"/>
      <c r="T221" s="172"/>
      <c r="U221" s="172"/>
      <c r="V221" s="172"/>
      <c r="W221" s="172"/>
      <c r="X221" s="172"/>
      <c r="Y221" s="172"/>
      <c r="Z221" s="172"/>
      <c r="AA221" s="460"/>
      <c r="AB221" s="460"/>
      <c r="AC221" s="460"/>
      <c r="AD221" s="86"/>
    </row>
    <row r="222" spans="1:84" ht="26" customHeight="1" x14ac:dyDescent="0.3">
      <c r="A222" s="460" t="s">
        <v>1547</v>
      </c>
      <c r="B222" s="460" t="s">
        <v>89</v>
      </c>
      <c r="C222" s="531">
        <v>800</v>
      </c>
      <c r="D222" s="460" t="s">
        <v>106</v>
      </c>
      <c r="E222" s="460" t="s">
        <v>1217</v>
      </c>
      <c r="F222" s="460" t="s">
        <v>180</v>
      </c>
      <c r="G222" s="457">
        <v>46091</v>
      </c>
      <c r="H222" s="173" t="s">
        <v>1746</v>
      </c>
      <c r="I222" s="84" t="s">
        <v>1747</v>
      </c>
      <c r="J222" s="84" t="s">
        <v>1748</v>
      </c>
      <c r="K222" s="84" t="s">
        <v>1751</v>
      </c>
      <c r="L222" s="84" t="str">
        <f t="shared" si="60"/>
        <v>STRAINER VALVE 1/2" 800# SW, REGULAR, A182</v>
      </c>
      <c r="M222" s="174">
        <v>2</v>
      </c>
      <c r="N222" s="458"/>
      <c r="O222" s="458"/>
      <c r="P222" s="458"/>
      <c r="Q222" s="459"/>
      <c r="R222" s="457"/>
      <c r="S222" s="172"/>
      <c r="T222" s="172"/>
      <c r="U222" s="172"/>
      <c r="V222" s="172"/>
      <c r="W222" s="172"/>
      <c r="X222" s="172"/>
      <c r="Y222" s="172"/>
      <c r="Z222" s="172"/>
      <c r="AA222" s="460"/>
      <c r="AB222" s="460"/>
      <c r="AC222" s="460"/>
      <c r="AD222" s="86"/>
    </row>
    <row r="223" spans="1:84" s="83" customFormat="1" ht="26" customHeight="1" x14ac:dyDescent="0.25">
      <c r="A223" s="526" t="s">
        <v>78</v>
      </c>
      <c r="B223" s="526" t="s">
        <v>120</v>
      </c>
      <c r="C223" s="541">
        <v>150</v>
      </c>
      <c r="D223" s="526" t="s">
        <v>81</v>
      </c>
      <c r="E223" s="526" t="s">
        <v>108</v>
      </c>
      <c r="F223" s="526" t="s">
        <v>142</v>
      </c>
      <c r="G223" s="172">
        <v>46092</v>
      </c>
      <c r="H223" s="173" t="s">
        <v>210</v>
      </c>
      <c r="I223" s="84" t="s">
        <v>211</v>
      </c>
      <c r="J223" s="87" t="s">
        <v>212</v>
      </c>
      <c r="K223" s="84" t="s">
        <v>209</v>
      </c>
      <c r="L223" s="84" t="str">
        <f t="shared" si="60"/>
        <v>BALL VALVE 8" 150# RF, TRUNNION, A105N</v>
      </c>
      <c r="M223" s="174">
        <v>4</v>
      </c>
      <c r="N223" s="174"/>
      <c r="O223" s="174"/>
      <c r="P223" s="174"/>
      <c r="Q223" s="174"/>
      <c r="R223" s="172">
        <v>46178</v>
      </c>
      <c r="S223" s="172">
        <v>46234</v>
      </c>
      <c r="T223" s="172"/>
      <c r="U223" s="172"/>
      <c r="V223" s="172"/>
      <c r="W223" s="172"/>
      <c r="X223" s="172"/>
      <c r="Y223" s="172"/>
      <c r="Z223" s="172"/>
      <c r="AA223" s="86"/>
      <c r="AB223" s="86"/>
      <c r="AC223" s="86"/>
      <c r="AD223" s="86"/>
      <c r="AE223" s="99"/>
      <c r="AF223" s="100"/>
      <c r="AG223" s="100"/>
      <c r="AH223" s="100"/>
      <c r="AI223" s="100"/>
      <c r="AJ223" s="100"/>
      <c r="AK223" s="100"/>
      <c r="AL223" s="100"/>
      <c r="AM223" s="100"/>
      <c r="AN223" s="100"/>
      <c r="AO223" s="100"/>
      <c r="AP223" s="100"/>
      <c r="AQ223" s="100"/>
      <c r="AR223" s="100"/>
      <c r="AS223" s="100"/>
      <c r="AT223" s="100"/>
      <c r="AU223" s="100"/>
      <c r="AV223" s="100"/>
      <c r="AW223" s="100"/>
      <c r="AX223" s="100"/>
      <c r="AY223" s="100"/>
      <c r="AZ223" s="100"/>
      <c r="BA223" s="100"/>
      <c r="BB223" s="100"/>
      <c r="BC223" s="100"/>
      <c r="BD223" s="100"/>
      <c r="BE223" s="100"/>
      <c r="BF223" s="100"/>
      <c r="BG223" s="100"/>
      <c r="BH223" s="100"/>
      <c r="BI223" s="100"/>
      <c r="BJ223" s="100"/>
      <c r="BK223" s="100"/>
      <c r="BL223" s="100"/>
      <c r="BM223" s="100"/>
      <c r="BN223" s="100"/>
      <c r="BO223" s="100"/>
      <c r="BP223" s="100"/>
      <c r="BQ223" s="100"/>
      <c r="BR223" s="100"/>
      <c r="BS223" s="100"/>
      <c r="BT223" s="100"/>
      <c r="BU223" s="100"/>
      <c r="BV223" s="100"/>
      <c r="BW223" s="100"/>
      <c r="BX223" s="100"/>
      <c r="BY223" s="100"/>
      <c r="BZ223" s="100"/>
      <c r="CA223" s="100"/>
      <c r="CB223" s="100"/>
      <c r="CC223" s="100"/>
      <c r="CD223" s="100"/>
      <c r="CE223" s="100"/>
      <c r="CF223" s="101"/>
    </row>
    <row r="224" spans="1:84" s="83" customFormat="1" ht="26" customHeight="1" x14ac:dyDescent="0.25">
      <c r="A224" s="526" t="s">
        <v>78</v>
      </c>
      <c r="B224" s="526" t="s">
        <v>82</v>
      </c>
      <c r="C224" s="541">
        <v>150</v>
      </c>
      <c r="D224" s="526" t="s">
        <v>81</v>
      </c>
      <c r="E224" s="526" t="s">
        <v>108</v>
      </c>
      <c r="F224" s="526" t="s">
        <v>142</v>
      </c>
      <c r="G224" s="172">
        <v>46092</v>
      </c>
      <c r="H224" s="173" t="s">
        <v>210</v>
      </c>
      <c r="I224" s="84" t="s">
        <v>211</v>
      </c>
      <c r="J224" s="87" t="s">
        <v>212</v>
      </c>
      <c r="K224" s="84" t="s">
        <v>209</v>
      </c>
      <c r="L224" s="84" t="str">
        <f t="shared" si="60"/>
        <v>BALL VALVE 6" 150# RF, TRUNNION, A105N</v>
      </c>
      <c r="M224" s="174">
        <v>4</v>
      </c>
      <c r="N224" s="174"/>
      <c r="O224" s="174"/>
      <c r="P224" s="174"/>
      <c r="Q224" s="174"/>
      <c r="R224" s="172">
        <v>46178</v>
      </c>
      <c r="S224" s="172">
        <v>46234</v>
      </c>
      <c r="T224" s="172"/>
      <c r="U224" s="172"/>
      <c r="V224" s="172"/>
      <c r="W224" s="172"/>
      <c r="X224" s="172"/>
      <c r="Y224" s="172"/>
      <c r="Z224" s="172"/>
      <c r="AA224" s="86"/>
      <c r="AB224" s="86"/>
      <c r="AC224" s="86"/>
      <c r="AD224" s="86"/>
      <c r="AE224" s="99"/>
      <c r="AF224" s="100"/>
      <c r="AG224" s="100"/>
      <c r="AH224" s="100"/>
      <c r="AI224" s="100"/>
      <c r="AJ224" s="100"/>
      <c r="AK224" s="100"/>
      <c r="AL224" s="100"/>
      <c r="AM224" s="100"/>
      <c r="AN224" s="100"/>
      <c r="AO224" s="100"/>
      <c r="AP224" s="100"/>
      <c r="AQ224" s="100"/>
      <c r="AR224" s="100"/>
      <c r="AS224" s="100"/>
      <c r="AT224" s="100"/>
      <c r="AU224" s="100"/>
      <c r="AV224" s="100"/>
      <c r="AW224" s="100"/>
      <c r="AX224" s="100"/>
      <c r="AY224" s="100"/>
      <c r="AZ224" s="100"/>
      <c r="BA224" s="100"/>
      <c r="BB224" s="100"/>
      <c r="BC224" s="100"/>
      <c r="BD224" s="100"/>
      <c r="BE224" s="100"/>
      <c r="BF224" s="100"/>
      <c r="BG224" s="100"/>
      <c r="BH224" s="100"/>
      <c r="BI224" s="100"/>
      <c r="BJ224" s="100"/>
      <c r="BK224" s="100"/>
      <c r="BL224" s="100"/>
      <c r="BM224" s="100"/>
      <c r="BN224" s="100"/>
      <c r="BO224" s="100"/>
      <c r="BP224" s="100"/>
      <c r="BQ224" s="100"/>
      <c r="BR224" s="100"/>
      <c r="BS224" s="100"/>
      <c r="BT224" s="100"/>
      <c r="BU224" s="100"/>
      <c r="BV224" s="100"/>
      <c r="BW224" s="100"/>
      <c r="BX224" s="100"/>
      <c r="BY224" s="100"/>
      <c r="BZ224" s="100"/>
      <c r="CA224" s="100"/>
      <c r="CB224" s="100"/>
      <c r="CC224" s="100"/>
      <c r="CD224" s="100"/>
      <c r="CE224" s="100"/>
      <c r="CF224" s="101"/>
    </row>
    <row r="225" spans="1:84" s="83" customFormat="1" ht="26" customHeight="1" x14ac:dyDescent="0.25">
      <c r="A225" s="526" t="s">
        <v>78</v>
      </c>
      <c r="B225" s="526" t="s">
        <v>84</v>
      </c>
      <c r="C225" s="541">
        <v>150</v>
      </c>
      <c r="D225" s="526" t="s">
        <v>81</v>
      </c>
      <c r="E225" s="526" t="s">
        <v>108</v>
      </c>
      <c r="F225" s="526" t="s">
        <v>142</v>
      </c>
      <c r="G225" s="172">
        <v>46092</v>
      </c>
      <c r="H225" s="173" t="s">
        <v>210</v>
      </c>
      <c r="I225" s="84" t="s">
        <v>211</v>
      </c>
      <c r="J225" s="87" t="s">
        <v>212</v>
      </c>
      <c r="K225" s="84" t="s">
        <v>209</v>
      </c>
      <c r="L225" s="84" t="str">
        <f t="shared" si="60"/>
        <v>BALL VALVE 4" 150# RF, TRUNNION, A105N</v>
      </c>
      <c r="M225" s="174">
        <v>3</v>
      </c>
      <c r="N225" s="174"/>
      <c r="O225" s="174"/>
      <c r="P225" s="174"/>
      <c r="Q225" s="174"/>
      <c r="R225" s="172">
        <v>46178</v>
      </c>
      <c r="S225" s="172">
        <v>46234</v>
      </c>
      <c r="T225" s="172"/>
      <c r="U225" s="172"/>
      <c r="V225" s="172"/>
      <c r="W225" s="172"/>
      <c r="X225" s="172"/>
      <c r="Y225" s="172"/>
      <c r="Z225" s="172"/>
      <c r="AA225" s="86"/>
      <c r="AB225" s="86"/>
      <c r="AC225" s="86"/>
      <c r="AD225" s="86"/>
      <c r="AE225" s="99"/>
      <c r="AF225" s="100"/>
      <c r="AG225" s="100"/>
      <c r="AH225" s="100"/>
      <c r="AI225" s="100"/>
      <c r="AJ225" s="100"/>
      <c r="AK225" s="100"/>
      <c r="AL225" s="100"/>
      <c r="AM225" s="100"/>
      <c r="AN225" s="100"/>
      <c r="AO225" s="100"/>
      <c r="AP225" s="100"/>
      <c r="AQ225" s="100"/>
      <c r="AR225" s="100"/>
      <c r="AS225" s="100"/>
      <c r="AT225" s="100"/>
      <c r="AU225" s="100"/>
      <c r="AV225" s="100"/>
      <c r="AW225" s="100"/>
      <c r="AX225" s="100"/>
      <c r="AY225" s="100"/>
      <c r="AZ225" s="100"/>
      <c r="BA225" s="100"/>
      <c r="BB225" s="100"/>
      <c r="BC225" s="100"/>
      <c r="BD225" s="100"/>
      <c r="BE225" s="100"/>
      <c r="BF225" s="100"/>
      <c r="BG225" s="100"/>
      <c r="BH225" s="100"/>
      <c r="BI225" s="100"/>
      <c r="BJ225" s="100"/>
      <c r="BK225" s="100"/>
      <c r="BL225" s="100"/>
      <c r="BM225" s="100"/>
      <c r="BN225" s="100"/>
      <c r="BO225" s="100"/>
      <c r="BP225" s="100"/>
      <c r="BQ225" s="100"/>
      <c r="BR225" s="100"/>
      <c r="BS225" s="100"/>
      <c r="BT225" s="100"/>
      <c r="BU225" s="100"/>
      <c r="BV225" s="100"/>
      <c r="BW225" s="100"/>
      <c r="BX225" s="100"/>
      <c r="BY225" s="100"/>
      <c r="BZ225" s="100"/>
      <c r="CA225" s="100"/>
      <c r="CB225" s="100"/>
      <c r="CC225" s="100"/>
      <c r="CD225" s="100"/>
      <c r="CE225" s="100"/>
      <c r="CF225" s="101"/>
    </row>
    <row r="226" spans="1:84" s="83" customFormat="1" ht="26" customHeight="1" x14ac:dyDescent="0.25">
      <c r="A226" s="526" t="s">
        <v>78</v>
      </c>
      <c r="B226" s="526" t="s">
        <v>84</v>
      </c>
      <c r="C226" s="541">
        <v>600</v>
      </c>
      <c r="D226" s="526" t="s">
        <v>81</v>
      </c>
      <c r="E226" s="526" t="s">
        <v>108</v>
      </c>
      <c r="F226" s="526" t="s">
        <v>142</v>
      </c>
      <c r="G226" s="172">
        <v>46093</v>
      </c>
      <c r="H226" s="173" t="s">
        <v>224</v>
      </c>
      <c r="I226" s="84" t="s">
        <v>225</v>
      </c>
      <c r="J226" s="87" t="s">
        <v>212</v>
      </c>
      <c r="K226" s="84" t="s">
        <v>221</v>
      </c>
      <c r="L226" s="84" t="str">
        <f t="shared" si="60"/>
        <v>BALL VALVE 4" 600# RF, TRUNNION, A105N</v>
      </c>
      <c r="M226" s="174">
        <v>3</v>
      </c>
      <c r="N226" s="174"/>
      <c r="O226" s="174"/>
      <c r="P226" s="174"/>
      <c r="Q226" s="174"/>
      <c r="R226" s="172">
        <v>46178</v>
      </c>
      <c r="S226" s="172">
        <v>46227</v>
      </c>
      <c r="T226" s="172"/>
      <c r="U226" s="172"/>
      <c r="V226" s="172"/>
      <c r="W226" s="172"/>
      <c r="X226" s="172"/>
      <c r="Y226" s="172"/>
      <c r="Z226" s="172"/>
      <c r="AA226" s="86"/>
      <c r="AB226" s="86"/>
      <c r="AC226" s="86"/>
      <c r="AD226" s="86"/>
      <c r="AE226" s="99"/>
      <c r="AF226" s="100"/>
      <c r="AG226" s="100"/>
      <c r="AH226" s="100"/>
      <c r="AI226" s="100"/>
      <c r="AJ226" s="100"/>
      <c r="AK226" s="100"/>
      <c r="AL226" s="100"/>
      <c r="AM226" s="100"/>
      <c r="AN226" s="100"/>
      <c r="AO226" s="100"/>
      <c r="AP226" s="100"/>
      <c r="AQ226" s="100"/>
      <c r="AR226" s="100"/>
      <c r="AS226" s="100"/>
      <c r="AT226" s="100"/>
      <c r="AU226" s="100"/>
      <c r="AV226" s="100"/>
      <c r="AW226" s="100"/>
      <c r="AX226" s="100"/>
      <c r="AY226" s="100"/>
      <c r="AZ226" s="100"/>
      <c r="BA226" s="100"/>
      <c r="BB226" s="100"/>
      <c r="BC226" s="100"/>
      <c r="BD226" s="100"/>
      <c r="BE226" s="100"/>
      <c r="BF226" s="100"/>
      <c r="BG226" s="100"/>
      <c r="BH226" s="100"/>
      <c r="BI226" s="100"/>
      <c r="BJ226" s="100"/>
      <c r="BK226" s="100"/>
      <c r="BL226" s="100"/>
      <c r="BM226" s="100"/>
      <c r="BN226" s="100"/>
      <c r="BO226" s="100"/>
      <c r="BP226" s="100"/>
      <c r="BQ226" s="100"/>
      <c r="BR226" s="100"/>
      <c r="BS226" s="100"/>
      <c r="BT226" s="100"/>
      <c r="BU226" s="100"/>
      <c r="BV226" s="100"/>
      <c r="BW226" s="100"/>
      <c r="BX226" s="100"/>
      <c r="BY226" s="100"/>
      <c r="BZ226" s="100"/>
      <c r="CA226" s="100"/>
      <c r="CB226" s="100"/>
      <c r="CC226" s="100"/>
      <c r="CD226" s="100"/>
      <c r="CE226" s="100"/>
      <c r="CF226" s="101"/>
    </row>
    <row r="227" spans="1:84" s="83" customFormat="1" ht="26" customHeight="1" x14ac:dyDescent="0.25">
      <c r="A227" s="526" t="s">
        <v>78</v>
      </c>
      <c r="B227" s="526" t="s">
        <v>84</v>
      </c>
      <c r="C227" s="541">
        <v>900</v>
      </c>
      <c r="D227" s="526" t="s">
        <v>81</v>
      </c>
      <c r="E227" s="526" t="s">
        <v>108</v>
      </c>
      <c r="F227" s="526" t="s">
        <v>142</v>
      </c>
      <c r="G227" s="172">
        <v>46093</v>
      </c>
      <c r="H227" s="173" t="s">
        <v>224</v>
      </c>
      <c r="I227" s="84" t="s">
        <v>225</v>
      </c>
      <c r="J227" s="87" t="s">
        <v>212</v>
      </c>
      <c r="K227" s="84" t="s">
        <v>222</v>
      </c>
      <c r="L227" s="84" t="str">
        <f t="shared" si="60"/>
        <v>BALL VALVE 4" 900# RF, TRUNNION, A105N</v>
      </c>
      <c r="M227" s="174">
        <v>2</v>
      </c>
      <c r="N227" s="174"/>
      <c r="O227" s="174"/>
      <c r="P227" s="174"/>
      <c r="Q227" s="174"/>
      <c r="R227" s="172">
        <v>46178</v>
      </c>
      <c r="S227" s="172">
        <v>46227</v>
      </c>
      <c r="T227" s="172"/>
      <c r="U227" s="172"/>
      <c r="V227" s="172"/>
      <c r="W227" s="172"/>
      <c r="X227" s="172"/>
      <c r="Y227" s="172"/>
      <c r="Z227" s="172"/>
      <c r="AA227" s="86"/>
      <c r="AB227" s="86"/>
      <c r="AC227" s="86"/>
      <c r="AD227" s="86"/>
      <c r="AE227" s="99"/>
      <c r="AF227" s="100"/>
      <c r="AG227" s="100"/>
      <c r="AH227" s="100"/>
      <c r="AI227" s="100"/>
      <c r="AJ227" s="100"/>
      <c r="AK227" s="100"/>
      <c r="AL227" s="100"/>
      <c r="AM227" s="100"/>
      <c r="AN227" s="100"/>
      <c r="AO227" s="100"/>
      <c r="AP227" s="100"/>
      <c r="AQ227" s="100"/>
      <c r="AR227" s="100"/>
      <c r="AS227" s="100"/>
      <c r="AT227" s="100"/>
      <c r="AU227" s="100"/>
      <c r="AV227" s="100"/>
      <c r="AW227" s="100"/>
      <c r="AX227" s="100"/>
      <c r="AY227" s="100"/>
      <c r="AZ227" s="100"/>
      <c r="BA227" s="100"/>
      <c r="BB227" s="100"/>
      <c r="BC227" s="100"/>
      <c r="BD227" s="100"/>
      <c r="BE227" s="100"/>
      <c r="BF227" s="100"/>
      <c r="BG227" s="100"/>
      <c r="BH227" s="100"/>
      <c r="BI227" s="100"/>
      <c r="BJ227" s="100"/>
      <c r="BK227" s="100"/>
      <c r="BL227" s="100"/>
      <c r="BM227" s="100"/>
      <c r="BN227" s="100"/>
      <c r="BO227" s="100"/>
      <c r="BP227" s="100"/>
      <c r="BQ227" s="100"/>
      <c r="BR227" s="100"/>
      <c r="BS227" s="100"/>
      <c r="BT227" s="100"/>
      <c r="BU227" s="100"/>
      <c r="BV227" s="100"/>
      <c r="BW227" s="100"/>
      <c r="BX227" s="100"/>
      <c r="BY227" s="100"/>
      <c r="BZ227" s="100"/>
      <c r="CA227" s="100"/>
      <c r="CB227" s="100"/>
      <c r="CC227" s="100"/>
      <c r="CD227" s="100"/>
      <c r="CE227" s="100"/>
      <c r="CF227" s="101"/>
    </row>
    <row r="228" spans="1:84" s="83" customFormat="1" ht="26" customHeight="1" x14ac:dyDescent="0.25">
      <c r="A228" s="526" t="s">
        <v>78</v>
      </c>
      <c r="B228" s="526" t="s">
        <v>84</v>
      </c>
      <c r="C228" s="541">
        <v>1500</v>
      </c>
      <c r="D228" s="526" t="s">
        <v>213</v>
      </c>
      <c r="E228" s="526" t="s">
        <v>108</v>
      </c>
      <c r="F228" s="526" t="s">
        <v>142</v>
      </c>
      <c r="G228" s="172">
        <v>46093</v>
      </c>
      <c r="H228" s="173" t="s">
        <v>224</v>
      </c>
      <c r="I228" s="84" t="s">
        <v>225</v>
      </c>
      <c r="J228" s="87" t="s">
        <v>212</v>
      </c>
      <c r="K228" s="84" t="s">
        <v>223</v>
      </c>
      <c r="L228" s="84" t="str">
        <f t="shared" si="60"/>
        <v>BALL VALVE 4" 1500# RTJ, TRUNNION, A105N</v>
      </c>
      <c r="M228" s="174">
        <v>3</v>
      </c>
      <c r="N228" s="174"/>
      <c r="O228" s="174"/>
      <c r="P228" s="174"/>
      <c r="Q228" s="174"/>
      <c r="R228" s="172">
        <v>46178</v>
      </c>
      <c r="S228" s="172">
        <v>46227</v>
      </c>
      <c r="T228" s="172"/>
      <c r="U228" s="172"/>
      <c r="V228" s="172"/>
      <c r="W228" s="172"/>
      <c r="X228" s="172"/>
      <c r="Y228" s="172"/>
      <c r="Z228" s="172"/>
      <c r="AA228" s="86"/>
      <c r="AB228" s="86"/>
      <c r="AC228" s="86"/>
      <c r="AD228" s="86"/>
      <c r="AE228" s="99"/>
      <c r="AF228" s="100"/>
      <c r="AG228" s="100"/>
      <c r="AH228" s="100"/>
      <c r="AI228" s="100"/>
      <c r="AJ228" s="100"/>
      <c r="AK228" s="100"/>
      <c r="AL228" s="100"/>
      <c r="AM228" s="100"/>
      <c r="AN228" s="100"/>
      <c r="AO228" s="100"/>
      <c r="AP228" s="100"/>
      <c r="AQ228" s="100"/>
      <c r="AR228" s="100"/>
      <c r="AS228" s="100"/>
      <c r="AT228" s="100"/>
      <c r="AU228" s="100"/>
      <c r="AV228" s="100"/>
      <c r="AW228" s="100"/>
      <c r="AX228" s="100"/>
      <c r="AY228" s="100"/>
      <c r="AZ228" s="100"/>
      <c r="BA228" s="100"/>
      <c r="BB228" s="100"/>
      <c r="BC228" s="100"/>
      <c r="BD228" s="100"/>
      <c r="BE228" s="100"/>
      <c r="BF228" s="100"/>
      <c r="BG228" s="100"/>
      <c r="BH228" s="100"/>
      <c r="BI228" s="100"/>
      <c r="BJ228" s="100"/>
      <c r="BK228" s="100"/>
      <c r="BL228" s="100"/>
      <c r="BM228" s="100"/>
      <c r="BN228" s="100"/>
      <c r="BO228" s="100"/>
      <c r="BP228" s="100"/>
      <c r="BQ228" s="100"/>
      <c r="BR228" s="100"/>
      <c r="BS228" s="100"/>
      <c r="BT228" s="100"/>
      <c r="BU228" s="100"/>
      <c r="BV228" s="100"/>
      <c r="BW228" s="100"/>
      <c r="BX228" s="100"/>
      <c r="BY228" s="100"/>
      <c r="BZ228" s="100"/>
      <c r="CA228" s="100"/>
      <c r="CB228" s="100"/>
      <c r="CC228" s="100"/>
      <c r="CD228" s="100"/>
      <c r="CE228" s="100"/>
      <c r="CF228" s="101"/>
    </row>
    <row r="229" spans="1:84" s="83" customFormat="1" ht="26" customHeight="1" x14ac:dyDescent="0.25">
      <c r="A229" s="526" t="s">
        <v>78</v>
      </c>
      <c r="B229" s="526" t="s">
        <v>85</v>
      </c>
      <c r="C229" s="541">
        <v>900</v>
      </c>
      <c r="D229" s="526" t="s">
        <v>81</v>
      </c>
      <c r="E229" s="526" t="s">
        <v>108</v>
      </c>
      <c r="F229" s="526" t="s">
        <v>180</v>
      </c>
      <c r="G229" s="172">
        <v>46093</v>
      </c>
      <c r="H229" s="173" t="s">
        <v>229</v>
      </c>
      <c r="I229" s="84" t="s">
        <v>230</v>
      </c>
      <c r="J229" s="87" t="s">
        <v>212</v>
      </c>
      <c r="K229" s="84" t="s">
        <v>226</v>
      </c>
      <c r="L229" s="84" t="str">
        <f t="shared" si="60"/>
        <v>BALL VALVE 3" 900# RF, TRUNNION, A182</v>
      </c>
      <c r="M229" s="174">
        <v>5</v>
      </c>
      <c r="N229" s="174"/>
      <c r="O229" s="174"/>
      <c r="P229" s="174"/>
      <c r="Q229" s="174"/>
      <c r="R229" s="172">
        <v>46178</v>
      </c>
      <c r="S229" s="172">
        <v>46227</v>
      </c>
      <c r="T229" s="172"/>
      <c r="U229" s="172"/>
      <c r="V229" s="172"/>
      <c r="W229" s="172"/>
      <c r="X229" s="172"/>
      <c r="Y229" s="172"/>
      <c r="Z229" s="172"/>
      <c r="AA229" s="86"/>
      <c r="AB229" s="86"/>
      <c r="AC229" s="86"/>
      <c r="AD229" s="86"/>
      <c r="AE229" s="99"/>
      <c r="AF229" s="100"/>
      <c r="AG229" s="100"/>
      <c r="AH229" s="100"/>
      <c r="AI229" s="100"/>
      <c r="AJ229" s="100"/>
      <c r="AK229" s="100"/>
      <c r="AL229" s="100"/>
      <c r="AM229" s="100"/>
      <c r="AN229" s="100"/>
      <c r="AO229" s="100"/>
      <c r="AP229" s="100"/>
      <c r="AQ229" s="100"/>
      <c r="AR229" s="100"/>
      <c r="AS229" s="100"/>
      <c r="AT229" s="100"/>
      <c r="AU229" s="100"/>
      <c r="AV229" s="100"/>
      <c r="AW229" s="100"/>
      <c r="AX229" s="100"/>
      <c r="AY229" s="100"/>
      <c r="AZ229" s="100"/>
      <c r="BA229" s="100"/>
      <c r="BB229" s="100"/>
      <c r="BC229" s="100"/>
      <c r="BD229" s="100"/>
      <c r="BE229" s="100"/>
      <c r="BF229" s="100"/>
      <c r="BG229" s="100"/>
      <c r="BH229" s="100"/>
      <c r="BI229" s="100"/>
      <c r="BJ229" s="100"/>
      <c r="BK229" s="100"/>
      <c r="BL229" s="100"/>
      <c r="BM229" s="100"/>
      <c r="BN229" s="100"/>
      <c r="BO229" s="100"/>
      <c r="BP229" s="100"/>
      <c r="BQ229" s="100"/>
      <c r="BR229" s="100"/>
      <c r="BS229" s="100"/>
      <c r="BT229" s="100"/>
      <c r="BU229" s="100"/>
      <c r="BV229" s="100"/>
      <c r="BW229" s="100"/>
      <c r="BX229" s="100"/>
      <c r="BY229" s="100"/>
      <c r="BZ229" s="100"/>
      <c r="CA229" s="100"/>
      <c r="CB229" s="100"/>
      <c r="CC229" s="100"/>
      <c r="CD229" s="100"/>
      <c r="CE229" s="100"/>
      <c r="CF229" s="101"/>
    </row>
    <row r="230" spans="1:84" s="83" customFormat="1" ht="26" customHeight="1" x14ac:dyDescent="0.25">
      <c r="A230" s="526" t="s">
        <v>78</v>
      </c>
      <c r="B230" s="526" t="s">
        <v>84</v>
      </c>
      <c r="C230" s="541">
        <v>1500</v>
      </c>
      <c r="D230" s="526" t="s">
        <v>213</v>
      </c>
      <c r="E230" s="526" t="s">
        <v>108</v>
      </c>
      <c r="F230" s="526" t="s">
        <v>180</v>
      </c>
      <c r="G230" s="172">
        <v>46093</v>
      </c>
      <c r="H230" s="173" t="s">
        <v>229</v>
      </c>
      <c r="I230" s="84" t="s">
        <v>230</v>
      </c>
      <c r="J230" s="87" t="s">
        <v>212</v>
      </c>
      <c r="K230" s="84" t="s">
        <v>227</v>
      </c>
      <c r="L230" s="84" t="str">
        <f t="shared" si="60"/>
        <v>BALL VALVE 4" 1500# RTJ, TRUNNION, A182</v>
      </c>
      <c r="M230" s="174">
        <v>1</v>
      </c>
      <c r="N230" s="174"/>
      <c r="O230" s="174"/>
      <c r="P230" s="174"/>
      <c r="Q230" s="174"/>
      <c r="R230" s="172">
        <v>46178</v>
      </c>
      <c r="S230" s="172">
        <v>46227</v>
      </c>
      <c r="T230" s="172"/>
      <c r="U230" s="172"/>
      <c r="V230" s="172"/>
      <c r="W230" s="172"/>
      <c r="X230" s="172"/>
      <c r="Y230" s="172"/>
      <c r="Z230" s="172"/>
      <c r="AA230" s="86"/>
      <c r="AB230" s="86"/>
      <c r="AC230" s="86"/>
      <c r="AD230" s="86"/>
      <c r="AE230" s="99"/>
      <c r="AF230" s="100"/>
      <c r="AG230" s="100"/>
      <c r="AH230" s="100"/>
      <c r="AI230" s="100"/>
      <c r="AJ230" s="100"/>
      <c r="AK230" s="100"/>
      <c r="AL230" s="100"/>
      <c r="AM230" s="100"/>
      <c r="AN230" s="100"/>
      <c r="AO230" s="100"/>
      <c r="AP230" s="100"/>
      <c r="AQ230" s="100"/>
      <c r="AR230" s="100"/>
      <c r="AS230" s="100"/>
      <c r="AT230" s="100"/>
      <c r="AU230" s="100"/>
      <c r="AV230" s="100"/>
      <c r="AW230" s="100"/>
      <c r="AX230" s="100"/>
      <c r="AY230" s="100"/>
      <c r="AZ230" s="100"/>
      <c r="BA230" s="100"/>
      <c r="BB230" s="100"/>
      <c r="BC230" s="100"/>
      <c r="BD230" s="100"/>
      <c r="BE230" s="100"/>
      <c r="BF230" s="100"/>
      <c r="BG230" s="100"/>
      <c r="BH230" s="100"/>
      <c r="BI230" s="100"/>
      <c r="BJ230" s="100"/>
      <c r="BK230" s="100"/>
      <c r="BL230" s="100"/>
      <c r="BM230" s="100"/>
      <c r="BN230" s="100"/>
      <c r="BO230" s="100"/>
      <c r="BP230" s="100"/>
      <c r="BQ230" s="100"/>
      <c r="BR230" s="100"/>
      <c r="BS230" s="100"/>
      <c r="BT230" s="100"/>
      <c r="BU230" s="100"/>
      <c r="BV230" s="100"/>
      <c r="BW230" s="100"/>
      <c r="BX230" s="100"/>
      <c r="BY230" s="100"/>
      <c r="BZ230" s="100"/>
      <c r="CA230" s="100"/>
      <c r="CB230" s="100"/>
      <c r="CC230" s="100"/>
      <c r="CD230" s="100"/>
      <c r="CE230" s="100"/>
      <c r="CF230" s="101"/>
    </row>
    <row r="231" spans="1:84" s="83" customFormat="1" ht="26" customHeight="1" x14ac:dyDescent="0.25">
      <c r="A231" s="526" t="s">
        <v>78</v>
      </c>
      <c r="B231" s="526" t="s">
        <v>120</v>
      </c>
      <c r="C231" s="541">
        <v>600</v>
      </c>
      <c r="D231" s="526" t="s">
        <v>81</v>
      </c>
      <c r="E231" s="526" t="s">
        <v>108</v>
      </c>
      <c r="F231" s="526" t="s">
        <v>180</v>
      </c>
      <c r="G231" s="172">
        <v>46093</v>
      </c>
      <c r="H231" s="173" t="s">
        <v>229</v>
      </c>
      <c r="I231" s="84" t="s">
        <v>230</v>
      </c>
      <c r="J231" s="87" t="s">
        <v>212</v>
      </c>
      <c r="K231" s="84" t="s">
        <v>228</v>
      </c>
      <c r="L231" s="84" t="str">
        <f t="shared" si="60"/>
        <v>BALL VALVE 8" 600# RF, TRUNNION, A182</v>
      </c>
      <c r="M231" s="174">
        <v>1</v>
      </c>
      <c r="N231" s="174"/>
      <c r="O231" s="174"/>
      <c r="P231" s="174"/>
      <c r="Q231" s="174"/>
      <c r="R231" s="172">
        <v>46178</v>
      </c>
      <c r="S231" s="172">
        <v>46227</v>
      </c>
      <c r="T231" s="172"/>
      <c r="U231" s="172"/>
      <c r="V231" s="172"/>
      <c r="W231" s="172"/>
      <c r="X231" s="172"/>
      <c r="Y231" s="172"/>
      <c r="Z231" s="172"/>
      <c r="AA231" s="86"/>
      <c r="AB231" s="86"/>
      <c r="AC231" s="86"/>
      <c r="AD231" s="86"/>
      <c r="AE231" s="99"/>
      <c r="AF231" s="100"/>
      <c r="AG231" s="100"/>
      <c r="AH231" s="100"/>
      <c r="AI231" s="100"/>
      <c r="AJ231" s="100"/>
      <c r="AK231" s="100"/>
      <c r="AL231" s="100"/>
      <c r="AM231" s="100"/>
      <c r="AN231" s="100"/>
      <c r="AO231" s="100"/>
      <c r="AP231" s="100"/>
      <c r="AQ231" s="100"/>
      <c r="AR231" s="100"/>
      <c r="AS231" s="100"/>
      <c r="AT231" s="100"/>
      <c r="AU231" s="100"/>
      <c r="AV231" s="100"/>
      <c r="AW231" s="100"/>
      <c r="AX231" s="100"/>
      <c r="AY231" s="100"/>
      <c r="AZ231" s="100"/>
      <c r="BA231" s="100"/>
      <c r="BB231" s="100"/>
      <c r="BC231" s="100"/>
      <c r="BD231" s="100"/>
      <c r="BE231" s="100"/>
      <c r="BF231" s="100"/>
      <c r="BG231" s="100"/>
      <c r="BH231" s="100"/>
      <c r="BI231" s="100"/>
      <c r="BJ231" s="100"/>
      <c r="BK231" s="100"/>
      <c r="BL231" s="100"/>
      <c r="BM231" s="100"/>
      <c r="BN231" s="100"/>
      <c r="BO231" s="100"/>
      <c r="BP231" s="100"/>
      <c r="BQ231" s="100"/>
      <c r="BR231" s="100"/>
      <c r="BS231" s="100"/>
      <c r="BT231" s="100"/>
      <c r="BU231" s="100"/>
      <c r="BV231" s="100"/>
      <c r="BW231" s="100"/>
      <c r="BX231" s="100"/>
      <c r="BY231" s="100"/>
      <c r="BZ231" s="100"/>
      <c r="CA231" s="100"/>
      <c r="CB231" s="100"/>
      <c r="CC231" s="100"/>
      <c r="CD231" s="100"/>
      <c r="CE231" s="100"/>
      <c r="CF231" s="101"/>
    </row>
    <row r="232" spans="1:84" s="83" customFormat="1" ht="26" customHeight="1" x14ac:dyDescent="0.25">
      <c r="A232" s="526" t="s">
        <v>78</v>
      </c>
      <c r="B232" s="526" t="s">
        <v>120</v>
      </c>
      <c r="C232" s="541">
        <v>300</v>
      </c>
      <c r="D232" s="526" t="s">
        <v>81</v>
      </c>
      <c r="E232" s="526" t="s">
        <v>108</v>
      </c>
      <c r="F232" s="526" t="s">
        <v>181</v>
      </c>
      <c r="G232" s="172">
        <v>46121</v>
      </c>
      <c r="H232" s="173" t="s">
        <v>1153</v>
      </c>
      <c r="I232" s="84" t="s">
        <v>1154</v>
      </c>
      <c r="J232" s="84" t="s">
        <v>1155</v>
      </c>
      <c r="K232" s="84" t="s">
        <v>1156</v>
      </c>
      <c r="L232" s="84" t="str">
        <f t="shared" si="60"/>
        <v>BALL VALVE 8" 300# RF, TRUNNION, A351</v>
      </c>
      <c r="M232" s="174">
        <v>2</v>
      </c>
      <c r="N232" s="174"/>
      <c r="O232" s="174"/>
      <c r="P232" s="174"/>
      <c r="Q232" s="174"/>
      <c r="R232" s="172">
        <f ca="1">WORKDAY(TODAY(),140)</f>
        <v>46448</v>
      </c>
      <c r="S232" s="172">
        <v>46227</v>
      </c>
      <c r="T232" s="172"/>
      <c r="U232" s="172"/>
      <c r="V232" s="172"/>
      <c r="W232" s="172"/>
      <c r="X232" s="172"/>
      <c r="Y232" s="172"/>
      <c r="Z232" s="172"/>
      <c r="AA232" s="86"/>
      <c r="AB232" s="86"/>
      <c r="AC232" s="86"/>
      <c r="AD232" s="86"/>
      <c r="AE232" s="99"/>
      <c r="AF232" s="100"/>
      <c r="AG232" s="100"/>
      <c r="AH232" s="100"/>
      <c r="AI232" s="100"/>
      <c r="AJ232" s="100"/>
      <c r="AK232" s="100"/>
      <c r="AL232" s="100"/>
      <c r="AM232" s="100"/>
      <c r="AN232" s="100"/>
      <c r="AO232" s="100"/>
      <c r="AP232" s="100"/>
      <c r="AQ232" s="100"/>
      <c r="AR232" s="100"/>
      <c r="AS232" s="100"/>
      <c r="AT232" s="100"/>
      <c r="AU232" s="100"/>
      <c r="AV232" s="100"/>
      <c r="AW232" s="100"/>
      <c r="AX232" s="100"/>
      <c r="AY232" s="100"/>
      <c r="AZ232" s="100"/>
      <c r="BA232" s="100"/>
      <c r="BB232" s="100"/>
      <c r="BC232" s="100"/>
      <c r="BD232" s="100"/>
      <c r="BE232" s="100"/>
      <c r="BF232" s="100"/>
      <c r="BG232" s="100"/>
      <c r="BH232" s="100"/>
      <c r="BI232" s="100"/>
      <c r="BJ232" s="100"/>
      <c r="BK232" s="100"/>
      <c r="BL232" s="100"/>
      <c r="BM232" s="100"/>
      <c r="BN232" s="100"/>
      <c r="BO232" s="100"/>
      <c r="BP232" s="100"/>
      <c r="BQ232" s="100"/>
      <c r="BR232" s="100"/>
      <c r="BS232" s="100"/>
      <c r="BT232" s="100"/>
      <c r="BU232" s="100"/>
      <c r="BV232" s="100"/>
      <c r="BW232" s="100"/>
      <c r="BX232" s="100"/>
      <c r="BY232" s="100"/>
      <c r="BZ232" s="100"/>
      <c r="CA232" s="100"/>
      <c r="CB232" s="100"/>
      <c r="CC232" s="100"/>
      <c r="CD232" s="100"/>
      <c r="CE232" s="100"/>
      <c r="CF232" s="101"/>
    </row>
    <row r="233" spans="1:84" s="83" customFormat="1" ht="26" customHeight="1" x14ac:dyDescent="0.25">
      <c r="A233" s="526" t="s">
        <v>78</v>
      </c>
      <c r="B233" s="526" t="s">
        <v>120</v>
      </c>
      <c r="C233" s="541">
        <v>600</v>
      </c>
      <c r="D233" s="526" t="s">
        <v>81</v>
      </c>
      <c r="E233" s="526" t="s">
        <v>108</v>
      </c>
      <c r="F233" s="526" t="s">
        <v>181</v>
      </c>
      <c r="G233" s="172">
        <v>46121</v>
      </c>
      <c r="H233" s="173" t="s">
        <v>1153</v>
      </c>
      <c r="I233" s="84" t="s">
        <v>1154</v>
      </c>
      <c r="J233" s="84" t="s">
        <v>1155</v>
      </c>
      <c r="K233" s="84" t="s">
        <v>1157</v>
      </c>
      <c r="L233" s="84" t="str">
        <f t="shared" si="60"/>
        <v>BALL VALVE 8" 600# RF, TRUNNION, A351</v>
      </c>
      <c r="M233" s="174">
        <v>2</v>
      </c>
      <c r="N233" s="174"/>
      <c r="O233" s="174"/>
      <c r="P233" s="174"/>
      <c r="Q233" s="174"/>
      <c r="R233" s="172">
        <f ca="1">WORKDAY.INTL(TODAY(),140,1)</f>
        <v>46448</v>
      </c>
      <c r="S233" s="172">
        <v>46227</v>
      </c>
      <c r="T233" s="172"/>
      <c r="U233" s="172"/>
      <c r="V233" s="172"/>
      <c r="W233" s="172"/>
      <c r="X233" s="172"/>
      <c r="Y233" s="172"/>
      <c r="Z233" s="172"/>
      <c r="AA233" s="86"/>
      <c r="AB233" s="86"/>
      <c r="AC233" s="86"/>
      <c r="AD233" s="86"/>
      <c r="AE233" s="99"/>
      <c r="AF233" s="100"/>
      <c r="AG233" s="100"/>
      <c r="AH233" s="100"/>
      <c r="AI233" s="100"/>
      <c r="AJ233" s="100"/>
      <c r="AK233" s="100"/>
      <c r="AL233" s="100"/>
      <c r="AM233" s="100"/>
      <c r="AN233" s="100"/>
      <c r="AO233" s="100"/>
      <c r="AP233" s="100"/>
      <c r="AQ233" s="100"/>
      <c r="AR233" s="100"/>
      <c r="AS233" s="100"/>
      <c r="AT233" s="100"/>
      <c r="AU233" s="100"/>
      <c r="AV233" s="100"/>
      <c r="AW233" s="100"/>
      <c r="AX233" s="100"/>
      <c r="AY233" s="100"/>
      <c r="AZ233" s="100"/>
      <c r="BA233" s="100"/>
      <c r="BB233" s="100"/>
      <c r="BC233" s="100"/>
      <c r="BD233" s="100"/>
      <c r="BE233" s="100"/>
      <c r="BF233" s="100"/>
      <c r="BG233" s="100"/>
      <c r="BH233" s="100"/>
      <c r="BI233" s="100"/>
      <c r="BJ233" s="100"/>
      <c r="BK233" s="100"/>
      <c r="BL233" s="100"/>
      <c r="BM233" s="100"/>
      <c r="BN233" s="100"/>
      <c r="BO233" s="100"/>
      <c r="BP233" s="100"/>
      <c r="BQ233" s="100"/>
      <c r="BR233" s="100"/>
      <c r="BS233" s="100"/>
      <c r="BT233" s="100"/>
      <c r="BU233" s="100"/>
      <c r="BV233" s="100"/>
      <c r="BW233" s="100"/>
      <c r="BX233" s="100"/>
      <c r="BY233" s="100"/>
      <c r="BZ233" s="100"/>
      <c r="CA233" s="100"/>
      <c r="CB233" s="100"/>
      <c r="CC233" s="100"/>
      <c r="CD233" s="100"/>
      <c r="CE233" s="100"/>
      <c r="CF233" s="101"/>
    </row>
    <row r="234" spans="1:84" s="83" customFormat="1" ht="26" customHeight="1" x14ac:dyDescent="0.25">
      <c r="A234" s="526" t="s">
        <v>90</v>
      </c>
      <c r="B234" s="526" t="s">
        <v>88</v>
      </c>
      <c r="C234" s="541">
        <v>1500</v>
      </c>
      <c r="D234" s="526" t="s">
        <v>213</v>
      </c>
      <c r="E234" s="526" t="s">
        <v>1218</v>
      </c>
      <c r="F234" s="526" t="s">
        <v>142</v>
      </c>
      <c r="G234" s="172">
        <v>46122</v>
      </c>
      <c r="H234" s="173" t="s">
        <v>217</v>
      </c>
      <c r="I234" s="84" t="s">
        <v>218</v>
      </c>
      <c r="J234" s="84" t="s">
        <v>219</v>
      </c>
      <c r="K234" s="84" t="s">
        <v>214</v>
      </c>
      <c r="L234" s="84" t="str">
        <f t="shared" si="60"/>
        <v>GATE VALVE 3/4" 1500# RTJ, BB-OS&amp;Y, A105N</v>
      </c>
      <c r="M234" s="174">
        <v>2</v>
      </c>
      <c r="N234" s="174"/>
      <c r="O234" s="174"/>
      <c r="P234" s="174"/>
      <c r="Q234" s="174"/>
      <c r="R234" s="172">
        <v>46220</v>
      </c>
      <c r="S234" s="172">
        <v>46227</v>
      </c>
      <c r="T234" s="172">
        <v>46247</v>
      </c>
      <c r="U234" s="172">
        <v>46247</v>
      </c>
      <c r="V234" s="172"/>
      <c r="W234" s="172"/>
      <c r="X234" s="172"/>
      <c r="Y234" s="172"/>
      <c r="Z234" s="172"/>
      <c r="AA234" s="86"/>
      <c r="AB234" s="86"/>
      <c r="AC234" s="86"/>
      <c r="AD234" s="86"/>
      <c r="AE234" s="99"/>
      <c r="AF234" s="100"/>
      <c r="AG234" s="100"/>
      <c r="AH234" s="100"/>
      <c r="AI234" s="100"/>
      <c r="AJ234" s="100"/>
      <c r="AK234" s="100"/>
      <c r="AL234" s="100"/>
      <c r="AM234" s="100"/>
      <c r="AN234" s="100"/>
      <c r="AO234" s="100"/>
      <c r="AP234" s="100"/>
      <c r="AQ234" s="100"/>
      <c r="AR234" s="100"/>
      <c r="AS234" s="100"/>
      <c r="AT234" s="100"/>
      <c r="AU234" s="100"/>
      <c r="AV234" s="100"/>
      <c r="AW234" s="100"/>
      <c r="AX234" s="100"/>
      <c r="AY234" s="100"/>
      <c r="AZ234" s="100"/>
      <c r="BA234" s="100"/>
      <c r="BB234" s="100"/>
      <c r="BC234" s="100"/>
      <c r="BD234" s="100"/>
      <c r="BE234" s="100"/>
      <c r="BF234" s="100"/>
      <c r="BG234" s="100"/>
      <c r="BH234" s="100"/>
      <c r="BI234" s="100"/>
      <c r="BJ234" s="100"/>
      <c r="BK234" s="100"/>
      <c r="BL234" s="100"/>
      <c r="BM234" s="100"/>
      <c r="BN234" s="100"/>
      <c r="BO234" s="100"/>
      <c r="BP234" s="100"/>
      <c r="BQ234" s="100"/>
      <c r="BR234" s="100"/>
      <c r="BS234" s="100"/>
      <c r="BT234" s="100"/>
      <c r="BU234" s="100"/>
      <c r="BV234" s="100"/>
      <c r="BW234" s="100"/>
      <c r="BX234" s="100"/>
      <c r="BY234" s="100"/>
      <c r="BZ234" s="100"/>
      <c r="CA234" s="100"/>
      <c r="CB234" s="100"/>
      <c r="CC234" s="100"/>
      <c r="CD234" s="100"/>
      <c r="CE234" s="100"/>
      <c r="CF234" s="101"/>
    </row>
    <row r="235" spans="1:84" s="83" customFormat="1" ht="26" customHeight="1" x14ac:dyDescent="0.25">
      <c r="A235" s="526" t="s">
        <v>90</v>
      </c>
      <c r="B235" s="526" t="s">
        <v>88</v>
      </c>
      <c r="C235" s="541">
        <v>300</v>
      </c>
      <c r="D235" s="526" t="s">
        <v>81</v>
      </c>
      <c r="E235" s="526" t="s">
        <v>1218</v>
      </c>
      <c r="F235" s="526" t="s">
        <v>142</v>
      </c>
      <c r="G235" s="172">
        <v>46122</v>
      </c>
      <c r="H235" s="173" t="s">
        <v>217</v>
      </c>
      <c r="I235" s="84" t="s">
        <v>218</v>
      </c>
      <c r="J235" s="84" t="s">
        <v>219</v>
      </c>
      <c r="K235" s="84" t="s">
        <v>215</v>
      </c>
      <c r="L235" s="84" t="str">
        <f t="shared" si="60"/>
        <v>GATE VALVE 3/4" 300# RF, BB-OS&amp;Y, A105N</v>
      </c>
      <c r="M235" s="174">
        <v>20</v>
      </c>
      <c r="N235" s="174"/>
      <c r="O235" s="174"/>
      <c r="P235" s="174"/>
      <c r="Q235" s="174"/>
      <c r="R235" s="172">
        <v>46220</v>
      </c>
      <c r="S235" s="172">
        <v>46227</v>
      </c>
      <c r="T235" s="172">
        <v>46247</v>
      </c>
      <c r="U235" s="172">
        <v>46247</v>
      </c>
      <c r="V235" s="172"/>
      <c r="W235" s="172"/>
      <c r="X235" s="172"/>
      <c r="Y235" s="172"/>
      <c r="Z235" s="172"/>
      <c r="AA235" s="86"/>
      <c r="AB235" s="86"/>
      <c r="AC235" s="86"/>
      <c r="AD235" s="86"/>
      <c r="AE235" s="99"/>
      <c r="AF235" s="100"/>
      <c r="AG235" s="100"/>
      <c r="AH235" s="100"/>
      <c r="AI235" s="100"/>
      <c r="AJ235" s="100"/>
      <c r="AK235" s="100"/>
      <c r="AL235" s="100"/>
      <c r="AM235" s="100"/>
      <c r="AN235" s="100"/>
      <c r="AO235" s="100"/>
      <c r="AP235" s="100"/>
      <c r="AQ235" s="100"/>
      <c r="AR235" s="100"/>
      <c r="AS235" s="100"/>
      <c r="AT235" s="100"/>
      <c r="AU235" s="100"/>
      <c r="AV235" s="100"/>
      <c r="AW235" s="100"/>
      <c r="AX235" s="100"/>
      <c r="AY235" s="100"/>
      <c r="AZ235" s="100"/>
      <c r="BA235" s="100"/>
      <c r="BB235" s="100"/>
      <c r="BC235" s="100"/>
      <c r="BD235" s="100"/>
      <c r="BE235" s="100"/>
      <c r="BF235" s="100"/>
      <c r="BG235" s="100"/>
      <c r="BH235" s="100"/>
      <c r="BI235" s="100"/>
      <c r="BJ235" s="100"/>
      <c r="BK235" s="100"/>
      <c r="BL235" s="100"/>
      <c r="BM235" s="100"/>
      <c r="BN235" s="100"/>
      <c r="BO235" s="100"/>
      <c r="BP235" s="100"/>
      <c r="BQ235" s="100"/>
      <c r="BR235" s="100"/>
      <c r="BS235" s="100"/>
      <c r="BT235" s="100"/>
      <c r="BU235" s="100"/>
      <c r="BV235" s="100"/>
      <c r="BW235" s="100"/>
      <c r="BX235" s="100"/>
      <c r="BY235" s="100"/>
      <c r="BZ235" s="100"/>
      <c r="CA235" s="100"/>
      <c r="CB235" s="100"/>
      <c r="CC235" s="100"/>
      <c r="CD235" s="100"/>
      <c r="CE235" s="100"/>
      <c r="CF235" s="101"/>
    </row>
    <row r="236" spans="1:84" s="83" customFormat="1" ht="26" customHeight="1" x14ac:dyDescent="0.25">
      <c r="A236" s="526" t="s">
        <v>90</v>
      </c>
      <c r="B236" s="526" t="s">
        <v>88</v>
      </c>
      <c r="C236" s="541">
        <v>600</v>
      </c>
      <c r="D236" s="526" t="s">
        <v>81</v>
      </c>
      <c r="E236" s="526" t="s">
        <v>1218</v>
      </c>
      <c r="F236" s="526" t="s">
        <v>142</v>
      </c>
      <c r="G236" s="172">
        <v>46122</v>
      </c>
      <c r="H236" s="173" t="s">
        <v>217</v>
      </c>
      <c r="I236" s="84" t="s">
        <v>218</v>
      </c>
      <c r="J236" s="84" t="s">
        <v>219</v>
      </c>
      <c r="K236" s="84" t="s">
        <v>216</v>
      </c>
      <c r="L236" s="84" t="str">
        <f t="shared" si="60"/>
        <v>GATE VALVE 3/4" 600# RF, BB-OS&amp;Y, A105N</v>
      </c>
      <c r="M236" s="174">
        <v>4</v>
      </c>
      <c r="N236" s="174"/>
      <c r="O236" s="174"/>
      <c r="P236" s="174"/>
      <c r="Q236" s="174"/>
      <c r="R236" s="172">
        <v>46220</v>
      </c>
      <c r="S236" s="172">
        <v>46227</v>
      </c>
      <c r="T236" s="172">
        <v>46247</v>
      </c>
      <c r="U236" s="172">
        <v>46247</v>
      </c>
      <c r="V236" s="172"/>
      <c r="W236" s="172"/>
      <c r="X236" s="172"/>
      <c r="Y236" s="172"/>
      <c r="Z236" s="172"/>
      <c r="AA236" s="86"/>
      <c r="AB236" s="86"/>
      <c r="AC236" s="86"/>
      <c r="AD236" s="86"/>
      <c r="AE236" s="99"/>
      <c r="AF236" s="100"/>
      <c r="AG236" s="100"/>
      <c r="AH236" s="100"/>
      <c r="AI236" s="100"/>
      <c r="AJ236" s="100"/>
      <c r="AK236" s="100"/>
      <c r="AL236" s="100"/>
      <c r="AM236" s="100"/>
      <c r="AN236" s="100"/>
      <c r="AO236" s="100"/>
      <c r="AP236" s="100"/>
      <c r="AQ236" s="100"/>
      <c r="AR236" s="100"/>
      <c r="AS236" s="100"/>
      <c r="AT236" s="100"/>
      <c r="AU236" s="100"/>
      <c r="AV236" s="100"/>
      <c r="AW236" s="100"/>
      <c r="AX236" s="100"/>
      <c r="AY236" s="100"/>
      <c r="AZ236" s="100"/>
      <c r="BA236" s="100"/>
      <c r="BB236" s="100"/>
      <c r="BC236" s="100"/>
      <c r="BD236" s="100"/>
      <c r="BE236" s="100"/>
      <c r="BF236" s="100"/>
      <c r="BG236" s="100"/>
      <c r="BH236" s="100"/>
      <c r="BI236" s="100"/>
      <c r="BJ236" s="100"/>
      <c r="BK236" s="100"/>
      <c r="BL236" s="100"/>
      <c r="BM236" s="100"/>
      <c r="BN236" s="100"/>
      <c r="BO236" s="100"/>
      <c r="BP236" s="100"/>
      <c r="BQ236" s="100"/>
      <c r="BR236" s="100"/>
      <c r="BS236" s="100"/>
      <c r="BT236" s="100"/>
      <c r="BU236" s="100"/>
      <c r="BV236" s="100"/>
      <c r="BW236" s="100"/>
      <c r="BX236" s="100"/>
      <c r="BY236" s="100"/>
      <c r="BZ236" s="100"/>
      <c r="CA236" s="100"/>
      <c r="CB236" s="100"/>
      <c r="CC236" s="100"/>
      <c r="CD236" s="100"/>
      <c r="CE236" s="100"/>
      <c r="CF236" s="101"/>
    </row>
    <row r="237" spans="1:84" ht="26" customHeight="1" x14ac:dyDescent="0.3">
      <c r="A237" s="460" t="s">
        <v>78</v>
      </c>
      <c r="B237" s="460" t="s">
        <v>88</v>
      </c>
      <c r="C237" s="531">
        <v>800</v>
      </c>
      <c r="D237" s="460" t="s">
        <v>1232</v>
      </c>
      <c r="E237" s="460" t="s">
        <v>109</v>
      </c>
      <c r="F237" s="460" t="s">
        <v>142</v>
      </c>
      <c r="G237" s="457">
        <v>46232</v>
      </c>
      <c r="H237" s="173" t="s">
        <v>1743</v>
      </c>
      <c r="I237" s="84" t="s">
        <v>1744</v>
      </c>
      <c r="J237" s="84" t="s">
        <v>121</v>
      </c>
      <c r="K237" s="84" t="s">
        <v>1239</v>
      </c>
      <c r="L237" s="84" t="str">
        <f t="shared" si="60"/>
        <v>BALL VALVE 3/4" 800# SW x NPT, FLOATING, A105N</v>
      </c>
      <c r="M237" s="174">
        <v>3</v>
      </c>
      <c r="N237" s="458"/>
      <c r="O237" s="458"/>
      <c r="P237" s="458"/>
      <c r="Q237" s="459"/>
      <c r="R237" s="457">
        <v>46311</v>
      </c>
      <c r="S237" s="172"/>
      <c r="T237" s="172"/>
      <c r="U237" s="172"/>
      <c r="V237" s="172"/>
      <c r="W237" s="172"/>
      <c r="X237" s="172"/>
      <c r="Y237" s="172"/>
      <c r="Z237" s="172"/>
      <c r="AA237" s="460"/>
      <c r="AB237" s="460"/>
      <c r="AC237" s="460"/>
      <c r="AD237" s="86"/>
    </row>
    <row r="238" spans="1:84" ht="26" customHeight="1" x14ac:dyDescent="0.3">
      <c r="A238" s="460" t="s">
        <v>78</v>
      </c>
      <c r="B238" s="460" t="s">
        <v>1737</v>
      </c>
      <c r="C238" s="531">
        <v>800</v>
      </c>
      <c r="D238" s="460" t="s">
        <v>1232</v>
      </c>
      <c r="E238" s="460" t="s">
        <v>109</v>
      </c>
      <c r="F238" s="460" t="s">
        <v>142</v>
      </c>
      <c r="G238" s="457">
        <v>46232</v>
      </c>
      <c r="H238" s="173" t="s">
        <v>1743</v>
      </c>
      <c r="I238" s="84" t="s">
        <v>1744</v>
      </c>
      <c r="J238" s="84" t="s">
        <v>121</v>
      </c>
      <c r="K238" s="84" t="s">
        <v>1239</v>
      </c>
      <c r="L238" s="84" t="str">
        <f t="shared" si="60"/>
        <v>BALL VALVE 1'' 800# SW x NPT, FLOATING, A105N</v>
      </c>
      <c r="M238" s="174">
        <v>9</v>
      </c>
      <c r="N238" s="458"/>
      <c r="O238" s="458"/>
      <c r="P238" s="458"/>
      <c r="Q238" s="459"/>
      <c r="R238" s="457">
        <v>46311</v>
      </c>
      <c r="S238" s="172"/>
      <c r="T238" s="172"/>
      <c r="U238" s="172"/>
      <c r="V238" s="172"/>
      <c r="W238" s="172"/>
      <c r="X238" s="172"/>
      <c r="Y238" s="172"/>
      <c r="Z238" s="172"/>
      <c r="AA238" s="460"/>
      <c r="AB238" s="460"/>
      <c r="AC238" s="460"/>
      <c r="AD238" s="86"/>
    </row>
    <row r="239" spans="1:84" ht="26" customHeight="1" x14ac:dyDescent="0.3">
      <c r="A239" s="460" t="s">
        <v>78</v>
      </c>
      <c r="B239" s="460" t="s">
        <v>86</v>
      </c>
      <c r="C239" s="531">
        <v>150</v>
      </c>
      <c r="D239" s="460" t="s">
        <v>81</v>
      </c>
      <c r="E239" s="460" t="s">
        <v>108</v>
      </c>
      <c r="F239" s="460" t="s">
        <v>107</v>
      </c>
      <c r="G239" s="457">
        <v>46232</v>
      </c>
      <c r="H239" s="173" t="s">
        <v>1743</v>
      </c>
      <c r="I239" s="84" t="s">
        <v>1744</v>
      </c>
      <c r="J239" s="84" t="s">
        <v>121</v>
      </c>
      <c r="K239" s="84" t="s">
        <v>1739</v>
      </c>
      <c r="L239" s="84" t="str">
        <f t="shared" si="60"/>
        <v>BALL VALVE 2" 150# RF, TRUNNION, A216</v>
      </c>
      <c r="M239" s="174">
        <v>19</v>
      </c>
      <c r="N239" s="458"/>
      <c r="O239" s="458"/>
      <c r="P239" s="458"/>
      <c r="Q239" s="459"/>
      <c r="R239" s="457">
        <v>46311</v>
      </c>
      <c r="S239" s="172"/>
      <c r="T239" s="172"/>
      <c r="U239" s="172"/>
      <c r="V239" s="172"/>
      <c r="W239" s="172"/>
      <c r="X239" s="172"/>
      <c r="Y239" s="172"/>
      <c r="Z239" s="172"/>
      <c r="AA239" s="460"/>
      <c r="AB239" s="460"/>
      <c r="AC239" s="460"/>
      <c r="AD239" s="86"/>
    </row>
    <row r="240" spans="1:84" ht="26" customHeight="1" x14ac:dyDescent="0.3">
      <c r="A240" s="460" t="s">
        <v>90</v>
      </c>
      <c r="B240" s="460" t="s">
        <v>86</v>
      </c>
      <c r="C240" s="531">
        <v>150</v>
      </c>
      <c r="D240" s="460" t="s">
        <v>81</v>
      </c>
      <c r="E240" s="460" t="s">
        <v>1218</v>
      </c>
      <c r="F240" s="460" t="s">
        <v>107</v>
      </c>
      <c r="G240" s="457">
        <v>46232</v>
      </c>
      <c r="H240" s="173" t="s">
        <v>1743</v>
      </c>
      <c r="I240" s="84" t="s">
        <v>1744</v>
      </c>
      <c r="J240" s="84" t="s">
        <v>121</v>
      </c>
      <c r="K240" s="84" t="s">
        <v>91</v>
      </c>
      <c r="L240" s="84" t="str">
        <f t="shared" si="60"/>
        <v>GATE VALVE 2" 150# RF, BB-OS&amp;Y, A216</v>
      </c>
      <c r="M240" s="174">
        <v>3</v>
      </c>
      <c r="N240" s="458"/>
      <c r="O240" s="458"/>
      <c r="P240" s="458"/>
      <c r="Q240" s="459"/>
      <c r="R240" s="457">
        <v>46311</v>
      </c>
      <c r="S240" s="172"/>
      <c r="T240" s="172"/>
      <c r="U240" s="172"/>
      <c r="V240" s="172"/>
      <c r="W240" s="172"/>
      <c r="X240" s="172"/>
      <c r="Y240" s="172"/>
      <c r="Z240" s="172"/>
      <c r="AA240" s="460"/>
      <c r="AB240" s="460"/>
      <c r="AC240" s="460"/>
      <c r="AD240" s="86"/>
    </row>
    <row r="241" spans="1:30" ht="26" customHeight="1" x14ac:dyDescent="0.3">
      <c r="A241" s="460" t="s">
        <v>90</v>
      </c>
      <c r="B241" s="460" t="s">
        <v>176</v>
      </c>
      <c r="C241" s="531">
        <v>150</v>
      </c>
      <c r="D241" s="460" t="s">
        <v>81</v>
      </c>
      <c r="E241" s="460" t="s">
        <v>1218</v>
      </c>
      <c r="F241" s="460" t="s">
        <v>107</v>
      </c>
      <c r="G241" s="457">
        <v>46232</v>
      </c>
      <c r="H241" s="173" t="s">
        <v>1743</v>
      </c>
      <c r="I241" s="84" t="s">
        <v>1744</v>
      </c>
      <c r="J241" s="84" t="s">
        <v>121</v>
      </c>
      <c r="K241" s="84" t="s">
        <v>91</v>
      </c>
      <c r="L241" s="84" t="str">
        <f t="shared" si="60"/>
        <v>GATE VALVE 4'' 150# RF, BB-OS&amp;Y, A216</v>
      </c>
      <c r="M241" s="174">
        <v>7</v>
      </c>
      <c r="N241" s="458"/>
      <c r="O241" s="458"/>
      <c r="P241" s="458"/>
      <c r="Q241" s="459"/>
      <c r="R241" s="457">
        <v>46311</v>
      </c>
      <c r="S241" s="172"/>
      <c r="T241" s="172"/>
      <c r="U241" s="172"/>
      <c r="V241" s="172"/>
      <c r="W241" s="172"/>
      <c r="X241" s="172"/>
      <c r="Y241" s="172"/>
      <c r="Z241" s="172"/>
      <c r="AA241" s="460"/>
      <c r="AB241" s="460"/>
      <c r="AC241" s="460"/>
      <c r="AD241" s="86"/>
    </row>
    <row r="242" spans="1:30" ht="26" customHeight="1" x14ac:dyDescent="0.3">
      <c r="A242" s="460" t="s">
        <v>90</v>
      </c>
      <c r="B242" s="460" t="s">
        <v>176</v>
      </c>
      <c r="C242" s="531">
        <v>150</v>
      </c>
      <c r="D242" s="460" t="s">
        <v>81</v>
      </c>
      <c r="E242" s="460" t="s">
        <v>1218</v>
      </c>
      <c r="F242" s="460" t="s">
        <v>107</v>
      </c>
      <c r="G242" s="457">
        <v>46232</v>
      </c>
      <c r="H242" s="173" t="s">
        <v>1743</v>
      </c>
      <c r="I242" s="84" t="s">
        <v>1744</v>
      </c>
      <c r="J242" s="84" t="s">
        <v>121</v>
      </c>
      <c r="K242" s="84" t="s">
        <v>91</v>
      </c>
      <c r="L242" s="84" t="str">
        <f t="shared" si="60"/>
        <v>GATE VALVE 4'' 150# RF, BB-OS&amp;Y, A216</v>
      </c>
      <c r="M242" s="174">
        <v>1</v>
      </c>
      <c r="N242" s="458"/>
      <c r="O242" s="458"/>
      <c r="P242" s="458"/>
      <c r="Q242" s="459"/>
      <c r="R242" s="457">
        <v>46311</v>
      </c>
      <c r="S242" s="172"/>
      <c r="T242" s="172"/>
      <c r="U242" s="172"/>
      <c r="V242" s="172"/>
      <c r="W242" s="172"/>
      <c r="X242" s="172"/>
      <c r="Y242" s="172"/>
      <c r="Z242" s="172"/>
      <c r="AA242" s="460"/>
      <c r="AB242" s="460"/>
      <c r="AC242" s="460"/>
      <c r="AD242" s="86"/>
    </row>
    <row r="243" spans="1:30" ht="26" customHeight="1" x14ac:dyDescent="0.3">
      <c r="A243" s="460" t="s">
        <v>90</v>
      </c>
      <c r="B243" s="460" t="s">
        <v>82</v>
      </c>
      <c r="C243" s="531">
        <v>150</v>
      </c>
      <c r="D243" s="460" t="s">
        <v>81</v>
      </c>
      <c r="E243" s="460" t="s">
        <v>1218</v>
      </c>
      <c r="F243" s="460" t="s">
        <v>107</v>
      </c>
      <c r="G243" s="457">
        <v>46232</v>
      </c>
      <c r="H243" s="173" t="s">
        <v>1743</v>
      </c>
      <c r="I243" s="84" t="s">
        <v>1744</v>
      </c>
      <c r="J243" s="84" t="s">
        <v>121</v>
      </c>
      <c r="K243" s="84" t="s">
        <v>91</v>
      </c>
      <c r="L243" s="84" t="str">
        <f t="shared" si="60"/>
        <v>GATE VALVE 6" 150# RF, BB-OS&amp;Y, A216</v>
      </c>
      <c r="M243" s="174">
        <v>1</v>
      </c>
      <c r="N243" s="458"/>
      <c r="O243" s="458"/>
      <c r="P243" s="458"/>
      <c r="Q243" s="459"/>
      <c r="R243" s="457">
        <v>46311</v>
      </c>
      <c r="S243" s="172"/>
      <c r="T243" s="172"/>
      <c r="U243" s="172"/>
      <c r="V243" s="172"/>
      <c r="W243" s="172"/>
      <c r="X243" s="172"/>
      <c r="Y243" s="172"/>
      <c r="Z243" s="172"/>
      <c r="AA243" s="460"/>
      <c r="AB243" s="460"/>
      <c r="AC243" s="460"/>
      <c r="AD243" s="86"/>
    </row>
    <row r="244" spans="1:30" ht="26" customHeight="1" x14ac:dyDescent="0.3">
      <c r="A244" s="460" t="s">
        <v>90</v>
      </c>
      <c r="B244" s="460" t="s">
        <v>80</v>
      </c>
      <c r="C244" s="531">
        <v>150</v>
      </c>
      <c r="D244" s="460" t="s">
        <v>81</v>
      </c>
      <c r="E244" s="460" t="s">
        <v>1218</v>
      </c>
      <c r="F244" s="460" t="s">
        <v>107</v>
      </c>
      <c r="G244" s="457">
        <v>46232</v>
      </c>
      <c r="H244" s="173" t="s">
        <v>1743</v>
      </c>
      <c r="I244" s="84" t="s">
        <v>1744</v>
      </c>
      <c r="J244" s="84" t="s">
        <v>121</v>
      </c>
      <c r="K244" s="84" t="s">
        <v>91</v>
      </c>
      <c r="L244" s="84" t="str">
        <f t="shared" si="60"/>
        <v>GATE VALVE 10" 150# RF, BB-OS&amp;Y, A216</v>
      </c>
      <c r="M244" s="174">
        <v>2</v>
      </c>
      <c r="N244" s="458"/>
      <c r="O244" s="458"/>
      <c r="P244" s="458"/>
      <c r="Q244" s="459"/>
      <c r="R244" s="457">
        <v>46311</v>
      </c>
      <c r="S244" s="172"/>
      <c r="T244" s="172"/>
      <c r="U244" s="172"/>
      <c r="V244" s="172"/>
      <c r="W244" s="172"/>
      <c r="X244" s="172"/>
      <c r="Y244" s="172"/>
      <c r="Z244" s="172"/>
      <c r="AA244" s="460"/>
      <c r="AB244" s="460"/>
      <c r="AC244" s="460"/>
      <c r="AD244" s="86"/>
    </row>
    <row r="245" spans="1:30" ht="26" customHeight="1" x14ac:dyDescent="0.3">
      <c r="A245" s="460" t="s">
        <v>94</v>
      </c>
      <c r="B245" s="460" t="s">
        <v>86</v>
      </c>
      <c r="C245" s="531">
        <v>150</v>
      </c>
      <c r="D245" s="460" t="s">
        <v>81</v>
      </c>
      <c r="E245" s="460" t="s">
        <v>97</v>
      </c>
      <c r="F245" s="460" t="s">
        <v>107</v>
      </c>
      <c r="G245" s="457">
        <v>46232</v>
      </c>
      <c r="H245" s="173" t="s">
        <v>1743</v>
      </c>
      <c r="I245" s="84" t="s">
        <v>1744</v>
      </c>
      <c r="J245" s="84" t="s">
        <v>121</v>
      </c>
      <c r="K245" s="84" t="s">
        <v>127</v>
      </c>
      <c r="L245" s="84" t="str">
        <f t="shared" si="60"/>
        <v>CHECK VALVE 2" 150# RF, BOLTED CAP, A216</v>
      </c>
      <c r="M245" s="174">
        <v>4</v>
      </c>
      <c r="N245" s="458"/>
      <c r="O245" s="458"/>
      <c r="P245" s="458"/>
      <c r="Q245" s="459"/>
      <c r="R245" s="457">
        <v>46311</v>
      </c>
      <c r="S245" s="172"/>
      <c r="T245" s="172"/>
      <c r="U245" s="172"/>
      <c r="V245" s="172"/>
      <c r="W245" s="172"/>
      <c r="X245" s="172"/>
      <c r="Y245" s="172"/>
      <c r="Z245" s="172"/>
      <c r="AA245" s="460"/>
      <c r="AB245" s="460"/>
      <c r="AC245" s="460"/>
      <c r="AD245" s="86"/>
    </row>
    <row r="246" spans="1:30" ht="26" customHeight="1" x14ac:dyDescent="0.3">
      <c r="A246" s="460" t="s">
        <v>78</v>
      </c>
      <c r="B246" s="460" t="s">
        <v>88</v>
      </c>
      <c r="C246" s="531">
        <v>800</v>
      </c>
      <c r="D246" s="460" t="s">
        <v>1232</v>
      </c>
      <c r="E246" s="460" t="s">
        <v>109</v>
      </c>
      <c r="F246" s="460" t="s">
        <v>142</v>
      </c>
      <c r="G246" s="457">
        <v>46232</v>
      </c>
      <c r="H246" s="173" t="s">
        <v>1743</v>
      </c>
      <c r="I246" s="84" t="s">
        <v>1744</v>
      </c>
      <c r="J246" s="84" t="s">
        <v>121</v>
      </c>
      <c r="K246" s="84" t="s">
        <v>1239</v>
      </c>
      <c r="L246" s="84" t="str">
        <f t="shared" si="60"/>
        <v>BALL VALVE 3/4" 800# SW x NPT, FLOATING, A105N</v>
      </c>
      <c r="M246" s="174">
        <v>2</v>
      </c>
      <c r="N246" s="458"/>
      <c r="O246" s="458"/>
      <c r="P246" s="458"/>
      <c r="Q246" s="459"/>
      <c r="R246" s="457">
        <v>46311</v>
      </c>
      <c r="S246" s="172"/>
      <c r="T246" s="172"/>
      <c r="U246" s="172"/>
      <c r="V246" s="172"/>
      <c r="W246" s="172"/>
      <c r="X246" s="172"/>
      <c r="Y246" s="172"/>
      <c r="Z246" s="172"/>
      <c r="AA246" s="460"/>
      <c r="AB246" s="460"/>
      <c r="AC246" s="460"/>
      <c r="AD246" s="86"/>
    </row>
    <row r="247" spans="1:30" ht="26" customHeight="1" x14ac:dyDescent="0.3">
      <c r="A247" s="460" t="s">
        <v>90</v>
      </c>
      <c r="B247" s="460" t="s">
        <v>176</v>
      </c>
      <c r="C247" s="531">
        <v>150</v>
      </c>
      <c r="D247" s="460" t="s">
        <v>81</v>
      </c>
      <c r="E247" s="460" t="s">
        <v>1218</v>
      </c>
      <c r="F247" s="460" t="s">
        <v>107</v>
      </c>
      <c r="G247" s="457">
        <v>46232</v>
      </c>
      <c r="H247" s="173" t="s">
        <v>1743</v>
      </c>
      <c r="I247" s="84" t="s">
        <v>1744</v>
      </c>
      <c r="J247" s="84" t="s">
        <v>121</v>
      </c>
      <c r="K247" s="84" t="s">
        <v>91</v>
      </c>
      <c r="L247" s="84" t="str">
        <f t="shared" si="60"/>
        <v>GATE VALVE 4'' 150# RF, BB-OS&amp;Y, A216</v>
      </c>
      <c r="M247" s="174">
        <v>1</v>
      </c>
      <c r="N247" s="458"/>
      <c r="O247" s="458"/>
      <c r="P247" s="458"/>
      <c r="Q247" s="459"/>
      <c r="R247" s="457">
        <v>46311</v>
      </c>
      <c r="S247" s="172"/>
      <c r="T247" s="172"/>
      <c r="U247" s="172"/>
      <c r="V247" s="172"/>
      <c r="W247" s="172"/>
      <c r="X247" s="172"/>
      <c r="Y247" s="172"/>
      <c r="Z247" s="172"/>
      <c r="AA247" s="460"/>
      <c r="AB247" s="460"/>
      <c r="AC247" s="460"/>
      <c r="AD247" s="86"/>
    </row>
    <row r="248" spans="1:30" ht="26" customHeight="1" x14ac:dyDescent="0.3">
      <c r="A248" s="460" t="s">
        <v>78</v>
      </c>
      <c r="B248" s="460" t="s">
        <v>88</v>
      </c>
      <c r="C248" s="531">
        <v>800</v>
      </c>
      <c r="D248" s="460" t="s">
        <v>1232</v>
      </c>
      <c r="E248" s="460" t="s">
        <v>109</v>
      </c>
      <c r="F248" s="460" t="s">
        <v>142</v>
      </c>
      <c r="G248" s="457">
        <v>46232</v>
      </c>
      <c r="H248" s="173" t="s">
        <v>1743</v>
      </c>
      <c r="I248" s="84" t="s">
        <v>1744</v>
      </c>
      <c r="J248" s="84" t="s">
        <v>121</v>
      </c>
      <c r="K248" s="84" t="s">
        <v>1239</v>
      </c>
      <c r="L248" s="84" t="str">
        <f t="shared" si="60"/>
        <v>BALL VALVE 3/4" 800# SW x NPT, FLOATING, A105N</v>
      </c>
      <c r="M248" s="174">
        <v>1</v>
      </c>
      <c r="N248" s="458"/>
      <c r="O248" s="458"/>
      <c r="P248" s="458"/>
      <c r="Q248" s="459"/>
      <c r="R248" s="457">
        <v>46311</v>
      </c>
      <c r="S248" s="172"/>
      <c r="T248" s="172"/>
      <c r="U248" s="172"/>
      <c r="V248" s="172"/>
      <c r="W248" s="172"/>
      <c r="X248" s="172"/>
      <c r="Y248" s="172"/>
      <c r="Z248" s="172"/>
      <c r="AA248" s="460"/>
      <c r="AB248" s="460"/>
      <c r="AC248" s="460"/>
      <c r="AD248" s="86"/>
    </row>
    <row r="249" spans="1:30" ht="26" customHeight="1" x14ac:dyDescent="0.3">
      <c r="A249" s="460" t="s">
        <v>90</v>
      </c>
      <c r="B249" s="460" t="s">
        <v>82</v>
      </c>
      <c r="C249" s="531">
        <v>150</v>
      </c>
      <c r="D249" s="460" t="s">
        <v>81</v>
      </c>
      <c r="E249" s="460" t="s">
        <v>1218</v>
      </c>
      <c r="F249" s="460" t="s">
        <v>107</v>
      </c>
      <c r="G249" s="457">
        <v>46232</v>
      </c>
      <c r="H249" s="173" t="s">
        <v>1743</v>
      </c>
      <c r="I249" s="84" t="s">
        <v>1744</v>
      </c>
      <c r="J249" s="84" t="s">
        <v>121</v>
      </c>
      <c r="K249" s="84" t="s">
        <v>91</v>
      </c>
      <c r="L249" s="84" t="str">
        <f t="shared" si="60"/>
        <v>GATE VALVE 6" 150# RF, BB-OS&amp;Y, A216</v>
      </c>
      <c r="M249" s="174">
        <v>1</v>
      </c>
      <c r="N249" s="458"/>
      <c r="O249" s="458"/>
      <c r="P249" s="458"/>
      <c r="Q249" s="459"/>
      <c r="R249" s="457">
        <v>46311</v>
      </c>
      <c r="S249" s="172"/>
      <c r="T249" s="172"/>
      <c r="U249" s="172"/>
      <c r="V249" s="172"/>
      <c r="W249" s="172"/>
      <c r="X249" s="172"/>
      <c r="Y249" s="172"/>
      <c r="Z249" s="172"/>
      <c r="AA249" s="460"/>
      <c r="AB249" s="460"/>
      <c r="AC249" s="460"/>
      <c r="AD249" s="86"/>
    </row>
    <row r="250" spans="1:30" ht="26" customHeight="1" x14ac:dyDescent="0.3">
      <c r="A250" s="460" t="s">
        <v>94</v>
      </c>
      <c r="B250" s="460" t="s">
        <v>82</v>
      </c>
      <c r="C250" s="531">
        <v>150</v>
      </c>
      <c r="D250" s="460" t="s">
        <v>81</v>
      </c>
      <c r="E250" s="460" t="s">
        <v>97</v>
      </c>
      <c r="F250" s="460" t="s">
        <v>107</v>
      </c>
      <c r="G250" s="457">
        <v>46232</v>
      </c>
      <c r="H250" s="173" t="s">
        <v>1743</v>
      </c>
      <c r="I250" s="84" t="s">
        <v>1744</v>
      </c>
      <c r="J250" s="84" t="s">
        <v>121</v>
      </c>
      <c r="K250" s="84" t="s">
        <v>127</v>
      </c>
      <c r="L250" s="84" t="str">
        <f t="shared" si="60"/>
        <v>CHECK VALVE 6" 150# RF, BOLTED CAP, A216</v>
      </c>
      <c r="M250" s="174">
        <v>1</v>
      </c>
      <c r="N250" s="458"/>
      <c r="O250" s="458"/>
      <c r="P250" s="458"/>
      <c r="Q250" s="459"/>
      <c r="R250" s="457">
        <v>46311</v>
      </c>
      <c r="S250" s="172"/>
      <c r="T250" s="172"/>
      <c r="U250" s="172"/>
      <c r="V250" s="172"/>
      <c r="W250" s="172"/>
      <c r="X250" s="172"/>
      <c r="Y250" s="172"/>
      <c r="Z250" s="172"/>
      <c r="AA250" s="460"/>
      <c r="AB250" s="460"/>
      <c r="AC250" s="460"/>
      <c r="AD250" s="86"/>
    </row>
    <row r="251" spans="1:30" ht="26" customHeight="1" x14ac:dyDescent="0.3">
      <c r="A251" s="460" t="s">
        <v>78</v>
      </c>
      <c r="B251" s="460" t="s">
        <v>88</v>
      </c>
      <c r="C251" s="531">
        <v>800</v>
      </c>
      <c r="D251" s="460" t="s">
        <v>1232</v>
      </c>
      <c r="E251" s="460" t="s">
        <v>109</v>
      </c>
      <c r="F251" s="460" t="s">
        <v>142</v>
      </c>
      <c r="G251" s="457">
        <v>46232</v>
      </c>
      <c r="H251" s="173" t="s">
        <v>1743</v>
      </c>
      <c r="I251" s="84" t="s">
        <v>1744</v>
      </c>
      <c r="J251" s="84" t="s">
        <v>121</v>
      </c>
      <c r="K251" s="84" t="s">
        <v>1239</v>
      </c>
      <c r="L251" s="84" t="str">
        <f t="shared" si="60"/>
        <v>BALL VALVE 3/4" 800# SW x NPT, FLOATING, A105N</v>
      </c>
      <c r="M251" s="174">
        <v>2</v>
      </c>
      <c r="N251" s="458"/>
      <c r="O251" s="458"/>
      <c r="P251" s="458"/>
      <c r="Q251" s="459"/>
      <c r="R251" s="457">
        <v>46311</v>
      </c>
      <c r="S251" s="172"/>
      <c r="T251" s="172"/>
      <c r="U251" s="172"/>
      <c r="V251" s="172"/>
      <c r="W251" s="172"/>
      <c r="X251" s="172"/>
      <c r="Y251" s="172"/>
      <c r="Z251" s="172"/>
      <c r="AA251" s="460"/>
      <c r="AB251" s="460"/>
      <c r="AC251" s="460"/>
      <c r="AD251" s="86"/>
    </row>
    <row r="252" spans="1:30" ht="26" customHeight="1" x14ac:dyDescent="0.3">
      <c r="A252" s="460" t="s">
        <v>90</v>
      </c>
      <c r="B252" s="460" t="s">
        <v>86</v>
      </c>
      <c r="C252" s="531">
        <v>150</v>
      </c>
      <c r="D252" s="460" t="s">
        <v>81</v>
      </c>
      <c r="E252" s="460" t="s">
        <v>1218</v>
      </c>
      <c r="F252" s="460" t="s">
        <v>107</v>
      </c>
      <c r="G252" s="457">
        <v>46232</v>
      </c>
      <c r="H252" s="173" t="s">
        <v>1743</v>
      </c>
      <c r="I252" s="84" t="s">
        <v>1744</v>
      </c>
      <c r="J252" s="84" t="s">
        <v>121</v>
      </c>
      <c r="K252" s="84" t="s">
        <v>91</v>
      </c>
      <c r="L252" s="84" t="str">
        <f t="shared" si="60"/>
        <v>GATE VALVE 2" 150# RF, BB-OS&amp;Y, A216</v>
      </c>
      <c r="M252" s="174">
        <v>5</v>
      </c>
      <c r="N252" s="458"/>
      <c r="O252" s="458"/>
      <c r="P252" s="458"/>
      <c r="Q252" s="459"/>
      <c r="R252" s="457">
        <v>46311</v>
      </c>
      <c r="S252" s="172"/>
      <c r="T252" s="172"/>
      <c r="U252" s="172"/>
      <c r="V252" s="172"/>
      <c r="W252" s="172"/>
      <c r="X252" s="172"/>
      <c r="Y252" s="172"/>
      <c r="Z252" s="172"/>
      <c r="AA252" s="460"/>
      <c r="AB252" s="460"/>
      <c r="AC252" s="460"/>
      <c r="AD252" s="86"/>
    </row>
    <row r="253" spans="1:30" ht="26" customHeight="1" x14ac:dyDescent="0.3">
      <c r="A253" s="460" t="s">
        <v>78</v>
      </c>
      <c r="B253" s="460" t="s">
        <v>88</v>
      </c>
      <c r="C253" s="531">
        <v>800</v>
      </c>
      <c r="D253" s="460" t="s">
        <v>1232</v>
      </c>
      <c r="E253" s="460" t="s">
        <v>109</v>
      </c>
      <c r="F253" s="460" t="s">
        <v>180</v>
      </c>
      <c r="G253" s="457">
        <v>46232</v>
      </c>
      <c r="H253" s="173" t="s">
        <v>1743</v>
      </c>
      <c r="I253" s="84" t="s">
        <v>1744</v>
      </c>
      <c r="J253" s="84" t="s">
        <v>121</v>
      </c>
      <c r="K253" s="84" t="s">
        <v>1740</v>
      </c>
      <c r="L253" s="84" t="str">
        <f t="shared" si="60"/>
        <v>BALL VALVE 3/4" 800# SW x NPT, FLOATING, A182</v>
      </c>
      <c r="M253" s="174">
        <v>24</v>
      </c>
      <c r="N253" s="458"/>
      <c r="O253" s="458"/>
      <c r="P253" s="458"/>
      <c r="Q253" s="459"/>
      <c r="R253" s="457">
        <v>46311</v>
      </c>
      <c r="S253" s="172"/>
      <c r="T253" s="172"/>
      <c r="U253" s="172"/>
      <c r="V253" s="172"/>
      <c r="W253" s="172"/>
      <c r="X253" s="172"/>
      <c r="Y253" s="172"/>
      <c r="Z253" s="172"/>
      <c r="AA253" s="460"/>
      <c r="AB253" s="460"/>
      <c r="AC253" s="460"/>
      <c r="AD253" s="86"/>
    </row>
    <row r="254" spans="1:30" ht="26" customHeight="1" x14ac:dyDescent="0.3">
      <c r="A254" s="460" t="s">
        <v>78</v>
      </c>
      <c r="B254" s="460" t="s">
        <v>117</v>
      </c>
      <c r="C254" s="531">
        <v>800</v>
      </c>
      <c r="D254" s="460" t="s">
        <v>1232</v>
      </c>
      <c r="E254" s="460" t="s">
        <v>109</v>
      </c>
      <c r="F254" s="460" t="s">
        <v>180</v>
      </c>
      <c r="G254" s="457">
        <v>46232</v>
      </c>
      <c r="H254" s="173" t="s">
        <v>1743</v>
      </c>
      <c r="I254" s="84" t="s">
        <v>1744</v>
      </c>
      <c r="J254" s="84" t="s">
        <v>121</v>
      </c>
      <c r="K254" s="84" t="s">
        <v>1740</v>
      </c>
      <c r="L254" s="84" t="str">
        <f t="shared" si="60"/>
        <v>BALL VALVE 1" 800# SW x NPT, FLOATING, A182</v>
      </c>
      <c r="M254" s="174">
        <v>5</v>
      </c>
      <c r="N254" s="458"/>
      <c r="O254" s="458"/>
      <c r="P254" s="458"/>
      <c r="Q254" s="459"/>
      <c r="R254" s="457">
        <v>46311</v>
      </c>
      <c r="S254" s="172"/>
      <c r="T254" s="172"/>
      <c r="U254" s="172"/>
      <c r="V254" s="172"/>
      <c r="W254" s="172"/>
      <c r="X254" s="172"/>
      <c r="Y254" s="172"/>
      <c r="Z254" s="172"/>
      <c r="AA254" s="460"/>
      <c r="AB254" s="460"/>
      <c r="AC254" s="460"/>
      <c r="AD254" s="86"/>
    </row>
    <row r="255" spans="1:30" ht="26" customHeight="1" x14ac:dyDescent="0.3">
      <c r="A255" s="460" t="s">
        <v>78</v>
      </c>
      <c r="B255" s="460" t="s">
        <v>86</v>
      </c>
      <c r="C255" s="531">
        <v>150</v>
      </c>
      <c r="D255" s="460" t="s">
        <v>81</v>
      </c>
      <c r="E255" s="460" t="s">
        <v>108</v>
      </c>
      <c r="F255" s="460" t="s">
        <v>181</v>
      </c>
      <c r="G255" s="457">
        <v>46232</v>
      </c>
      <c r="H255" s="173" t="s">
        <v>1743</v>
      </c>
      <c r="I255" s="84" t="s">
        <v>1744</v>
      </c>
      <c r="J255" s="84" t="s">
        <v>121</v>
      </c>
      <c r="K255" s="84" t="s">
        <v>1741</v>
      </c>
      <c r="L255" s="84" t="str">
        <f t="shared" si="60"/>
        <v>BALL VALVE 2" 150# RF, TRUNNION, A351</v>
      </c>
      <c r="M255" s="174">
        <v>9</v>
      </c>
      <c r="N255" s="458"/>
      <c r="O255" s="458"/>
      <c r="P255" s="458"/>
      <c r="Q255" s="459"/>
      <c r="R255" s="457">
        <v>46311</v>
      </c>
      <c r="S255" s="172"/>
      <c r="T255" s="172"/>
      <c r="U255" s="172"/>
      <c r="V255" s="172"/>
      <c r="W255" s="172"/>
      <c r="X255" s="172"/>
      <c r="Y255" s="172"/>
      <c r="Z255" s="172"/>
      <c r="AA255" s="460"/>
      <c r="AB255" s="460"/>
      <c r="AC255" s="460"/>
      <c r="AD255" s="86"/>
    </row>
    <row r="256" spans="1:30" ht="26" customHeight="1" x14ac:dyDescent="0.3">
      <c r="A256" s="460" t="s">
        <v>94</v>
      </c>
      <c r="B256" s="460" t="s">
        <v>86</v>
      </c>
      <c r="C256" s="531">
        <v>150</v>
      </c>
      <c r="D256" s="460" t="s">
        <v>81</v>
      </c>
      <c r="E256" s="460" t="s">
        <v>97</v>
      </c>
      <c r="F256" s="460" t="s">
        <v>181</v>
      </c>
      <c r="G256" s="457">
        <v>46232</v>
      </c>
      <c r="H256" s="173" t="s">
        <v>1743</v>
      </c>
      <c r="I256" s="84" t="s">
        <v>1744</v>
      </c>
      <c r="J256" s="84" t="s">
        <v>121</v>
      </c>
      <c r="K256" s="84" t="s">
        <v>1742</v>
      </c>
      <c r="L256" s="84" t="str">
        <f t="shared" si="60"/>
        <v>CHECK VALVE 2" 150# RF, BOLTED CAP, A351</v>
      </c>
      <c r="M256" s="174">
        <v>2</v>
      </c>
      <c r="N256" s="458"/>
      <c r="O256" s="458"/>
      <c r="P256" s="458"/>
      <c r="Q256" s="459"/>
      <c r="R256" s="457">
        <v>46311</v>
      </c>
      <c r="S256" s="172"/>
      <c r="T256" s="172"/>
      <c r="U256" s="172"/>
      <c r="V256" s="172"/>
      <c r="W256" s="172"/>
      <c r="X256" s="172"/>
      <c r="Y256" s="172"/>
      <c r="Z256" s="172"/>
      <c r="AA256" s="460"/>
      <c r="AB256" s="460"/>
      <c r="AC256" s="460"/>
      <c r="AD256" s="86"/>
    </row>
    <row r="257" spans="1:30" ht="26" customHeight="1" x14ac:dyDescent="0.3">
      <c r="A257" s="460" t="s">
        <v>90</v>
      </c>
      <c r="B257" s="460" t="s">
        <v>86</v>
      </c>
      <c r="C257" s="531">
        <v>150</v>
      </c>
      <c r="D257" s="460" t="s">
        <v>81</v>
      </c>
      <c r="E257" s="460" t="s">
        <v>1218</v>
      </c>
      <c r="F257" s="460" t="s">
        <v>181</v>
      </c>
      <c r="G257" s="457">
        <v>46232</v>
      </c>
      <c r="H257" s="173" t="s">
        <v>1743</v>
      </c>
      <c r="I257" s="84" t="s">
        <v>1744</v>
      </c>
      <c r="J257" s="84" t="s">
        <v>121</v>
      </c>
      <c r="K257" s="84" t="s">
        <v>169</v>
      </c>
      <c r="L257" s="84" t="str">
        <f t="shared" si="60"/>
        <v>GATE VALVE 2" 150# RF, BB-OS&amp;Y, A351</v>
      </c>
      <c r="M257" s="174">
        <v>4</v>
      </c>
      <c r="N257" s="458"/>
      <c r="O257" s="458"/>
      <c r="P257" s="458"/>
      <c r="Q257" s="459"/>
      <c r="R257" s="457">
        <v>46311</v>
      </c>
      <c r="S257" s="172"/>
      <c r="T257" s="172"/>
      <c r="U257" s="172"/>
      <c r="V257" s="172"/>
      <c r="W257" s="172"/>
      <c r="X257" s="172"/>
      <c r="Y257" s="172"/>
      <c r="Z257" s="172"/>
      <c r="AA257" s="460"/>
      <c r="AB257" s="460"/>
      <c r="AC257" s="460"/>
      <c r="AD257" s="86"/>
    </row>
    <row r="258" spans="1:30" ht="26" customHeight="1" x14ac:dyDescent="0.3">
      <c r="A258" s="460" t="s">
        <v>90</v>
      </c>
      <c r="B258" s="460" t="s">
        <v>88</v>
      </c>
      <c r="C258" s="531">
        <v>1500</v>
      </c>
      <c r="D258" s="460" t="s">
        <v>81</v>
      </c>
      <c r="E258" s="460" t="s">
        <v>1218</v>
      </c>
      <c r="F258" s="460" t="s">
        <v>142</v>
      </c>
      <c r="G258" s="172">
        <v>46127</v>
      </c>
      <c r="H258" s="173" t="s">
        <v>1221</v>
      </c>
      <c r="I258" s="84" t="s">
        <v>1222</v>
      </c>
      <c r="J258" s="84" t="s">
        <v>212</v>
      </c>
      <c r="K258" s="84" t="s">
        <v>1223</v>
      </c>
      <c r="L258" s="84" t="str">
        <f t="shared" si="60"/>
        <v>GATE VALVE 3/4" 1500# RF, BB-OS&amp;Y, A105N</v>
      </c>
      <c r="M258" s="174">
        <v>2</v>
      </c>
      <c r="N258" s="458"/>
      <c r="O258" s="458"/>
      <c r="P258" s="458"/>
      <c r="Q258" s="459"/>
      <c r="R258" s="457">
        <v>46212</v>
      </c>
      <c r="S258" s="172"/>
      <c r="T258" s="172"/>
      <c r="U258" s="172"/>
      <c r="V258" s="172"/>
      <c r="W258" s="172"/>
      <c r="X258" s="172"/>
      <c r="Y258" s="172"/>
      <c r="Z258" s="172"/>
      <c r="AA258" s="460"/>
      <c r="AB258" s="460"/>
      <c r="AC258" s="460"/>
      <c r="AD258" s="86"/>
    </row>
    <row r="259" spans="1:30" ht="26" customHeight="1" x14ac:dyDescent="0.3">
      <c r="A259" s="460" t="s">
        <v>90</v>
      </c>
      <c r="B259" s="460" t="s">
        <v>117</v>
      </c>
      <c r="C259" s="531">
        <v>1500</v>
      </c>
      <c r="D259" s="460" t="s">
        <v>81</v>
      </c>
      <c r="E259" s="460" t="s">
        <v>1218</v>
      </c>
      <c r="F259" s="460" t="s">
        <v>142</v>
      </c>
      <c r="G259" s="172">
        <v>46127</v>
      </c>
      <c r="H259" s="173" t="s">
        <v>1221</v>
      </c>
      <c r="I259" s="84" t="s">
        <v>1222</v>
      </c>
      <c r="J259" s="84" t="s">
        <v>212</v>
      </c>
      <c r="K259" s="84" t="s">
        <v>1223</v>
      </c>
      <c r="L259" s="84" t="str">
        <f t="shared" si="60"/>
        <v>GATE VALVE 1" 1500# RF, BB-OS&amp;Y, A105N</v>
      </c>
      <c r="M259" s="174">
        <v>1</v>
      </c>
      <c r="N259" s="458"/>
      <c r="O259" s="458"/>
      <c r="P259" s="458"/>
      <c r="Q259" s="459"/>
      <c r="R259" s="457">
        <v>46212</v>
      </c>
      <c r="S259" s="172"/>
      <c r="T259" s="172"/>
      <c r="U259" s="172"/>
      <c r="V259" s="172"/>
      <c r="W259" s="172"/>
      <c r="X259" s="172"/>
      <c r="Y259" s="172"/>
      <c r="Z259" s="172"/>
      <c r="AA259" s="460"/>
      <c r="AB259" s="460"/>
      <c r="AC259" s="460"/>
      <c r="AD259" s="86"/>
    </row>
    <row r="260" spans="1:30" ht="26" customHeight="1" x14ac:dyDescent="0.3">
      <c r="A260" s="460" t="s">
        <v>94</v>
      </c>
      <c r="B260" s="460" t="s">
        <v>86</v>
      </c>
      <c r="C260" s="531">
        <v>1500</v>
      </c>
      <c r="D260" s="460" t="s">
        <v>81</v>
      </c>
      <c r="E260" s="460" t="s">
        <v>97</v>
      </c>
      <c r="F260" s="460" t="s">
        <v>107</v>
      </c>
      <c r="G260" s="172">
        <v>46127</v>
      </c>
      <c r="H260" s="173" t="s">
        <v>1221</v>
      </c>
      <c r="I260" s="84" t="s">
        <v>1222</v>
      </c>
      <c r="J260" s="84" t="s">
        <v>212</v>
      </c>
      <c r="K260" s="84" t="s">
        <v>1224</v>
      </c>
      <c r="L260" s="84" t="str">
        <f t="shared" si="60"/>
        <v>CHECK VALVE 2" 1500# RF, BOLTED CAP, A216</v>
      </c>
      <c r="M260" s="174">
        <v>1</v>
      </c>
      <c r="N260" s="458"/>
      <c r="O260" s="458"/>
      <c r="P260" s="458"/>
      <c r="Q260" s="459"/>
      <c r="R260" s="457">
        <v>46212</v>
      </c>
      <c r="S260" s="172"/>
      <c r="T260" s="172"/>
      <c r="U260" s="172"/>
      <c r="V260" s="172"/>
      <c r="W260" s="172"/>
      <c r="X260" s="172"/>
      <c r="Y260" s="172"/>
      <c r="Z260" s="172"/>
      <c r="AA260" s="460"/>
      <c r="AB260" s="460"/>
      <c r="AC260" s="460"/>
      <c r="AD260" s="86"/>
    </row>
    <row r="261" spans="1:30" ht="26" customHeight="1" x14ac:dyDescent="0.3">
      <c r="A261" s="460" t="s">
        <v>94</v>
      </c>
      <c r="B261" s="460" t="s">
        <v>120</v>
      </c>
      <c r="C261" s="531">
        <v>900</v>
      </c>
      <c r="D261" s="460" t="s">
        <v>81</v>
      </c>
      <c r="E261" s="460" t="s">
        <v>97</v>
      </c>
      <c r="F261" s="460" t="s">
        <v>107</v>
      </c>
      <c r="G261" s="172">
        <v>46127</v>
      </c>
      <c r="H261" s="173" t="s">
        <v>1221</v>
      </c>
      <c r="I261" s="84" t="s">
        <v>1222</v>
      </c>
      <c r="J261" s="84" t="s">
        <v>212</v>
      </c>
      <c r="K261" s="84" t="s">
        <v>1224</v>
      </c>
      <c r="L261" s="84" t="str">
        <f t="shared" si="60"/>
        <v>CHECK VALVE 8" 900# RF, BOLTED CAP, A216</v>
      </c>
      <c r="M261" s="174">
        <v>2</v>
      </c>
      <c r="N261" s="458"/>
      <c r="O261" s="458"/>
      <c r="P261" s="458"/>
      <c r="Q261" s="459"/>
      <c r="R261" s="457">
        <v>46212</v>
      </c>
      <c r="S261" s="172"/>
      <c r="T261" s="172"/>
      <c r="U261" s="172"/>
      <c r="V261" s="172"/>
      <c r="W261" s="172"/>
      <c r="X261" s="172"/>
      <c r="Y261" s="172"/>
      <c r="Z261" s="172"/>
      <c r="AA261" s="460"/>
      <c r="AB261" s="460"/>
      <c r="AC261" s="460"/>
      <c r="AD261" s="86"/>
    </row>
    <row r="262" spans="1:30" ht="26" customHeight="1" x14ac:dyDescent="0.3">
      <c r="A262" s="460" t="s">
        <v>1760</v>
      </c>
      <c r="B262" s="460" t="s">
        <v>86</v>
      </c>
      <c r="C262" s="531">
        <v>150</v>
      </c>
      <c r="D262" s="460" t="s">
        <v>81</v>
      </c>
      <c r="E262" s="460" t="s">
        <v>1217</v>
      </c>
      <c r="F262" s="460" t="s">
        <v>107</v>
      </c>
      <c r="G262" s="172">
        <v>46128</v>
      </c>
      <c r="H262" s="173" t="s">
        <v>1249</v>
      </c>
      <c r="I262" s="84" t="s">
        <v>1250</v>
      </c>
      <c r="J262" s="84" t="s">
        <v>1251</v>
      </c>
      <c r="K262" s="84" t="s">
        <v>1210</v>
      </c>
      <c r="L262" s="84" t="str">
        <f t="shared" si="60"/>
        <v>BUCKET-STR VALVE 2" 150# RF, REGULAR, A216</v>
      </c>
      <c r="M262" s="174">
        <v>3</v>
      </c>
      <c r="N262" s="458"/>
      <c r="O262" s="458"/>
      <c r="P262" s="458"/>
      <c r="Q262" s="459"/>
      <c r="R262" s="457">
        <v>46243</v>
      </c>
      <c r="S262" s="172">
        <v>46227</v>
      </c>
      <c r="T262" s="172"/>
      <c r="U262" s="172"/>
      <c r="V262" s="172"/>
      <c r="W262" s="172"/>
      <c r="X262" s="172"/>
      <c r="Y262" s="172"/>
      <c r="Z262" s="172"/>
      <c r="AA262" s="460"/>
      <c r="AB262" s="460"/>
      <c r="AC262" s="460"/>
      <c r="AD262" s="86"/>
    </row>
    <row r="263" spans="1:30" ht="26" customHeight="1" x14ac:dyDescent="0.3">
      <c r="A263" s="460" t="s">
        <v>1760</v>
      </c>
      <c r="B263" s="460" t="s">
        <v>85</v>
      </c>
      <c r="C263" s="531">
        <v>150</v>
      </c>
      <c r="D263" s="460" t="s">
        <v>81</v>
      </c>
      <c r="E263" s="460" t="s">
        <v>1217</v>
      </c>
      <c r="F263" s="460" t="s">
        <v>107</v>
      </c>
      <c r="G263" s="172">
        <v>46128</v>
      </c>
      <c r="H263" s="173" t="s">
        <v>1249</v>
      </c>
      <c r="I263" s="84" t="s">
        <v>1250</v>
      </c>
      <c r="J263" s="84" t="s">
        <v>1251</v>
      </c>
      <c r="K263" s="84" t="s">
        <v>1210</v>
      </c>
      <c r="L263" s="84" t="str">
        <f t="shared" ref="L263:L326" si="61">IF(A263="","",A263&amp;" VALVE "&amp;B263&amp;" "&amp;C263&amp;"# "&amp;D263&amp;", "&amp;E263&amp;", "&amp;F263)</f>
        <v>BUCKET-STR VALVE 3" 150# RF, REGULAR, A216</v>
      </c>
      <c r="M263" s="174">
        <v>2</v>
      </c>
      <c r="N263" s="458"/>
      <c r="O263" s="458"/>
      <c r="P263" s="458"/>
      <c r="Q263" s="459"/>
      <c r="R263" s="457">
        <v>46243</v>
      </c>
      <c r="S263" s="172">
        <v>46227</v>
      </c>
      <c r="T263" s="172"/>
      <c r="U263" s="172"/>
      <c r="V263" s="172"/>
      <c r="W263" s="172"/>
      <c r="X263" s="172"/>
      <c r="Y263" s="172"/>
      <c r="Z263" s="172"/>
      <c r="AA263" s="460"/>
      <c r="AB263" s="460"/>
      <c r="AC263" s="460"/>
      <c r="AD263" s="86"/>
    </row>
    <row r="264" spans="1:30" ht="26" customHeight="1" x14ac:dyDescent="0.3">
      <c r="A264" s="460" t="s">
        <v>1760</v>
      </c>
      <c r="B264" s="460" t="s">
        <v>82</v>
      </c>
      <c r="C264" s="531">
        <v>150</v>
      </c>
      <c r="D264" s="460" t="s">
        <v>81</v>
      </c>
      <c r="E264" s="460" t="s">
        <v>1217</v>
      </c>
      <c r="F264" s="460" t="s">
        <v>107</v>
      </c>
      <c r="G264" s="172">
        <v>46128</v>
      </c>
      <c r="H264" s="173" t="s">
        <v>1249</v>
      </c>
      <c r="I264" s="84" t="s">
        <v>1250</v>
      </c>
      <c r="J264" s="84" t="s">
        <v>1251</v>
      </c>
      <c r="K264" s="84" t="s">
        <v>1210</v>
      </c>
      <c r="L264" s="84" t="str">
        <f t="shared" si="61"/>
        <v>BUCKET-STR VALVE 6" 150# RF, REGULAR, A216</v>
      </c>
      <c r="M264" s="174">
        <v>2</v>
      </c>
      <c r="N264" s="458"/>
      <c r="O264" s="458"/>
      <c r="P264" s="458"/>
      <c r="Q264" s="459"/>
      <c r="R264" s="457">
        <v>46243</v>
      </c>
      <c r="S264" s="172">
        <v>46227</v>
      </c>
      <c r="T264" s="172"/>
      <c r="U264" s="172"/>
      <c r="V264" s="172"/>
      <c r="W264" s="172"/>
      <c r="X264" s="172"/>
      <c r="Y264" s="172"/>
      <c r="Z264" s="172"/>
      <c r="AA264" s="460"/>
      <c r="AB264" s="460"/>
      <c r="AC264" s="460"/>
      <c r="AD264" s="86"/>
    </row>
    <row r="265" spans="1:30" ht="26" customHeight="1" x14ac:dyDescent="0.3">
      <c r="A265" s="460" t="s">
        <v>92</v>
      </c>
      <c r="B265" s="460" t="s">
        <v>86</v>
      </c>
      <c r="C265" s="531">
        <v>600</v>
      </c>
      <c r="D265" s="460" t="s">
        <v>81</v>
      </c>
      <c r="E265" s="526" t="s">
        <v>1218</v>
      </c>
      <c r="F265" s="460" t="s">
        <v>107</v>
      </c>
      <c r="G265" s="172">
        <v>46134</v>
      </c>
      <c r="H265" s="173" t="s">
        <v>1226</v>
      </c>
      <c r="I265" s="84" t="s">
        <v>1227</v>
      </c>
      <c r="J265" s="84" t="s">
        <v>872</v>
      </c>
      <c r="K265" s="84" t="s">
        <v>1228</v>
      </c>
      <c r="L265" s="84" t="str">
        <f t="shared" si="61"/>
        <v>GLOBE VALVE 2" 600# RF, BB-OS&amp;Y, A216</v>
      </c>
      <c r="M265" s="174">
        <v>9</v>
      </c>
      <c r="N265" s="458"/>
      <c r="O265" s="458"/>
      <c r="P265" s="458"/>
      <c r="Q265" s="459"/>
      <c r="R265" s="457">
        <v>46256</v>
      </c>
      <c r="S265" s="172"/>
      <c r="T265" s="172"/>
      <c r="U265" s="172"/>
      <c r="V265" s="172"/>
      <c r="W265" s="172"/>
      <c r="X265" s="172"/>
      <c r="Y265" s="172"/>
      <c r="Z265" s="172"/>
      <c r="AA265" s="460"/>
      <c r="AB265" s="460"/>
      <c r="AC265" s="460"/>
      <c r="AD265" s="86"/>
    </row>
    <row r="266" spans="1:30" ht="26" customHeight="1" x14ac:dyDescent="0.3">
      <c r="A266" s="460" t="s">
        <v>78</v>
      </c>
      <c r="B266" s="460" t="s">
        <v>117</v>
      </c>
      <c r="C266" s="531">
        <v>800</v>
      </c>
      <c r="D266" s="460" t="s">
        <v>1232</v>
      </c>
      <c r="E266" s="460" t="s">
        <v>109</v>
      </c>
      <c r="F266" s="460" t="s">
        <v>142</v>
      </c>
      <c r="G266" s="172">
        <v>46134</v>
      </c>
      <c r="H266" s="173" t="s">
        <v>1226</v>
      </c>
      <c r="I266" s="84" t="s">
        <v>1227</v>
      </c>
      <c r="J266" s="84" t="s">
        <v>872</v>
      </c>
      <c r="K266" s="84" t="s">
        <v>123</v>
      </c>
      <c r="L266" s="84" t="str">
        <f t="shared" si="61"/>
        <v>BALL VALVE 1" 800# SW x NPT, FLOATING, A105N</v>
      </c>
      <c r="M266" s="174">
        <v>2</v>
      </c>
      <c r="N266" s="458"/>
      <c r="O266" s="458"/>
      <c r="P266" s="458"/>
      <c r="Q266" s="459"/>
      <c r="R266" s="457">
        <v>46256</v>
      </c>
      <c r="S266" s="172"/>
      <c r="T266" s="172"/>
      <c r="U266" s="172"/>
      <c r="V266" s="172"/>
      <c r="W266" s="172"/>
      <c r="X266" s="172"/>
      <c r="Y266" s="172"/>
      <c r="Z266" s="172"/>
      <c r="AA266" s="460"/>
      <c r="AB266" s="460"/>
      <c r="AC266" s="460"/>
      <c r="AD266" s="86"/>
    </row>
    <row r="267" spans="1:30" ht="26" customHeight="1" x14ac:dyDescent="0.3">
      <c r="A267" s="460" t="s">
        <v>78</v>
      </c>
      <c r="B267" s="460" t="s">
        <v>86</v>
      </c>
      <c r="C267" s="531">
        <v>600</v>
      </c>
      <c r="D267" s="460" t="s">
        <v>81</v>
      </c>
      <c r="E267" s="460" t="s">
        <v>108</v>
      </c>
      <c r="F267" s="460" t="s">
        <v>142</v>
      </c>
      <c r="G267" s="172">
        <v>46134</v>
      </c>
      <c r="H267" s="173" t="s">
        <v>1226</v>
      </c>
      <c r="I267" s="84" t="s">
        <v>1227</v>
      </c>
      <c r="J267" s="84" t="s">
        <v>872</v>
      </c>
      <c r="K267" s="84" t="s">
        <v>1229</v>
      </c>
      <c r="L267" s="84" t="str">
        <f t="shared" si="61"/>
        <v>BALL VALVE 2" 600# RF, TRUNNION, A105N</v>
      </c>
      <c r="M267" s="174">
        <v>2</v>
      </c>
      <c r="N267" s="458"/>
      <c r="O267" s="458"/>
      <c r="P267" s="458"/>
      <c r="Q267" s="459"/>
      <c r="R267" s="457">
        <v>46256</v>
      </c>
      <c r="S267" s="172"/>
      <c r="T267" s="172"/>
      <c r="U267" s="172"/>
      <c r="V267" s="172"/>
      <c r="W267" s="172"/>
      <c r="X267" s="172"/>
      <c r="Y267" s="172"/>
      <c r="Z267" s="172"/>
      <c r="AA267" s="460"/>
      <c r="AB267" s="460"/>
      <c r="AC267" s="460"/>
      <c r="AD267" s="86"/>
    </row>
    <row r="268" spans="1:30" ht="26" customHeight="1" x14ac:dyDescent="0.3">
      <c r="A268" s="460" t="s">
        <v>78</v>
      </c>
      <c r="B268" s="460" t="s">
        <v>119</v>
      </c>
      <c r="C268" s="531">
        <v>300</v>
      </c>
      <c r="D268" s="460" t="s">
        <v>81</v>
      </c>
      <c r="E268" s="460" t="s">
        <v>108</v>
      </c>
      <c r="F268" s="460" t="s">
        <v>107</v>
      </c>
      <c r="G268" s="172">
        <v>46134</v>
      </c>
      <c r="H268" s="173" t="s">
        <v>1226</v>
      </c>
      <c r="I268" s="84" t="s">
        <v>1227</v>
      </c>
      <c r="J268" s="84" t="s">
        <v>872</v>
      </c>
      <c r="K268" s="84" t="s">
        <v>1230</v>
      </c>
      <c r="L268" s="84" t="str">
        <f t="shared" si="61"/>
        <v>BALL VALVE 12" 300# RF, TRUNNION, A216</v>
      </c>
      <c r="M268" s="174">
        <v>2</v>
      </c>
      <c r="N268" s="458"/>
      <c r="O268" s="458"/>
      <c r="P268" s="458"/>
      <c r="Q268" s="459"/>
      <c r="R268" s="457">
        <v>46256</v>
      </c>
      <c r="S268" s="172"/>
      <c r="T268" s="172"/>
      <c r="U268" s="172"/>
      <c r="V268" s="172"/>
      <c r="W268" s="172"/>
      <c r="X268" s="172"/>
      <c r="Y268" s="172"/>
      <c r="Z268" s="172"/>
      <c r="AA268" s="460"/>
      <c r="AB268" s="460"/>
      <c r="AC268" s="460"/>
      <c r="AD268" s="86"/>
    </row>
    <row r="269" spans="1:30" ht="26" customHeight="1" x14ac:dyDescent="0.3">
      <c r="A269" s="460" t="s">
        <v>1233</v>
      </c>
      <c r="B269" s="460" t="s">
        <v>82</v>
      </c>
      <c r="C269" s="531">
        <v>300</v>
      </c>
      <c r="D269" s="460" t="s">
        <v>81</v>
      </c>
      <c r="E269" s="460" t="s">
        <v>231</v>
      </c>
      <c r="F269" s="460" t="s">
        <v>107</v>
      </c>
      <c r="G269" s="172">
        <v>46134</v>
      </c>
      <c r="H269" s="173" t="s">
        <v>1226</v>
      </c>
      <c r="I269" s="84" t="s">
        <v>1227</v>
      </c>
      <c r="J269" s="84" t="s">
        <v>872</v>
      </c>
      <c r="K269" s="84" t="s">
        <v>1231</v>
      </c>
      <c r="L269" s="84" t="str">
        <f t="shared" si="61"/>
        <v>WAFER CHECK VALVE 6" 300# RF, WAFER TYPE, A216</v>
      </c>
      <c r="M269" s="174">
        <v>1</v>
      </c>
      <c r="N269" s="458"/>
      <c r="O269" s="458"/>
      <c r="P269" s="458"/>
      <c r="Q269" s="459"/>
      <c r="R269" s="457">
        <v>46256</v>
      </c>
      <c r="S269" s="172"/>
      <c r="T269" s="172"/>
      <c r="U269" s="172"/>
      <c r="V269" s="172"/>
      <c r="W269" s="172"/>
      <c r="X269" s="172"/>
      <c r="Y269" s="172"/>
      <c r="Z269" s="172"/>
      <c r="AA269" s="460"/>
      <c r="AB269" s="460"/>
      <c r="AC269" s="460"/>
      <c r="AD269" s="86"/>
    </row>
    <row r="270" spans="1:30" ht="26" customHeight="1" x14ac:dyDescent="0.3">
      <c r="A270" s="460" t="s">
        <v>78</v>
      </c>
      <c r="B270" s="460" t="s">
        <v>118</v>
      </c>
      <c r="C270" s="531">
        <v>600</v>
      </c>
      <c r="D270" s="460" t="s">
        <v>81</v>
      </c>
      <c r="E270" s="460" t="s">
        <v>108</v>
      </c>
      <c r="F270" s="460" t="s">
        <v>142</v>
      </c>
      <c r="G270" s="172">
        <v>46146</v>
      </c>
      <c r="H270" s="173" t="s">
        <v>1234</v>
      </c>
      <c r="I270" s="84" t="s">
        <v>1235</v>
      </c>
      <c r="J270" s="84" t="s">
        <v>159</v>
      </c>
      <c r="K270" s="84" t="s">
        <v>1236</v>
      </c>
      <c r="L270" s="84" t="str">
        <f t="shared" si="61"/>
        <v>BALL VALVE 16" 600# RF, TRUNNION, A105N</v>
      </c>
      <c r="M270" s="174">
        <v>2</v>
      </c>
      <c r="N270" s="458"/>
      <c r="O270" s="458"/>
      <c r="P270" s="458"/>
      <c r="Q270" s="459"/>
      <c r="R270" s="457">
        <v>46331</v>
      </c>
      <c r="S270" s="172"/>
      <c r="T270" s="172"/>
      <c r="U270" s="172"/>
      <c r="V270" s="172"/>
      <c r="W270" s="172"/>
      <c r="X270" s="172"/>
      <c r="Y270" s="172"/>
      <c r="Z270" s="172"/>
      <c r="AA270" s="460"/>
      <c r="AB270" s="460"/>
      <c r="AC270" s="460"/>
      <c r="AD270" s="86"/>
    </row>
    <row r="271" spans="1:30" ht="26" customHeight="1" x14ac:dyDescent="0.3">
      <c r="A271" s="460" t="s">
        <v>78</v>
      </c>
      <c r="B271" s="460" t="s">
        <v>86</v>
      </c>
      <c r="C271" s="531">
        <v>600</v>
      </c>
      <c r="D271" s="460" t="s">
        <v>81</v>
      </c>
      <c r="E271" s="460" t="s">
        <v>108</v>
      </c>
      <c r="F271" s="460" t="s">
        <v>107</v>
      </c>
      <c r="G271" s="172">
        <v>46146</v>
      </c>
      <c r="H271" s="173" t="s">
        <v>1234</v>
      </c>
      <c r="I271" s="84" t="s">
        <v>1235</v>
      </c>
      <c r="J271" s="84" t="s">
        <v>159</v>
      </c>
      <c r="K271" s="84" t="s">
        <v>1237</v>
      </c>
      <c r="L271" s="84" t="str">
        <f t="shared" si="61"/>
        <v>BALL VALVE 2" 600# RF, TRUNNION, A216</v>
      </c>
      <c r="M271" s="174">
        <v>22</v>
      </c>
      <c r="N271" s="458"/>
      <c r="O271" s="458"/>
      <c r="P271" s="458"/>
      <c r="Q271" s="459"/>
      <c r="R271" s="457">
        <v>46331</v>
      </c>
      <c r="S271" s="172"/>
      <c r="T271" s="172"/>
      <c r="U271" s="172"/>
      <c r="V271" s="172"/>
      <c r="W271" s="172"/>
      <c r="X271" s="172"/>
      <c r="Y271" s="172"/>
      <c r="Z271" s="172"/>
      <c r="AA271" s="460"/>
      <c r="AB271" s="460"/>
      <c r="AC271" s="460"/>
      <c r="AD271" s="86"/>
    </row>
    <row r="272" spans="1:30" ht="26" customHeight="1" x14ac:dyDescent="0.3">
      <c r="A272" s="460" t="s">
        <v>78</v>
      </c>
      <c r="B272" s="460" t="s">
        <v>117</v>
      </c>
      <c r="C272" s="531">
        <v>600</v>
      </c>
      <c r="D272" s="460" t="s">
        <v>81</v>
      </c>
      <c r="E272" s="460" t="s">
        <v>109</v>
      </c>
      <c r="F272" s="460" t="s">
        <v>142</v>
      </c>
      <c r="G272" s="172">
        <v>46146</v>
      </c>
      <c r="H272" s="173" t="s">
        <v>1234</v>
      </c>
      <c r="I272" s="84" t="s">
        <v>1235</v>
      </c>
      <c r="J272" s="84" t="s">
        <v>159</v>
      </c>
      <c r="K272" s="84" t="s">
        <v>1238</v>
      </c>
      <c r="L272" s="84" t="str">
        <f t="shared" si="61"/>
        <v>BALL VALVE 1" 600# RF, FLOATING, A105N</v>
      </c>
      <c r="M272" s="174">
        <v>3</v>
      </c>
      <c r="N272" s="458"/>
      <c r="O272" s="458"/>
      <c r="P272" s="458"/>
      <c r="Q272" s="459"/>
      <c r="R272" s="457">
        <v>46331</v>
      </c>
      <c r="S272" s="172"/>
      <c r="T272" s="172"/>
      <c r="U272" s="172"/>
      <c r="V272" s="172"/>
      <c r="W272" s="172"/>
      <c r="X272" s="172"/>
      <c r="Y272" s="172"/>
      <c r="Z272" s="172"/>
      <c r="AA272" s="460"/>
      <c r="AB272" s="460"/>
      <c r="AC272" s="460"/>
      <c r="AD272" s="86"/>
    </row>
    <row r="273" spans="1:30" ht="26" customHeight="1" x14ac:dyDescent="0.3">
      <c r="A273" s="460" t="s">
        <v>78</v>
      </c>
      <c r="B273" s="460" t="s">
        <v>88</v>
      </c>
      <c r="C273" s="531">
        <v>800</v>
      </c>
      <c r="D273" s="460" t="s">
        <v>1232</v>
      </c>
      <c r="E273" s="460" t="s">
        <v>109</v>
      </c>
      <c r="F273" s="460" t="s">
        <v>142</v>
      </c>
      <c r="G273" s="172">
        <v>46146</v>
      </c>
      <c r="H273" s="173" t="s">
        <v>1234</v>
      </c>
      <c r="I273" s="84" t="s">
        <v>1235</v>
      </c>
      <c r="J273" s="84" t="s">
        <v>159</v>
      </c>
      <c r="K273" s="84" t="s">
        <v>1239</v>
      </c>
      <c r="L273" s="84" t="str">
        <f t="shared" si="61"/>
        <v>BALL VALVE 3/4" 800# SW x NPT, FLOATING, A105N</v>
      </c>
      <c r="M273" s="174">
        <v>143</v>
      </c>
      <c r="N273" s="458"/>
      <c r="O273" s="458"/>
      <c r="P273" s="458"/>
      <c r="Q273" s="459"/>
      <c r="R273" s="457">
        <v>46331</v>
      </c>
      <c r="S273" s="172"/>
      <c r="T273" s="172"/>
      <c r="U273" s="172"/>
      <c r="V273" s="172"/>
      <c r="W273" s="172"/>
      <c r="X273" s="172"/>
      <c r="Y273" s="172"/>
      <c r="Z273" s="172"/>
      <c r="AA273" s="460"/>
      <c r="AB273" s="460"/>
      <c r="AC273" s="460"/>
      <c r="AD273" s="86"/>
    </row>
    <row r="274" spans="1:30" ht="26" customHeight="1" x14ac:dyDescent="0.3">
      <c r="A274" s="460" t="s">
        <v>92</v>
      </c>
      <c r="B274" s="460" t="s">
        <v>86</v>
      </c>
      <c r="C274" s="531">
        <v>600</v>
      </c>
      <c r="D274" s="460" t="s">
        <v>81</v>
      </c>
      <c r="E274" s="526" t="s">
        <v>1218</v>
      </c>
      <c r="F274" s="460" t="s">
        <v>107</v>
      </c>
      <c r="G274" s="172">
        <v>46146</v>
      </c>
      <c r="H274" s="173" t="s">
        <v>1234</v>
      </c>
      <c r="I274" s="84" t="s">
        <v>1235</v>
      </c>
      <c r="J274" s="84" t="s">
        <v>159</v>
      </c>
      <c r="K274" s="84" t="s">
        <v>1228</v>
      </c>
      <c r="L274" s="84" t="str">
        <f t="shared" si="61"/>
        <v>GLOBE VALVE 2" 600# RF, BB-OS&amp;Y, A216</v>
      </c>
      <c r="M274" s="174">
        <v>22</v>
      </c>
      <c r="N274" s="458"/>
      <c r="O274" s="458"/>
      <c r="P274" s="458"/>
      <c r="Q274" s="459"/>
      <c r="R274" s="457">
        <v>46331</v>
      </c>
      <c r="S274" s="172"/>
      <c r="T274" s="172"/>
      <c r="U274" s="172"/>
      <c r="V274" s="172"/>
      <c r="W274" s="172"/>
      <c r="X274" s="172"/>
      <c r="Y274" s="172"/>
      <c r="Z274" s="172"/>
      <c r="AA274" s="460"/>
      <c r="AB274" s="460"/>
      <c r="AC274" s="460"/>
      <c r="AD274" s="86"/>
    </row>
    <row r="275" spans="1:30" ht="26" customHeight="1" x14ac:dyDescent="0.3">
      <c r="A275" s="460" t="s">
        <v>78</v>
      </c>
      <c r="B275" s="460" t="s">
        <v>117</v>
      </c>
      <c r="C275" s="531">
        <v>800</v>
      </c>
      <c r="D275" s="460" t="s">
        <v>1232</v>
      </c>
      <c r="E275" s="460" t="s">
        <v>109</v>
      </c>
      <c r="F275" s="460" t="s">
        <v>142</v>
      </c>
      <c r="G275" s="172">
        <v>46146</v>
      </c>
      <c r="H275" s="173" t="s">
        <v>1234</v>
      </c>
      <c r="I275" s="84" t="s">
        <v>1235</v>
      </c>
      <c r="J275" s="84" t="s">
        <v>159</v>
      </c>
      <c r="K275" s="84" t="s">
        <v>1239</v>
      </c>
      <c r="L275" s="84" t="str">
        <f t="shared" si="61"/>
        <v>BALL VALVE 1" 800# SW x NPT, FLOATING, A105N</v>
      </c>
      <c r="M275" s="174">
        <v>6</v>
      </c>
      <c r="N275" s="458"/>
      <c r="O275" s="458"/>
      <c r="P275" s="458"/>
      <c r="Q275" s="459"/>
      <c r="R275" s="457">
        <v>46331</v>
      </c>
      <c r="S275" s="172"/>
      <c r="T275" s="172"/>
      <c r="U275" s="172"/>
      <c r="V275" s="172"/>
      <c r="W275" s="172"/>
      <c r="X275" s="172"/>
      <c r="Y275" s="172"/>
      <c r="Z275" s="172"/>
      <c r="AA275" s="460"/>
      <c r="AB275" s="460"/>
      <c r="AC275" s="460"/>
      <c r="AD275" s="86"/>
    </row>
    <row r="276" spans="1:30" ht="26" customHeight="1" x14ac:dyDescent="0.3">
      <c r="A276" s="460" t="s">
        <v>78</v>
      </c>
      <c r="B276" s="460" t="s">
        <v>86</v>
      </c>
      <c r="C276" s="531">
        <v>150</v>
      </c>
      <c r="D276" s="460" t="s">
        <v>81</v>
      </c>
      <c r="E276" s="460" t="s">
        <v>109</v>
      </c>
      <c r="F276" s="460" t="s">
        <v>107</v>
      </c>
      <c r="G276" s="172">
        <v>46146</v>
      </c>
      <c r="H276" s="173" t="s">
        <v>1234</v>
      </c>
      <c r="I276" s="84" t="s">
        <v>1235</v>
      </c>
      <c r="J276" s="84" t="s">
        <v>159</v>
      </c>
      <c r="K276" s="84" t="s">
        <v>1240</v>
      </c>
      <c r="L276" s="84" t="str">
        <f t="shared" si="61"/>
        <v>BALL VALVE 2" 150# RF, FLOATING, A216</v>
      </c>
      <c r="M276" s="174">
        <v>11</v>
      </c>
      <c r="N276" s="458"/>
      <c r="O276" s="458"/>
      <c r="P276" s="458"/>
      <c r="Q276" s="459"/>
      <c r="R276" s="457">
        <v>46331</v>
      </c>
      <c r="S276" s="172"/>
      <c r="T276" s="172"/>
      <c r="U276" s="172"/>
      <c r="V276" s="172"/>
      <c r="W276" s="172"/>
      <c r="X276" s="172"/>
      <c r="Y276" s="172"/>
      <c r="Z276" s="172"/>
      <c r="AA276" s="460"/>
      <c r="AB276" s="460"/>
      <c r="AC276" s="460"/>
      <c r="AD276" s="86"/>
    </row>
    <row r="277" spans="1:30" ht="26" customHeight="1" x14ac:dyDescent="0.3">
      <c r="A277" s="460" t="s">
        <v>78</v>
      </c>
      <c r="B277" s="460" t="s">
        <v>120</v>
      </c>
      <c r="C277" s="531">
        <v>150</v>
      </c>
      <c r="D277" s="460" t="s">
        <v>81</v>
      </c>
      <c r="E277" s="460" t="s">
        <v>108</v>
      </c>
      <c r="F277" s="460" t="s">
        <v>107</v>
      </c>
      <c r="G277" s="172">
        <v>46146</v>
      </c>
      <c r="H277" s="173" t="s">
        <v>1234</v>
      </c>
      <c r="I277" s="84" t="s">
        <v>1235</v>
      </c>
      <c r="J277" s="84" t="s">
        <v>159</v>
      </c>
      <c r="K277" s="84" t="s">
        <v>79</v>
      </c>
      <c r="L277" s="84" t="str">
        <f t="shared" si="61"/>
        <v>BALL VALVE 8" 150# RF, TRUNNION, A216</v>
      </c>
      <c r="M277" s="174">
        <v>2</v>
      </c>
      <c r="N277" s="458"/>
      <c r="O277" s="458"/>
      <c r="P277" s="458"/>
      <c r="Q277" s="459"/>
      <c r="R277" s="457">
        <v>46331</v>
      </c>
      <c r="S277" s="172"/>
      <c r="T277" s="172"/>
      <c r="U277" s="172"/>
      <c r="V277" s="172"/>
      <c r="W277" s="172"/>
      <c r="X277" s="172"/>
      <c r="Y277" s="172"/>
      <c r="Z277" s="172"/>
      <c r="AA277" s="460"/>
      <c r="AB277" s="460"/>
      <c r="AC277" s="460"/>
      <c r="AD277" s="86"/>
    </row>
    <row r="278" spans="1:30" ht="26" customHeight="1" x14ac:dyDescent="0.3">
      <c r="A278" s="460" t="s">
        <v>78</v>
      </c>
      <c r="B278" s="460" t="s">
        <v>118</v>
      </c>
      <c r="C278" s="531">
        <v>150</v>
      </c>
      <c r="D278" s="460" t="s">
        <v>81</v>
      </c>
      <c r="E278" s="460" t="s">
        <v>109</v>
      </c>
      <c r="F278" s="460" t="s">
        <v>107</v>
      </c>
      <c r="G278" s="172">
        <v>46146</v>
      </c>
      <c r="H278" s="173" t="s">
        <v>1234</v>
      </c>
      <c r="I278" s="84" t="s">
        <v>1235</v>
      </c>
      <c r="J278" s="84" t="s">
        <v>159</v>
      </c>
      <c r="K278" s="84" t="s">
        <v>79</v>
      </c>
      <c r="L278" s="84" t="str">
        <f t="shared" si="61"/>
        <v>BALL VALVE 16" 150# RF, FLOATING, A216</v>
      </c>
      <c r="M278" s="174">
        <v>6</v>
      </c>
      <c r="N278" s="458"/>
      <c r="O278" s="458"/>
      <c r="P278" s="458"/>
      <c r="Q278" s="459"/>
      <c r="R278" s="457">
        <v>46331</v>
      </c>
      <c r="S278" s="172"/>
      <c r="T278" s="172"/>
      <c r="U278" s="172"/>
      <c r="V278" s="172"/>
      <c r="W278" s="172"/>
      <c r="X278" s="172"/>
      <c r="Y278" s="172"/>
      <c r="Z278" s="172"/>
      <c r="AA278" s="460"/>
      <c r="AB278" s="460"/>
      <c r="AC278" s="460"/>
      <c r="AD278" s="86"/>
    </row>
    <row r="279" spans="1:30" ht="26" customHeight="1" x14ac:dyDescent="0.3">
      <c r="A279" s="460" t="s">
        <v>78</v>
      </c>
      <c r="B279" s="460" t="s">
        <v>117</v>
      </c>
      <c r="C279" s="531">
        <v>800</v>
      </c>
      <c r="D279" s="460" t="s">
        <v>1232</v>
      </c>
      <c r="E279" s="460" t="s">
        <v>109</v>
      </c>
      <c r="F279" s="460" t="s">
        <v>142</v>
      </c>
      <c r="G279" s="172">
        <v>46146</v>
      </c>
      <c r="H279" s="173" t="s">
        <v>1234</v>
      </c>
      <c r="I279" s="84" t="s">
        <v>1235</v>
      </c>
      <c r="J279" s="84" t="s">
        <v>159</v>
      </c>
      <c r="K279" s="84" t="s">
        <v>1239</v>
      </c>
      <c r="L279" s="84" t="str">
        <f t="shared" si="61"/>
        <v>BALL VALVE 1" 800# SW x NPT, FLOATING, A105N</v>
      </c>
      <c r="M279" s="174">
        <v>6</v>
      </c>
      <c r="N279" s="458"/>
      <c r="O279" s="458"/>
      <c r="P279" s="458"/>
      <c r="Q279" s="459"/>
      <c r="R279" s="457">
        <v>46331</v>
      </c>
      <c r="S279" s="172"/>
      <c r="T279" s="172"/>
      <c r="U279" s="172"/>
      <c r="V279" s="172"/>
      <c r="W279" s="172"/>
      <c r="X279" s="172"/>
      <c r="Y279" s="172"/>
      <c r="Z279" s="172"/>
      <c r="AA279" s="460"/>
      <c r="AB279" s="460"/>
      <c r="AC279" s="460"/>
      <c r="AD279" s="86"/>
    </row>
    <row r="280" spans="1:30" ht="26" customHeight="1" x14ac:dyDescent="0.3">
      <c r="A280" s="460" t="s">
        <v>78</v>
      </c>
      <c r="B280" s="460" t="s">
        <v>86</v>
      </c>
      <c r="C280" s="531">
        <v>600</v>
      </c>
      <c r="D280" s="460" t="s">
        <v>81</v>
      </c>
      <c r="E280" s="460" t="s">
        <v>109</v>
      </c>
      <c r="F280" s="460" t="s">
        <v>107</v>
      </c>
      <c r="G280" s="172">
        <v>46146</v>
      </c>
      <c r="H280" s="173" t="s">
        <v>1234</v>
      </c>
      <c r="I280" s="84" t="s">
        <v>1235</v>
      </c>
      <c r="J280" s="84" t="s">
        <v>159</v>
      </c>
      <c r="K280" s="84" t="s">
        <v>1241</v>
      </c>
      <c r="L280" s="84" t="str">
        <f t="shared" si="61"/>
        <v>BALL VALVE 2" 600# RF, FLOATING, A216</v>
      </c>
      <c r="M280" s="174">
        <v>12</v>
      </c>
      <c r="N280" s="458"/>
      <c r="O280" s="458"/>
      <c r="P280" s="458"/>
      <c r="Q280" s="459"/>
      <c r="R280" s="457">
        <v>46331</v>
      </c>
      <c r="S280" s="172"/>
      <c r="T280" s="172"/>
      <c r="U280" s="172"/>
      <c r="V280" s="172"/>
      <c r="W280" s="172"/>
      <c r="X280" s="172"/>
      <c r="Y280" s="172"/>
      <c r="Z280" s="172"/>
      <c r="AA280" s="460"/>
      <c r="AB280" s="460"/>
      <c r="AC280" s="460"/>
      <c r="AD280" s="86"/>
    </row>
    <row r="281" spans="1:30" ht="26" customHeight="1" x14ac:dyDescent="0.3">
      <c r="A281" s="460" t="s">
        <v>78</v>
      </c>
      <c r="B281" s="460" t="s">
        <v>84</v>
      </c>
      <c r="C281" s="531">
        <v>600</v>
      </c>
      <c r="D281" s="460" t="s">
        <v>81</v>
      </c>
      <c r="E281" s="460" t="s">
        <v>108</v>
      </c>
      <c r="F281" s="460" t="s">
        <v>107</v>
      </c>
      <c r="G281" s="172">
        <v>46146</v>
      </c>
      <c r="H281" s="173" t="s">
        <v>1234</v>
      </c>
      <c r="I281" s="84" t="s">
        <v>1235</v>
      </c>
      <c r="J281" s="84" t="s">
        <v>159</v>
      </c>
      <c r="K281" s="84" t="s">
        <v>1242</v>
      </c>
      <c r="L281" s="84" t="str">
        <f t="shared" si="61"/>
        <v>BALL VALVE 4" 600# RF, TRUNNION, A216</v>
      </c>
      <c r="M281" s="174">
        <v>6</v>
      </c>
      <c r="N281" s="458"/>
      <c r="O281" s="458"/>
      <c r="P281" s="458"/>
      <c r="Q281" s="459"/>
      <c r="R281" s="457">
        <v>46331</v>
      </c>
      <c r="S281" s="172"/>
      <c r="T281" s="172"/>
      <c r="U281" s="172"/>
      <c r="V281" s="172"/>
      <c r="W281" s="172"/>
      <c r="X281" s="172"/>
      <c r="Y281" s="172"/>
      <c r="Z281" s="172"/>
      <c r="AA281" s="460"/>
      <c r="AB281" s="460"/>
      <c r="AC281" s="460"/>
      <c r="AD281" s="86"/>
    </row>
    <row r="282" spans="1:30" ht="26" customHeight="1" x14ac:dyDescent="0.3">
      <c r="A282" s="460" t="s">
        <v>78</v>
      </c>
      <c r="B282" s="460" t="s">
        <v>82</v>
      </c>
      <c r="C282" s="531">
        <v>600</v>
      </c>
      <c r="D282" s="460" t="s">
        <v>81</v>
      </c>
      <c r="E282" s="460" t="s">
        <v>108</v>
      </c>
      <c r="F282" s="460" t="s">
        <v>107</v>
      </c>
      <c r="G282" s="172">
        <v>46146</v>
      </c>
      <c r="H282" s="173" t="s">
        <v>1234</v>
      </c>
      <c r="I282" s="84" t="s">
        <v>1235</v>
      </c>
      <c r="J282" s="84" t="s">
        <v>159</v>
      </c>
      <c r="K282" s="84" t="s">
        <v>1242</v>
      </c>
      <c r="L282" s="84" t="str">
        <f t="shared" si="61"/>
        <v>BALL VALVE 6" 600# RF, TRUNNION, A216</v>
      </c>
      <c r="M282" s="174">
        <v>4</v>
      </c>
      <c r="N282" s="458"/>
      <c r="O282" s="458"/>
      <c r="P282" s="458"/>
      <c r="Q282" s="459"/>
      <c r="R282" s="457">
        <v>46331</v>
      </c>
      <c r="S282" s="172"/>
      <c r="T282" s="172"/>
      <c r="U282" s="172"/>
      <c r="V282" s="172"/>
      <c r="W282" s="172"/>
      <c r="X282" s="172"/>
      <c r="Y282" s="172"/>
      <c r="Z282" s="172"/>
      <c r="AA282" s="460"/>
      <c r="AB282" s="460"/>
      <c r="AC282" s="460"/>
      <c r="AD282" s="86"/>
    </row>
    <row r="283" spans="1:30" ht="26" customHeight="1" x14ac:dyDescent="0.3">
      <c r="A283" s="460" t="s">
        <v>78</v>
      </c>
      <c r="B283" s="460" t="s">
        <v>118</v>
      </c>
      <c r="C283" s="531">
        <v>600</v>
      </c>
      <c r="D283" s="460" t="s">
        <v>81</v>
      </c>
      <c r="E283" s="460" t="s">
        <v>108</v>
      </c>
      <c r="F283" s="460" t="s">
        <v>142</v>
      </c>
      <c r="G283" s="172">
        <v>46146</v>
      </c>
      <c r="H283" s="173" t="s">
        <v>1234</v>
      </c>
      <c r="I283" s="84" t="s">
        <v>1235</v>
      </c>
      <c r="J283" s="84" t="s">
        <v>159</v>
      </c>
      <c r="K283" s="84" t="s">
        <v>1243</v>
      </c>
      <c r="L283" s="84" t="str">
        <f t="shared" si="61"/>
        <v>BALL VALVE 16" 600# RF, TRUNNION, A105N</v>
      </c>
      <c r="M283" s="174">
        <v>8</v>
      </c>
      <c r="N283" s="458"/>
      <c r="O283" s="458"/>
      <c r="P283" s="458"/>
      <c r="Q283" s="459"/>
      <c r="R283" s="457">
        <v>46331</v>
      </c>
      <c r="S283" s="172"/>
      <c r="T283" s="172"/>
      <c r="U283" s="172"/>
      <c r="V283" s="172"/>
      <c r="W283" s="172"/>
      <c r="X283" s="172"/>
      <c r="Y283" s="172"/>
      <c r="Z283" s="172"/>
      <c r="AA283" s="460"/>
      <c r="AB283" s="460"/>
      <c r="AC283" s="460"/>
      <c r="AD283" s="86"/>
    </row>
    <row r="284" spans="1:30" ht="26" customHeight="1" x14ac:dyDescent="0.3">
      <c r="A284" s="460" t="s">
        <v>78</v>
      </c>
      <c r="B284" s="460" t="s">
        <v>88</v>
      </c>
      <c r="C284" s="531">
        <v>800</v>
      </c>
      <c r="D284" s="460" t="s">
        <v>1232</v>
      </c>
      <c r="E284" s="460" t="s">
        <v>109</v>
      </c>
      <c r="F284" s="460" t="s">
        <v>142</v>
      </c>
      <c r="G284" s="172">
        <v>46146</v>
      </c>
      <c r="H284" s="173" t="s">
        <v>1234</v>
      </c>
      <c r="I284" s="84" t="s">
        <v>1235</v>
      </c>
      <c r="J284" s="84" t="s">
        <v>159</v>
      </c>
      <c r="K284" s="84" t="s">
        <v>1239</v>
      </c>
      <c r="L284" s="84" t="str">
        <f t="shared" si="61"/>
        <v>BALL VALVE 3/4" 800# SW x NPT, FLOATING, A105N</v>
      </c>
      <c r="M284" s="174">
        <v>39</v>
      </c>
      <c r="N284" s="458"/>
      <c r="O284" s="458"/>
      <c r="P284" s="458"/>
      <c r="Q284" s="459"/>
      <c r="R284" s="457">
        <v>46331</v>
      </c>
      <c r="S284" s="172"/>
      <c r="T284" s="172"/>
      <c r="U284" s="172"/>
      <c r="V284" s="172"/>
      <c r="W284" s="172"/>
      <c r="X284" s="172"/>
      <c r="Y284" s="172"/>
      <c r="Z284" s="172"/>
      <c r="AA284" s="460"/>
      <c r="AB284" s="460"/>
      <c r="AC284" s="460"/>
      <c r="AD284" s="86"/>
    </row>
    <row r="285" spans="1:30" ht="26" customHeight="1" x14ac:dyDescent="0.3">
      <c r="A285" s="460" t="s">
        <v>78</v>
      </c>
      <c r="B285" s="460" t="s">
        <v>88</v>
      </c>
      <c r="C285" s="531">
        <v>800</v>
      </c>
      <c r="D285" s="460" t="s">
        <v>1232</v>
      </c>
      <c r="E285" s="460" t="s">
        <v>109</v>
      </c>
      <c r="F285" s="460" t="s">
        <v>142</v>
      </c>
      <c r="G285" s="172">
        <v>46146</v>
      </c>
      <c r="H285" s="173" t="s">
        <v>1234</v>
      </c>
      <c r="I285" s="84" t="s">
        <v>1235</v>
      </c>
      <c r="J285" s="84" t="s">
        <v>159</v>
      </c>
      <c r="K285" s="84" t="s">
        <v>1244</v>
      </c>
      <c r="L285" s="84" t="str">
        <f t="shared" si="61"/>
        <v>BALL VALVE 3/4" 800# SW x NPT, FLOATING, A105N</v>
      </c>
      <c r="M285" s="174">
        <v>7</v>
      </c>
      <c r="N285" s="458"/>
      <c r="O285" s="458"/>
      <c r="P285" s="458"/>
      <c r="Q285" s="459"/>
      <c r="R285" s="457">
        <v>46331</v>
      </c>
      <c r="S285" s="172"/>
      <c r="T285" s="172"/>
      <c r="U285" s="172"/>
      <c r="V285" s="172"/>
      <c r="W285" s="172"/>
      <c r="X285" s="172"/>
      <c r="Y285" s="172"/>
      <c r="Z285" s="172"/>
      <c r="AA285" s="460"/>
      <c r="AB285" s="460"/>
      <c r="AC285" s="460"/>
      <c r="AD285" s="86"/>
    </row>
    <row r="286" spans="1:30" ht="26" customHeight="1" x14ac:dyDescent="0.3">
      <c r="A286" s="460" t="s">
        <v>78</v>
      </c>
      <c r="B286" s="460" t="s">
        <v>117</v>
      </c>
      <c r="C286" s="531">
        <v>800</v>
      </c>
      <c r="D286" s="460" t="s">
        <v>1232</v>
      </c>
      <c r="E286" s="460" t="s">
        <v>109</v>
      </c>
      <c r="F286" s="460" t="s">
        <v>142</v>
      </c>
      <c r="G286" s="172">
        <v>46146</v>
      </c>
      <c r="H286" s="173" t="s">
        <v>1234</v>
      </c>
      <c r="I286" s="84" t="s">
        <v>1235</v>
      </c>
      <c r="J286" s="84" t="s">
        <v>159</v>
      </c>
      <c r="K286" s="84" t="s">
        <v>1244</v>
      </c>
      <c r="L286" s="84" t="str">
        <f t="shared" si="61"/>
        <v>BALL VALVE 1" 800# SW x NPT, FLOATING, A105N</v>
      </c>
      <c r="M286" s="174">
        <v>6</v>
      </c>
      <c r="N286" s="458"/>
      <c r="O286" s="458"/>
      <c r="P286" s="458"/>
      <c r="Q286" s="459"/>
      <c r="R286" s="457">
        <v>46331</v>
      </c>
      <c r="S286" s="172"/>
      <c r="T286" s="172"/>
      <c r="U286" s="172"/>
      <c r="V286" s="172"/>
      <c r="W286" s="172"/>
      <c r="X286" s="172"/>
      <c r="Y286" s="172"/>
      <c r="Z286" s="172"/>
      <c r="AA286" s="460"/>
      <c r="AB286" s="460"/>
      <c r="AC286" s="460"/>
      <c r="AD286" s="86"/>
    </row>
    <row r="287" spans="1:30" ht="26" customHeight="1" x14ac:dyDescent="0.3">
      <c r="A287" s="460" t="s">
        <v>94</v>
      </c>
      <c r="B287" s="460" t="s">
        <v>118</v>
      </c>
      <c r="C287" s="531">
        <v>150</v>
      </c>
      <c r="D287" s="460" t="s">
        <v>81</v>
      </c>
      <c r="E287" s="460" t="s">
        <v>97</v>
      </c>
      <c r="F287" s="460" t="s">
        <v>107</v>
      </c>
      <c r="G287" s="172">
        <v>46146</v>
      </c>
      <c r="H287" s="173" t="s">
        <v>1234</v>
      </c>
      <c r="I287" s="84" t="s">
        <v>1235</v>
      </c>
      <c r="J287" s="84" t="s">
        <v>159</v>
      </c>
      <c r="K287" s="84" t="s">
        <v>95</v>
      </c>
      <c r="L287" s="84" t="str">
        <f t="shared" si="61"/>
        <v>CHECK VALVE 16" 150# RF, BOLTED CAP, A216</v>
      </c>
      <c r="M287" s="174">
        <v>5</v>
      </c>
      <c r="N287" s="458"/>
      <c r="O287" s="458"/>
      <c r="P287" s="458"/>
      <c r="Q287" s="459"/>
      <c r="R287" s="457">
        <v>46331</v>
      </c>
      <c r="S287" s="172"/>
      <c r="T287" s="172"/>
      <c r="U287" s="172"/>
      <c r="V287" s="172"/>
      <c r="W287" s="172"/>
      <c r="X287" s="172"/>
      <c r="Y287" s="172"/>
      <c r="Z287" s="172"/>
      <c r="AA287" s="460"/>
      <c r="AB287" s="460"/>
      <c r="AC287" s="460"/>
      <c r="AD287" s="86"/>
    </row>
    <row r="288" spans="1:30" ht="26" customHeight="1" x14ac:dyDescent="0.3">
      <c r="A288" s="460" t="s">
        <v>94</v>
      </c>
      <c r="B288" s="460" t="s">
        <v>80</v>
      </c>
      <c r="C288" s="531">
        <v>600</v>
      </c>
      <c r="D288" s="460" t="s">
        <v>81</v>
      </c>
      <c r="E288" s="460" t="s">
        <v>97</v>
      </c>
      <c r="F288" s="460" t="s">
        <v>107</v>
      </c>
      <c r="G288" s="172">
        <v>46146</v>
      </c>
      <c r="H288" s="173" t="s">
        <v>1234</v>
      </c>
      <c r="I288" s="84" t="s">
        <v>1235</v>
      </c>
      <c r="J288" s="84" t="s">
        <v>159</v>
      </c>
      <c r="K288" s="84" t="s">
        <v>95</v>
      </c>
      <c r="L288" s="84" t="str">
        <f t="shared" si="61"/>
        <v>CHECK VALVE 10" 600# RF, BOLTED CAP, A216</v>
      </c>
      <c r="M288" s="174">
        <v>2</v>
      </c>
      <c r="N288" s="458"/>
      <c r="O288" s="458"/>
      <c r="P288" s="458"/>
      <c r="Q288" s="459"/>
      <c r="R288" s="457">
        <v>46331</v>
      </c>
      <c r="S288" s="172"/>
      <c r="T288" s="172"/>
      <c r="U288" s="172"/>
      <c r="V288" s="172"/>
      <c r="W288" s="172"/>
      <c r="X288" s="172"/>
      <c r="Y288" s="172"/>
      <c r="Z288" s="172"/>
      <c r="AA288" s="460"/>
      <c r="AB288" s="460"/>
      <c r="AC288" s="460"/>
      <c r="AD288" s="86"/>
    </row>
    <row r="289" spans="1:84" ht="26" customHeight="1" x14ac:dyDescent="0.3">
      <c r="A289" s="460" t="s">
        <v>94</v>
      </c>
      <c r="B289" s="460" t="s">
        <v>118</v>
      </c>
      <c r="C289" s="531">
        <v>600</v>
      </c>
      <c r="D289" s="460" t="s">
        <v>81</v>
      </c>
      <c r="E289" s="460" t="s">
        <v>97</v>
      </c>
      <c r="F289" s="460" t="s">
        <v>107</v>
      </c>
      <c r="G289" s="172">
        <v>46146</v>
      </c>
      <c r="H289" s="173" t="s">
        <v>1234</v>
      </c>
      <c r="I289" s="84" t="s">
        <v>1235</v>
      </c>
      <c r="J289" s="84" t="s">
        <v>159</v>
      </c>
      <c r="K289" s="84" t="s">
        <v>1245</v>
      </c>
      <c r="L289" s="84" t="str">
        <f t="shared" si="61"/>
        <v>CHECK VALVE 16" 600# RF, BOLTED CAP, A216</v>
      </c>
      <c r="M289" s="174">
        <v>1</v>
      </c>
      <c r="N289" s="458"/>
      <c r="O289" s="458"/>
      <c r="P289" s="458"/>
      <c r="Q289" s="459"/>
      <c r="R289" s="457">
        <v>46331</v>
      </c>
      <c r="S289" s="172"/>
      <c r="T289" s="172"/>
      <c r="U289" s="172"/>
      <c r="V289" s="172"/>
      <c r="W289" s="172"/>
      <c r="X289" s="172"/>
      <c r="Y289" s="172"/>
      <c r="Z289" s="172"/>
      <c r="AA289" s="460"/>
      <c r="AB289" s="460"/>
      <c r="AC289" s="460"/>
      <c r="AD289" s="86"/>
    </row>
    <row r="290" spans="1:84" ht="26" customHeight="1" x14ac:dyDescent="0.3">
      <c r="A290" s="460" t="s">
        <v>90</v>
      </c>
      <c r="B290" s="460" t="s">
        <v>86</v>
      </c>
      <c r="C290" s="531">
        <v>150</v>
      </c>
      <c r="D290" s="460" t="s">
        <v>81</v>
      </c>
      <c r="E290" s="460" t="s">
        <v>1218</v>
      </c>
      <c r="F290" s="460" t="s">
        <v>107</v>
      </c>
      <c r="G290" s="172">
        <v>46146</v>
      </c>
      <c r="H290" s="173" t="s">
        <v>1234</v>
      </c>
      <c r="I290" s="84" t="s">
        <v>1235</v>
      </c>
      <c r="J290" s="84" t="s">
        <v>159</v>
      </c>
      <c r="K290" s="84" t="s">
        <v>91</v>
      </c>
      <c r="L290" s="84" t="str">
        <f t="shared" si="61"/>
        <v>GATE VALVE 2" 150# RF, BB-OS&amp;Y, A216</v>
      </c>
      <c r="M290" s="174">
        <v>11</v>
      </c>
      <c r="N290" s="458"/>
      <c r="O290" s="458"/>
      <c r="P290" s="458"/>
      <c r="Q290" s="459"/>
      <c r="R290" s="457">
        <v>46331</v>
      </c>
      <c r="S290" s="172"/>
      <c r="T290" s="172"/>
      <c r="U290" s="172"/>
      <c r="V290" s="172"/>
      <c r="W290" s="172"/>
      <c r="X290" s="172"/>
      <c r="Y290" s="172"/>
      <c r="Z290" s="172"/>
      <c r="AA290" s="460"/>
      <c r="AB290" s="460"/>
      <c r="AC290" s="460"/>
      <c r="AD290" s="86"/>
    </row>
    <row r="291" spans="1:84" ht="26" customHeight="1" x14ac:dyDescent="0.3">
      <c r="A291" s="460" t="s">
        <v>92</v>
      </c>
      <c r="B291" s="460" t="s">
        <v>86</v>
      </c>
      <c r="C291" s="531">
        <v>600</v>
      </c>
      <c r="D291" s="460" t="s">
        <v>81</v>
      </c>
      <c r="E291" s="460" t="s">
        <v>1218</v>
      </c>
      <c r="F291" s="460" t="s">
        <v>107</v>
      </c>
      <c r="G291" s="172">
        <v>46146</v>
      </c>
      <c r="H291" s="173" t="s">
        <v>1234</v>
      </c>
      <c r="I291" s="84" t="s">
        <v>1235</v>
      </c>
      <c r="J291" s="84" t="s">
        <v>159</v>
      </c>
      <c r="K291" s="84" t="s">
        <v>1228</v>
      </c>
      <c r="L291" s="84" t="str">
        <f t="shared" si="61"/>
        <v>GLOBE VALVE 2" 600# RF, BB-OS&amp;Y, A216</v>
      </c>
      <c r="M291" s="174">
        <v>6</v>
      </c>
      <c r="N291" s="458"/>
      <c r="O291" s="458"/>
      <c r="P291" s="458"/>
      <c r="Q291" s="459"/>
      <c r="R291" s="457">
        <v>46331</v>
      </c>
      <c r="S291" s="172"/>
      <c r="T291" s="172"/>
      <c r="U291" s="172"/>
      <c r="V291" s="172"/>
      <c r="W291" s="172"/>
      <c r="X291" s="172"/>
      <c r="Y291" s="172"/>
      <c r="Z291" s="172"/>
      <c r="AA291" s="460"/>
      <c r="AB291" s="460"/>
      <c r="AC291" s="460"/>
      <c r="AD291" s="86"/>
    </row>
    <row r="292" spans="1:84" ht="26" customHeight="1" x14ac:dyDescent="0.3">
      <c r="A292" s="460" t="s">
        <v>92</v>
      </c>
      <c r="B292" s="460" t="s">
        <v>118</v>
      </c>
      <c r="C292" s="531">
        <v>600</v>
      </c>
      <c r="D292" s="460" t="s">
        <v>81</v>
      </c>
      <c r="E292" s="460" t="s">
        <v>1218</v>
      </c>
      <c r="F292" s="460" t="s">
        <v>107</v>
      </c>
      <c r="G292" s="172">
        <v>46146</v>
      </c>
      <c r="H292" s="173" t="s">
        <v>1234</v>
      </c>
      <c r="I292" s="84" t="s">
        <v>1235</v>
      </c>
      <c r="J292" s="84" t="s">
        <v>159</v>
      </c>
      <c r="K292" s="84" t="s">
        <v>1246</v>
      </c>
      <c r="L292" s="84" t="str">
        <f t="shared" si="61"/>
        <v>GLOBE VALVE 16" 600# RF, BB-OS&amp;Y, A216</v>
      </c>
      <c r="M292" s="174">
        <v>1</v>
      </c>
      <c r="N292" s="458"/>
      <c r="O292" s="458"/>
      <c r="P292" s="458"/>
      <c r="Q292" s="459"/>
      <c r="R292" s="457">
        <v>46331</v>
      </c>
      <c r="S292" s="172"/>
      <c r="T292" s="172"/>
      <c r="U292" s="172"/>
      <c r="V292" s="172"/>
      <c r="W292" s="172"/>
      <c r="X292" s="172"/>
      <c r="Y292" s="172"/>
      <c r="Z292" s="172"/>
      <c r="AA292" s="460"/>
      <c r="AB292" s="460"/>
      <c r="AC292" s="460"/>
      <c r="AD292" s="86"/>
    </row>
    <row r="293" spans="1:84" ht="26" customHeight="1" x14ac:dyDescent="0.3">
      <c r="A293" s="460" t="s">
        <v>90</v>
      </c>
      <c r="B293" s="460" t="s">
        <v>117</v>
      </c>
      <c r="C293" s="531">
        <v>150</v>
      </c>
      <c r="D293" s="460" t="s">
        <v>81</v>
      </c>
      <c r="E293" s="460" t="s">
        <v>1218</v>
      </c>
      <c r="F293" s="460" t="s">
        <v>142</v>
      </c>
      <c r="G293" s="172">
        <v>46146</v>
      </c>
      <c r="H293" s="173" t="s">
        <v>1234</v>
      </c>
      <c r="I293" s="84" t="s">
        <v>1235</v>
      </c>
      <c r="J293" s="84" t="s">
        <v>159</v>
      </c>
      <c r="K293" s="84" t="s">
        <v>1247</v>
      </c>
      <c r="L293" s="84" t="str">
        <f t="shared" si="61"/>
        <v>GATE VALVE 1" 150# RF, BB-OS&amp;Y, A105N</v>
      </c>
      <c r="M293" s="174">
        <v>1</v>
      </c>
      <c r="N293" s="458"/>
      <c r="O293" s="458"/>
      <c r="P293" s="458"/>
      <c r="Q293" s="459"/>
      <c r="R293" s="457">
        <v>46331</v>
      </c>
      <c r="S293" s="172"/>
      <c r="T293" s="172"/>
      <c r="U293" s="172"/>
      <c r="V293" s="172"/>
      <c r="W293" s="172"/>
      <c r="X293" s="172"/>
      <c r="Y293" s="172"/>
      <c r="Z293" s="172"/>
      <c r="AA293" s="460"/>
      <c r="AB293" s="460"/>
      <c r="AC293" s="460"/>
      <c r="AD293" s="86"/>
    </row>
    <row r="294" spans="1:84" ht="26" customHeight="1" x14ac:dyDescent="0.3">
      <c r="A294" s="460" t="s">
        <v>94</v>
      </c>
      <c r="B294" s="460" t="s">
        <v>117</v>
      </c>
      <c r="C294" s="531">
        <v>150</v>
      </c>
      <c r="D294" s="460" t="s">
        <v>81</v>
      </c>
      <c r="E294" s="460" t="s">
        <v>97</v>
      </c>
      <c r="F294" s="460" t="s">
        <v>142</v>
      </c>
      <c r="G294" s="172">
        <v>46146</v>
      </c>
      <c r="H294" s="173" t="s">
        <v>1234</v>
      </c>
      <c r="I294" s="84" t="s">
        <v>1235</v>
      </c>
      <c r="J294" s="84" t="s">
        <v>159</v>
      </c>
      <c r="K294" s="84" t="s">
        <v>1248</v>
      </c>
      <c r="L294" s="84" t="str">
        <f t="shared" si="61"/>
        <v>CHECK VALVE 1" 150# RF, BOLTED CAP, A105N</v>
      </c>
      <c r="M294" s="174">
        <v>1</v>
      </c>
      <c r="N294" s="458"/>
      <c r="O294" s="458"/>
      <c r="P294" s="458"/>
      <c r="Q294" s="459"/>
      <c r="R294" s="457">
        <v>46331</v>
      </c>
      <c r="S294" s="172"/>
      <c r="T294" s="172"/>
      <c r="U294" s="172"/>
      <c r="V294" s="172"/>
      <c r="W294" s="172"/>
      <c r="X294" s="172"/>
      <c r="Y294" s="172"/>
      <c r="Z294" s="172"/>
      <c r="AA294" s="460"/>
      <c r="AB294" s="460"/>
      <c r="AC294" s="460"/>
      <c r="AD294" s="86"/>
    </row>
    <row r="295" spans="1:84" s="83" customFormat="1" ht="26" customHeight="1" x14ac:dyDescent="0.25">
      <c r="A295" s="526" t="s">
        <v>78</v>
      </c>
      <c r="B295" s="526" t="s">
        <v>86</v>
      </c>
      <c r="C295" s="541">
        <v>900</v>
      </c>
      <c r="D295" s="526" t="s">
        <v>213</v>
      </c>
      <c r="E295" s="526" t="s">
        <v>108</v>
      </c>
      <c r="F295" s="526" t="s">
        <v>142</v>
      </c>
      <c r="G295" s="172">
        <v>46153</v>
      </c>
      <c r="H295" s="173" t="s">
        <v>871</v>
      </c>
      <c r="I295" s="84" t="s">
        <v>873</v>
      </c>
      <c r="J295" s="84" t="s">
        <v>872</v>
      </c>
      <c r="K295" s="84" t="s">
        <v>869</v>
      </c>
      <c r="L295" s="84" t="str">
        <f t="shared" si="61"/>
        <v>BALL VALVE 2" 900# RTJ, TRUNNION, A105N</v>
      </c>
      <c r="M295" s="174">
        <v>1</v>
      </c>
      <c r="N295" s="174"/>
      <c r="O295" s="174"/>
      <c r="P295" s="174"/>
      <c r="Q295" s="174"/>
      <c r="R295" s="172">
        <v>46204</v>
      </c>
      <c r="S295" s="172">
        <v>46199</v>
      </c>
      <c r="T295" s="172">
        <v>46202</v>
      </c>
      <c r="U295" s="172">
        <v>46202</v>
      </c>
      <c r="V295" s="172">
        <v>46203</v>
      </c>
      <c r="W295" s="172">
        <v>46203</v>
      </c>
      <c r="X295" s="172">
        <v>46204</v>
      </c>
      <c r="Y295" s="172">
        <v>46206</v>
      </c>
      <c r="Z295" s="172"/>
      <c r="AA295" s="86"/>
      <c r="AB295" s="86"/>
      <c r="AC295" s="86"/>
      <c r="AD295" s="86"/>
      <c r="AE295" s="99"/>
      <c r="AF295" s="100"/>
      <c r="AG295" s="100"/>
      <c r="AH295" s="100"/>
      <c r="AI295" s="100"/>
      <c r="AJ295" s="100"/>
      <c r="AK295" s="100"/>
      <c r="AL295" s="100"/>
      <c r="AM295" s="100"/>
      <c r="AN295" s="100"/>
      <c r="AO295" s="100"/>
      <c r="AP295" s="100"/>
      <c r="AQ295" s="100"/>
      <c r="AR295" s="100"/>
      <c r="AS295" s="100"/>
      <c r="AT295" s="100"/>
      <c r="AU295" s="100"/>
      <c r="AV295" s="100"/>
      <c r="AW295" s="100"/>
      <c r="AX295" s="100"/>
      <c r="AY295" s="100"/>
      <c r="AZ295" s="100"/>
      <c r="BA295" s="100"/>
      <c r="BB295" s="100"/>
      <c r="BC295" s="100"/>
      <c r="BD295" s="100"/>
      <c r="BE295" s="100"/>
      <c r="BF295" s="100"/>
      <c r="BG295" s="100"/>
      <c r="BH295" s="100"/>
      <c r="BI295" s="100"/>
      <c r="BJ295" s="100"/>
      <c r="BK295" s="100"/>
      <c r="BL295" s="100"/>
      <c r="BM295" s="100"/>
      <c r="BN295" s="100"/>
      <c r="BO295" s="100"/>
      <c r="BP295" s="100"/>
      <c r="BQ295" s="100"/>
      <c r="BR295" s="100"/>
      <c r="BS295" s="100"/>
      <c r="BT295" s="100"/>
      <c r="BU295" s="100"/>
      <c r="BV295" s="100"/>
      <c r="BW295" s="100"/>
      <c r="BX295" s="100"/>
      <c r="BY295" s="100"/>
      <c r="BZ295" s="100"/>
      <c r="CA295" s="100"/>
      <c r="CB295" s="100"/>
      <c r="CC295" s="100"/>
      <c r="CD295" s="100"/>
      <c r="CE295" s="100"/>
      <c r="CF295" s="101"/>
    </row>
    <row r="296" spans="1:84" s="83" customFormat="1" ht="26" customHeight="1" x14ac:dyDescent="0.25">
      <c r="A296" s="526" t="s">
        <v>868</v>
      </c>
      <c r="B296" s="526" t="s">
        <v>86</v>
      </c>
      <c r="C296" s="541">
        <v>900</v>
      </c>
      <c r="D296" s="526" t="s">
        <v>867</v>
      </c>
      <c r="E296" s="526" t="s">
        <v>1225</v>
      </c>
      <c r="F296" s="526" t="s">
        <v>142</v>
      </c>
      <c r="G296" s="172">
        <v>46153</v>
      </c>
      <c r="H296" s="173" t="s">
        <v>871</v>
      </c>
      <c r="I296" s="84" t="s">
        <v>873</v>
      </c>
      <c r="J296" s="84" t="s">
        <v>872</v>
      </c>
      <c r="K296" s="84" t="s">
        <v>870</v>
      </c>
      <c r="L296" s="84" t="str">
        <f t="shared" si="61"/>
        <v>DB-BALL VALVE 2" 900# RTJ X NPT, FLOATING , A105N</v>
      </c>
      <c r="M296" s="174">
        <v>2</v>
      </c>
      <c r="N296" s="174"/>
      <c r="O296" s="174"/>
      <c r="P296" s="174"/>
      <c r="Q296" s="174"/>
      <c r="R296" s="172">
        <v>46204</v>
      </c>
      <c r="S296" s="172">
        <v>46199</v>
      </c>
      <c r="T296" s="172">
        <v>46202</v>
      </c>
      <c r="U296" s="172">
        <v>46202</v>
      </c>
      <c r="V296" s="172">
        <v>46203</v>
      </c>
      <c r="W296" s="172">
        <v>46203</v>
      </c>
      <c r="X296" s="172">
        <v>46204</v>
      </c>
      <c r="Y296" s="172">
        <v>46206</v>
      </c>
      <c r="Z296" s="172"/>
      <c r="AA296" s="86"/>
      <c r="AB296" s="86"/>
      <c r="AC296" s="86"/>
      <c r="AD296" s="86"/>
      <c r="AE296" s="99"/>
      <c r="AF296" s="100"/>
      <c r="AG296" s="100"/>
      <c r="AH296" s="100"/>
      <c r="AI296" s="100"/>
      <c r="AJ296" s="100"/>
      <c r="AK296" s="100"/>
      <c r="AL296" s="100"/>
      <c r="AM296" s="100"/>
      <c r="AN296" s="100"/>
      <c r="AO296" s="100"/>
      <c r="AP296" s="100"/>
      <c r="AQ296" s="100"/>
      <c r="AR296" s="100"/>
      <c r="AS296" s="100"/>
      <c r="AT296" s="100"/>
      <c r="AU296" s="100"/>
      <c r="AV296" s="100"/>
      <c r="AW296" s="100"/>
      <c r="AX296" s="100"/>
      <c r="AY296" s="100"/>
      <c r="AZ296" s="100"/>
      <c r="BA296" s="100"/>
      <c r="BB296" s="100"/>
      <c r="BC296" s="100"/>
      <c r="BD296" s="100"/>
      <c r="BE296" s="100"/>
      <c r="BF296" s="100"/>
      <c r="BG296" s="100"/>
      <c r="BH296" s="100"/>
      <c r="BI296" s="100"/>
      <c r="BJ296" s="100"/>
      <c r="BK296" s="100"/>
      <c r="BL296" s="100"/>
      <c r="BM296" s="100"/>
      <c r="BN296" s="100"/>
      <c r="BO296" s="100"/>
      <c r="BP296" s="100"/>
      <c r="BQ296" s="100"/>
      <c r="BR296" s="100"/>
      <c r="BS296" s="100"/>
      <c r="BT296" s="100"/>
      <c r="BU296" s="100"/>
      <c r="BV296" s="100"/>
      <c r="BW296" s="100"/>
      <c r="BX296" s="100"/>
      <c r="BY296" s="100"/>
      <c r="BZ296" s="100"/>
      <c r="CA296" s="100"/>
      <c r="CB296" s="100"/>
      <c r="CC296" s="100"/>
      <c r="CD296" s="100"/>
      <c r="CE296" s="100"/>
      <c r="CF296" s="101"/>
    </row>
    <row r="297" spans="1:84" s="83" customFormat="1" ht="26" customHeight="1" x14ac:dyDescent="0.25">
      <c r="A297" s="526" t="s">
        <v>78</v>
      </c>
      <c r="B297" s="526" t="s">
        <v>117</v>
      </c>
      <c r="C297" s="541">
        <v>800</v>
      </c>
      <c r="D297" s="526" t="s">
        <v>106</v>
      </c>
      <c r="E297" s="526" t="s">
        <v>109</v>
      </c>
      <c r="F297" s="526" t="s">
        <v>1765</v>
      </c>
      <c r="G297" s="172">
        <v>46161</v>
      </c>
      <c r="H297" s="173" t="s">
        <v>1764</v>
      </c>
      <c r="I297" s="84" t="s">
        <v>1762</v>
      </c>
      <c r="J297" s="84" t="s">
        <v>1763</v>
      </c>
      <c r="K297" s="84" t="s">
        <v>1761</v>
      </c>
      <c r="L297" s="84" t="str">
        <f t="shared" si="61"/>
        <v>BALL VALVE 1" 800# SW, FLOATING, ASTM A182</v>
      </c>
      <c r="M297" s="174">
        <v>5</v>
      </c>
      <c r="N297" s="174"/>
      <c r="O297" s="174"/>
      <c r="P297" s="174"/>
      <c r="Q297" s="174"/>
      <c r="R297" s="172">
        <v>46241</v>
      </c>
      <c r="S297" s="172"/>
      <c r="T297" s="172"/>
      <c r="U297" s="172"/>
      <c r="V297" s="172"/>
      <c r="W297" s="172"/>
      <c r="X297" s="172"/>
      <c r="Y297" s="172"/>
      <c r="Z297" s="172"/>
      <c r="AA297" s="86"/>
      <c r="AB297" s="86"/>
      <c r="AC297" s="86"/>
      <c r="AD297" s="86"/>
      <c r="AE297" s="552"/>
      <c r="AF297" s="553"/>
      <c r="AG297" s="553"/>
      <c r="AH297" s="553"/>
      <c r="AI297" s="553"/>
      <c r="AJ297" s="553"/>
      <c r="AK297" s="553"/>
      <c r="AL297" s="553"/>
      <c r="AM297" s="553"/>
      <c r="AN297" s="553"/>
      <c r="AO297" s="553"/>
      <c r="AP297" s="553"/>
      <c r="AQ297" s="553"/>
      <c r="AR297" s="553"/>
      <c r="AS297" s="553"/>
      <c r="AT297" s="553"/>
      <c r="AU297" s="553"/>
      <c r="AV297" s="553"/>
      <c r="AW297" s="553"/>
      <c r="AX297" s="553"/>
      <c r="AY297" s="553"/>
      <c r="AZ297" s="553"/>
      <c r="BA297" s="553"/>
      <c r="BB297" s="553"/>
      <c r="BC297" s="553"/>
      <c r="BD297" s="553"/>
      <c r="BE297" s="553"/>
      <c r="BF297" s="553"/>
      <c r="BG297" s="553"/>
      <c r="BH297" s="553"/>
      <c r="BI297" s="553"/>
      <c r="BJ297" s="553"/>
      <c r="BK297" s="553"/>
      <c r="BL297" s="553"/>
      <c r="BM297" s="553"/>
      <c r="BN297" s="553"/>
      <c r="BO297" s="553"/>
      <c r="BP297" s="553"/>
      <c r="BQ297" s="553"/>
      <c r="BR297" s="553"/>
      <c r="BS297" s="553"/>
      <c r="BT297" s="553"/>
      <c r="BU297" s="553"/>
      <c r="BV297" s="553"/>
      <c r="BW297" s="553"/>
      <c r="BX297" s="553"/>
      <c r="BY297" s="553"/>
      <c r="BZ297" s="553"/>
      <c r="CA297" s="553"/>
      <c r="CB297" s="553"/>
      <c r="CC297" s="553"/>
      <c r="CD297" s="553"/>
      <c r="CE297" s="553"/>
      <c r="CF297" s="554"/>
    </row>
    <row r="298" spans="1:84" s="83" customFormat="1" ht="26" customHeight="1" x14ac:dyDescent="0.25">
      <c r="A298" s="526" t="s">
        <v>78</v>
      </c>
      <c r="B298" s="526" t="s">
        <v>118</v>
      </c>
      <c r="C298" s="541">
        <v>600</v>
      </c>
      <c r="D298" s="526" t="s">
        <v>81</v>
      </c>
      <c r="E298" s="526" t="s">
        <v>108</v>
      </c>
      <c r="F298" s="526" t="s">
        <v>107</v>
      </c>
      <c r="G298" s="172">
        <v>46168</v>
      </c>
      <c r="H298" s="173" t="s">
        <v>1767</v>
      </c>
      <c r="I298" s="84" t="s">
        <v>187</v>
      </c>
      <c r="J298" s="84" t="s">
        <v>188</v>
      </c>
      <c r="K298" s="84" t="s">
        <v>1766</v>
      </c>
      <c r="L298" s="84" t="str">
        <f t="shared" si="61"/>
        <v>BALL VALVE 16" 600# RF, TRUNNION, A216</v>
      </c>
      <c r="M298" s="174">
        <v>1</v>
      </c>
      <c r="N298" s="174"/>
      <c r="O298" s="174"/>
      <c r="P298" s="174"/>
      <c r="Q298" s="174"/>
      <c r="R298" s="172">
        <v>46272</v>
      </c>
      <c r="S298" s="172"/>
      <c r="T298" s="172"/>
      <c r="U298" s="172"/>
      <c r="V298" s="172"/>
      <c r="W298" s="172"/>
      <c r="X298" s="172"/>
      <c r="Y298" s="172"/>
      <c r="Z298" s="172"/>
      <c r="AA298" s="86"/>
      <c r="AB298" s="86"/>
      <c r="AC298" s="86"/>
      <c r="AD298" s="86"/>
      <c r="AE298" s="552"/>
      <c r="AF298" s="553"/>
      <c r="AG298" s="553"/>
      <c r="AH298" s="553"/>
      <c r="AI298" s="553"/>
      <c r="AJ298" s="553"/>
      <c r="AK298" s="553"/>
      <c r="AL298" s="553"/>
      <c r="AM298" s="553"/>
      <c r="AN298" s="553"/>
      <c r="AO298" s="553"/>
      <c r="AP298" s="553"/>
      <c r="AQ298" s="553"/>
      <c r="AR298" s="553"/>
      <c r="AS298" s="553"/>
      <c r="AT298" s="553"/>
      <c r="AU298" s="553"/>
      <c r="AV298" s="553"/>
      <c r="AW298" s="553"/>
      <c r="AX298" s="553"/>
      <c r="AY298" s="553"/>
      <c r="AZ298" s="553"/>
      <c r="BA298" s="553"/>
      <c r="BB298" s="553"/>
      <c r="BC298" s="553"/>
      <c r="BD298" s="553"/>
      <c r="BE298" s="553"/>
      <c r="BF298" s="553"/>
      <c r="BG298" s="553"/>
      <c r="BH298" s="553"/>
      <c r="BI298" s="553"/>
      <c r="BJ298" s="553"/>
      <c r="BK298" s="553"/>
      <c r="BL298" s="553"/>
      <c r="BM298" s="553"/>
      <c r="BN298" s="553"/>
      <c r="BO298" s="553"/>
      <c r="BP298" s="553"/>
      <c r="BQ298" s="553"/>
      <c r="BR298" s="553"/>
      <c r="BS298" s="553"/>
      <c r="BT298" s="553"/>
      <c r="BU298" s="553"/>
      <c r="BV298" s="553"/>
      <c r="BW298" s="553"/>
      <c r="BX298" s="553"/>
      <c r="BY298" s="553"/>
      <c r="BZ298" s="553"/>
      <c r="CA298" s="553"/>
      <c r="CB298" s="553"/>
      <c r="CC298" s="553"/>
      <c r="CD298" s="553"/>
      <c r="CE298" s="553"/>
      <c r="CF298" s="554"/>
    </row>
    <row r="299" spans="1:84" s="83" customFormat="1" ht="26" customHeight="1" x14ac:dyDescent="0.25">
      <c r="A299" s="526" t="s">
        <v>189</v>
      </c>
      <c r="B299" s="526" t="s">
        <v>120</v>
      </c>
      <c r="C299" s="541">
        <v>150</v>
      </c>
      <c r="D299" s="526" t="s">
        <v>81</v>
      </c>
      <c r="E299" s="526" t="s">
        <v>1773</v>
      </c>
      <c r="F299" s="526" t="s">
        <v>1774</v>
      </c>
      <c r="G299" s="172">
        <v>46202</v>
      </c>
      <c r="H299" s="173" t="s">
        <v>1775</v>
      </c>
      <c r="I299" s="84" t="s">
        <v>1776</v>
      </c>
      <c r="J299" s="84" t="s">
        <v>1777</v>
      </c>
      <c r="K299" s="84" t="s">
        <v>1769</v>
      </c>
      <c r="L299" s="84" t="str">
        <f t="shared" si="61"/>
        <v>BUTTERFLY VALVE 8" 150# RF, DB-FLANGE, A395</v>
      </c>
      <c r="M299" s="174">
        <v>4</v>
      </c>
      <c r="N299" s="174"/>
      <c r="O299" s="174"/>
      <c r="P299" s="174"/>
      <c r="Q299" s="174"/>
      <c r="R299" s="172">
        <v>46323</v>
      </c>
      <c r="S299" s="172"/>
      <c r="T299" s="172"/>
      <c r="U299" s="172"/>
      <c r="V299" s="172"/>
      <c r="W299" s="172"/>
      <c r="X299" s="172"/>
      <c r="Y299" s="172"/>
      <c r="Z299" s="172"/>
      <c r="AA299" s="86"/>
      <c r="AB299" s="86"/>
      <c r="AC299" s="86"/>
      <c r="AD299" s="86"/>
      <c r="AE299" s="552"/>
      <c r="AF299" s="553"/>
      <c r="AG299" s="553"/>
      <c r="AH299" s="553"/>
      <c r="AI299" s="553"/>
      <c r="AJ299" s="553"/>
      <c r="AK299" s="553"/>
      <c r="AL299" s="553"/>
      <c r="AM299" s="553"/>
      <c r="AN299" s="553"/>
      <c r="AO299" s="553"/>
      <c r="AP299" s="553"/>
      <c r="AQ299" s="553"/>
      <c r="AR299" s="553"/>
      <c r="AS299" s="553"/>
      <c r="AT299" s="553"/>
      <c r="AU299" s="553"/>
      <c r="AV299" s="553"/>
      <c r="AW299" s="553"/>
      <c r="AX299" s="553"/>
      <c r="AY299" s="553"/>
      <c r="AZ299" s="553"/>
      <c r="BA299" s="553"/>
      <c r="BB299" s="553"/>
      <c r="BC299" s="553"/>
      <c r="BD299" s="553"/>
      <c r="BE299" s="553"/>
      <c r="BF299" s="553"/>
      <c r="BG299" s="553"/>
      <c r="BH299" s="553"/>
      <c r="BI299" s="553"/>
      <c r="BJ299" s="553"/>
      <c r="BK299" s="553"/>
      <c r="BL299" s="553"/>
      <c r="BM299" s="553"/>
      <c r="BN299" s="553"/>
      <c r="BO299" s="553"/>
      <c r="BP299" s="553"/>
      <c r="BQ299" s="553"/>
      <c r="BR299" s="553"/>
      <c r="BS299" s="553"/>
      <c r="BT299" s="553"/>
      <c r="BU299" s="553"/>
      <c r="BV299" s="553"/>
      <c r="BW299" s="553"/>
      <c r="BX299" s="553"/>
      <c r="BY299" s="553"/>
      <c r="BZ299" s="553"/>
      <c r="CA299" s="553"/>
      <c r="CB299" s="553"/>
      <c r="CC299" s="553"/>
      <c r="CD299" s="553"/>
      <c r="CE299" s="553"/>
      <c r="CF299" s="554"/>
    </row>
    <row r="300" spans="1:84" s="83" customFormat="1" ht="26" customHeight="1" x14ac:dyDescent="0.25">
      <c r="A300" s="526" t="s">
        <v>189</v>
      </c>
      <c r="B300" s="526" t="s">
        <v>119</v>
      </c>
      <c r="C300" s="541">
        <v>150</v>
      </c>
      <c r="D300" s="526" t="s">
        <v>81</v>
      </c>
      <c r="E300" s="526" t="s">
        <v>1773</v>
      </c>
      <c r="F300" s="526" t="s">
        <v>1774</v>
      </c>
      <c r="G300" s="172">
        <v>46202</v>
      </c>
      <c r="H300" s="173" t="s">
        <v>1775</v>
      </c>
      <c r="I300" s="84" t="s">
        <v>1776</v>
      </c>
      <c r="J300" s="84" t="s">
        <v>1777</v>
      </c>
      <c r="K300" s="84" t="s">
        <v>1769</v>
      </c>
      <c r="L300" s="84" t="str">
        <f t="shared" si="61"/>
        <v>BUTTERFLY VALVE 12" 150# RF, DB-FLANGE, A395</v>
      </c>
      <c r="M300" s="174">
        <v>3</v>
      </c>
      <c r="N300" s="174"/>
      <c r="O300" s="174"/>
      <c r="P300" s="174"/>
      <c r="Q300" s="174"/>
      <c r="R300" s="172">
        <v>46323</v>
      </c>
      <c r="S300" s="172"/>
      <c r="T300" s="172"/>
      <c r="U300" s="172"/>
      <c r="V300" s="172"/>
      <c r="W300" s="172"/>
      <c r="X300" s="172"/>
      <c r="Y300" s="172"/>
      <c r="Z300" s="172"/>
      <c r="AA300" s="86"/>
      <c r="AB300" s="86"/>
      <c r="AC300" s="86"/>
      <c r="AD300" s="86"/>
      <c r="AE300" s="552"/>
      <c r="AF300" s="553"/>
      <c r="AG300" s="553"/>
      <c r="AH300" s="553"/>
      <c r="AI300" s="553"/>
      <c r="AJ300" s="553"/>
      <c r="AK300" s="553"/>
      <c r="AL300" s="553"/>
      <c r="AM300" s="553"/>
      <c r="AN300" s="553"/>
      <c r="AO300" s="553"/>
      <c r="AP300" s="553"/>
      <c r="AQ300" s="553"/>
      <c r="AR300" s="553"/>
      <c r="AS300" s="553"/>
      <c r="AT300" s="553"/>
      <c r="AU300" s="553"/>
      <c r="AV300" s="553"/>
      <c r="AW300" s="553"/>
      <c r="AX300" s="553"/>
      <c r="AY300" s="553"/>
      <c r="AZ300" s="553"/>
      <c r="BA300" s="553"/>
      <c r="BB300" s="553"/>
      <c r="BC300" s="553"/>
      <c r="BD300" s="553"/>
      <c r="BE300" s="553"/>
      <c r="BF300" s="553"/>
      <c r="BG300" s="553"/>
      <c r="BH300" s="553"/>
      <c r="BI300" s="553"/>
      <c r="BJ300" s="553"/>
      <c r="BK300" s="553"/>
      <c r="BL300" s="553"/>
      <c r="BM300" s="553"/>
      <c r="BN300" s="553"/>
      <c r="BO300" s="553"/>
      <c r="BP300" s="553"/>
      <c r="BQ300" s="553"/>
      <c r="BR300" s="553"/>
      <c r="BS300" s="553"/>
      <c r="BT300" s="553"/>
      <c r="BU300" s="553"/>
      <c r="BV300" s="553"/>
      <c r="BW300" s="553"/>
      <c r="BX300" s="553"/>
      <c r="BY300" s="553"/>
      <c r="BZ300" s="553"/>
      <c r="CA300" s="553"/>
      <c r="CB300" s="553"/>
      <c r="CC300" s="553"/>
      <c r="CD300" s="553"/>
      <c r="CE300" s="553"/>
      <c r="CF300" s="554"/>
    </row>
    <row r="301" spans="1:84" s="83" customFormat="1" ht="26" customHeight="1" x14ac:dyDescent="0.25">
      <c r="A301" s="526" t="s">
        <v>189</v>
      </c>
      <c r="B301" s="526" t="s">
        <v>195</v>
      </c>
      <c r="C301" s="541">
        <v>150</v>
      </c>
      <c r="D301" s="526" t="s">
        <v>81</v>
      </c>
      <c r="E301" s="526" t="s">
        <v>1773</v>
      </c>
      <c r="F301" s="526" t="s">
        <v>1774</v>
      </c>
      <c r="G301" s="172">
        <v>46202</v>
      </c>
      <c r="H301" s="173" t="s">
        <v>1775</v>
      </c>
      <c r="I301" s="84" t="s">
        <v>1776</v>
      </c>
      <c r="J301" s="84" t="s">
        <v>1777</v>
      </c>
      <c r="K301" s="84" t="s">
        <v>1769</v>
      </c>
      <c r="L301" s="84" t="str">
        <f t="shared" si="61"/>
        <v>BUTTERFLY VALVE 24" 150# RF, DB-FLANGE, A395</v>
      </c>
      <c r="M301" s="174">
        <v>3</v>
      </c>
      <c r="N301" s="174"/>
      <c r="O301" s="174"/>
      <c r="P301" s="174"/>
      <c r="Q301" s="174"/>
      <c r="R301" s="172">
        <v>46323</v>
      </c>
      <c r="S301" s="172"/>
      <c r="T301" s="172"/>
      <c r="U301" s="172"/>
      <c r="V301" s="172"/>
      <c r="W301" s="172"/>
      <c r="X301" s="172"/>
      <c r="Y301" s="172"/>
      <c r="Z301" s="172"/>
      <c r="AA301" s="86"/>
      <c r="AB301" s="86"/>
      <c r="AC301" s="86"/>
      <c r="AD301" s="86"/>
      <c r="AE301" s="552"/>
      <c r="AF301" s="553"/>
      <c r="AG301" s="553"/>
      <c r="AH301" s="553"/>
      <c r="AI301" s="553"/>
      <c r="AJ301" s="553"/>
      <c r="AK301" s="553"/>
      <c r="AL301" s="553"/>
      <c r="AM301" s="553"/>
      <c r="AN301" s="553"/>
      <c r="AO301" s="553"/>
      <c r="AP301" s="553"/>
      <c r="AQ301" s="553"/>
      <c r="AR301" s="553"/>
      <c r="AS301" s="553"/>
      <c r="AT301" s="553"/>
      <c r="AU301" s="553"/>
      <c r="AV301" s="553"/>
      <c r="AW301" s="553"/>
      <c r="AX301" s="553"/>
      <c r="AY301" s="553"/>
      <c r="AZ301" s="553"/>
      <c r="BA301" s="553"/>
      <c r="BB301" s="553"/>
      <c r="BC301" s="553"/>
      <c r="BD301" s="553"/>
      <c r="BE301" s="553"/>
      <c r="BF301" s="553"/>
      <c r="BG301" s="553"/>
      <c r="BH301" s="553"/>
      <c r="BI301" s="553"/>
      <c r="BJ301" s="553"/>
      <c r="BK301" s="553"/>
      <c r="BL301" s="553"/>
      <c r="BM301" s="553"/>
      <c r="BN301" s="553"/>
      <c r="BO301" s="553"/>
      <c r="BP301" s="553"/>
      <c r="BQ301" s="553"/>
      <c r="BR301" s="553"/>
      <c r="BS301" s="553"/>
      <c r="BT301" s="553"/>
      <c r="BU301" s="553"/>
      <c r="BV301" s="553"/>
      <c r="BW301" s="553"/>
      <c r="BX301" s="553"/>
      <c r="BY301" s="553"/>
      <c r="BZ301" s="553"/>
      <c r="CA301" s="553"/>
      <c r="CB301" s="553"/>
      <c r="CC301" s="553"/>
      <c r="CD301" s="553"/>
      <c r="CE301" s="553"/>
      <c r="CF301" s="554"/>
    </row>
    <row r="302" spans="1:84" s="83" customFormat="1" ht="26" customHeight="1" x14ac:dyDescent="0.25">
      <c r="A302" s="526" t="s">
        <v>1768</v>
      </c>
      <c r="B302" s="526" t="s">
        <v>119</v>
      </c>
      <c r="C302" s="541">
        <v>150</v>
      </c>
      <c r="D302" s="526" t="s">
        <v>81</v>
      </c>
      <c r="E302" s="526" t="s">
        <v>1773</v>
      </c>
      <c r="F302" s="526" t="s">
        <v>107</v>
      </c>
      <c r="G302" s="172">
        <v>46202</v>
      </c>
      <c r="H302" s="173" t="s">
        <v>1775</v>
      </c>
      <c r="I302" s="84" t="s">
        <v>1776</v>
      </c>
      <c r="J302" s="84" t="s">
        <v>1777</v>
      </c>
      <c r="K302" s="84" t="s">
        <v>1770</v>
      </c>
      <c r="L302" s="84" t="str">
        <f t="shared" si="61"/>
        <v>TWIN PLATE VALVE 12" 150# RF, DB-FLANGE, A216</v>
      </c>
      <c r="M302" s="174">
        <v>3</v>
      </c>
      <c r="N302" s="174"/>
      <c r="O302" s="174"/>
      <c r="P302" s="174"/>
      <c r="Q302" s="174"/>
      <c r="R302" s="172">
        <v>46323</v>
      </c>
      <c r="S302" s="172"/>
      <c r="T302" s="172"/>
      <c r="U302" s="172"/>
      <c r="V302" s="172"/>
      <c r="W302" s="172"/>
      <c r="X302" s="172"/>
      <c r="Y302" s="172"/>
      <c r="Z302" s="172"/>
      <c r="AA302" s="86"/>
      <c r="AB302" s="86"/>
      <c r="AC302" s="86"/>
      <c r="AD302" s="86"/>
      <c r="AE302" s="552"/>
      <c r="AF302" s="553"/>
      <c r="AG302" s="553"/>
      <c r="AH302" s="553"/>
      <c r="AI302" s="553"/>
      <c r="AJ302" s="553"/>
      <c r="AK302" s="553"/>
      <c r="AL302" s="553"/>
      <c r="AM302" s="553"/>
      <c r="AN302" s="553"/>
      <c r="AO302" s="553"/>
      <c r="AP302" s="553"/>
      <c r="AQ302" s="553"/>
      <c r="AR302" s="553"/>
      <c r="AS302" s="553"/>
      <c r="AT302" s="553"/>
      <c r="AU302" s="553"/>
      <c r="AV302" s="553"/>
      <c r="AW302" s="553"/>
      <c r="AX302" s="553"/>
      <c r="AY302" s="553"/>
      <c r="AZ302" s="553"/>
      <c r="BA302" s="553"/>
      <c r="BB302" s="553"/>
      <c r="BC302" s="553"/>
      <c r="BD302" s="553"/>
      <c r="BE302" s="553"/>
      <c r="BF302" s="553"/>
      <c r="BG302" s="553"/>
      <c r="BH302" s="553"/>
      <c r="BI302" s="553"/>
      <c r="BJ302" s="553"/>
      <c r="BK302" s="553"/>
      <c r="BL302" s="553"/>
      <c r="BM302" s="553"/>
      <c r="BN302" s="553"/>
      <c r="BO302" s="553"/>
      <c r="BP302" s="553"/>
      <c r="BQ302" s="553"/>
      <c r="BR302" s="553"/>
      <c r="BS302" s="553"/>
      <c r="BT302" s="553"/>
      <c r="BU302" s="553"/>
      <c r="BV302" s="553"/>
      <c r="BW302" s="553"/>
      <c r="BX302" s="553"/>
      <c r="BY302" s="553"/>
      <c r="BZ302" s="553"/>
      <c r="CA302" s="553"/>
      <c r="CB302" s="553"/>
      <c r="CC302" s="553"/>
      <c r="CD302" s="553"/>
      <c r="CE302" s="553"/>
      <c r="CF302" s="554"/>
    </row>
    <row r="303" spans="1:84" s="83" customFormat="1" ht="26" customHeight="1" x14ac:dyDescent="0.25">
      <c r="A303" s="526" t="s">
        <v>189</v>
      </c>
      <c r="B303" s="526" t="s">
        <v>86</v>
      </c>
      <c r="C303" s="541">
        <v>150</v>
      </c>
      <c r="D303" s="526" t="s">
        <v>81</v>
      </c>
      <c r="E303" s="526" t="s">
        <v>1773</v>
      </c>
      <c r="F303" s="526" t="s">
        <v>1774</v>
      </c>
      <c r="G303" s="172">
        <v>46202</v>
      </c>
      <c r="H303" s="173" t="s">
        <v>1775</v>
      </c>
      <c r="I303" s="84" t="s">
        <v>1776</v>
      </c>
      <c r="J303" s="84" t="s">
        <v>1777</v>
      </c>
      <c r="K303" s="84" t="s">
        <v>1771</v>
      </c>
      <c r="L303" s="84" t="str">
        <f t="shared" si="61"/>
        <v>BUTTERFLY VALVE 2" 150# RF, DB-FLANGE, A395</v>
      </c>
      <c r="M303" s="174">
        <v>3</v>
      </c>
      <c r="N303" s="174"/>
      <c r="O303" s="174"/>
      <c r="P303" s="174"/>
      <c r="Q303" s="174"/>
      <c r="R303" s="172">
        <v>46323</v>
      </c>
      <c r="S303" s="172"/>
      <c r="T303" s="172"/>
      <c r="U303" s="172"/>
      <c r="V303" s="172"/>
      <c r="W303" s="172"/>
      <c r="X303" s="172"/>
      <c r="Y303" s="172"/>
      <c r="Z303" s="172"/>
      <c r="AA303" s="86"/>
      <c r="AB303" s="86"/>
      <c r="AC303" s="86"/>
      <c r="AD303" s="86"/>
      <c r="AE303" s="552"/>
      <c r="AF303" s="553"/>
      <c r="AG303" s="553"/>
      <c r="AH303" s="553"/>
      <c r="AI303" s="553"/>
      <c r="AJ303" s="553"/>
      <c r="AK303" s="553"/>
      <c r="AL303" s="553"/>
      <c r="AM303" s="553"/>
      <c r="AN303" s="553"/>
      <c r="AO303" s="553"/>
      <c r="AP303" s="553"/>
      <c r="AQ303" s="553"/>
      <c r="AR303" s="553"/>
      <c r="AS303" s="553"/>
      <c r="AT303" s="553"/>
      <c r="AU303" s="553"/>
      <c r="AV303" s="553"/>
      <c r="AW303" s="553"/>
      <c r="AX303" s="553"/>
      <c r="AY303" s="553"/>
      <c r="AZ303" s="553"/>
      <c r="BA303" s="553"/>
      <c r="BB303" s="553"/>
      <c r="BC303" s="553"/>
      <c r="BD303" s="553"/>
      <c r="BE303" s="553"/>
      <c r="BF303" s="553"/>
      <c r="BG303" s="553"/>
      <c r="BH303" s="553"/>
      <c r="BI303" s="553"/>
      <c r="BJ303" s="553"/>
      <c r="BK303" s="553"/>
      <c r="BL303" s="553"/>
      <c r="BM303" s="553"/>
      <c r="BN303" s="553"/>
      <c r="BO303" s="553"/>
      <c r="BP303" s="553"/>
      <c r="BQ303" s="553"/>
      <c r="BR303" s="553"/>
      <c r="BS303" s="553"/>
      <c r="BT303" s="553"/>
      <c r="BU303" s="553"/>
      <c r="BV303" s="553"/>
      <c r="BW303" s="553"/>
      <c r="BX303" s="553"/>
      <c r="BY303" s="553"/>
      <c r="BZ303" s="553"/>
      <c r="CA303" s="553"/>
      <c r="CB303" s="553"/>
      <c r="CC303" s="553"/>
      <c r="CD303" s="553"/>
      <c r="CE303" s="553"/>
      <c r="CF303" s="554"/>
    </row>
    <row r="304" spans="1:84" s="83" customFormat="1" ht="26" customHeight="1" x14ac:dyDescent="0.25">
      <c r="A304" s="526" t="s">
        <v>78</v>
      </c>
      <c r="B304" s="526" t="s">
        <v>88</v>
      </c>
      <c r="C304" s="541">
        <v>300</v>
      </c>
      <c r="D304" s="526" t="s">
        <v>190</v>
      </c>
      <c r="E304" s="526" t="s">
        <v>109</v>
      </c>
      <c r="F304" s="526" t="s">
        <v>182</v>
      </c>
      <c r="G304" s="172">
        <v>46202</v>
      </c>
      <c r="H304" s="173" t="s">
        <v>1775</v>
      </c>
      <c r="I304" s="84" t="s">
        <v>1776</v>
      </c>
      <c r="J304" s="84" t="s">
        <v>1777</v>
      </c>
      <c r="K304" s="84" t="s">
        <v>1772</v>
      </c>
      <c r="L304" s="84" t="str">
        <f t="shared" si="61"/>
        <v>BALL VALVE 3/4" 300# NPT, FLOATING, B148</v>
      </c>
      <c r="M304" s="174">
        <v>3</v>
      </c>
      <c r="N304" s="174"/>
      <c r="O304" s="174"/>
      <c r="P304" s="174"/>
      <c r="Q304" s="174"/>
      <c r="R304" s="172">
        <v>46323</v>
      </c>
      <c r="S304" s="172"/>
      <c r="T304" s="172"/>
      <c r="U304" s="172"/>
      <c r="V304" s="172"/>
      <c r="W304" s="172"/>
      <c r="X304" s="172"/>
      <c r="Y304" s="172"/>
      <c r="Z304" s="172"/>
      <c r="AA304" s="86"/>
      <c r="AB304" s="86"/>
      <c r="AC304" s="86"/>
      <c r="AD304" s="86"/>
      <c r="AE304" s="552"/>
      <c r="AF304" s="553"/>
      <c r="AG304" s="553"/>
      <c r="AH304" s="553"/>
      <c r="AI304" s="553"/>
      <c r="AJ304" s="553"/>
      <c r="AK304" s="553"/>
      <c r="AL304" s="553"/>
      <c r="AM304" s="553"/>
      <c r="AN304" s="553"/>
      <c r="AO304" s="553"/>
      <c r="AP304" s="553"/>
      <c r="AQ304" s="553"/>
      <c r="AR304" s="553"/>
      <c r="AS304" s="553"/>
      <c r="AT304" s="553"/>
      <c r="AU304" s="553"/>
      <c r="AV304" s="553"/>
      <c r="AW304" s="553"/>
      <c r="AX304" s="553"/>
      <c r="AY304" s="553"/>
      <c r="AZ304" s="553"/>
      <c r="BA304" s="553"/>
      <c r="BB304" s="553"/>
      <c r="BC304" s="553"/>
      <c r="BD304" s="553"/>
      <c r="BE304" s="553"/>
      <c r="BF304" s="553"/>
      <c r="BG304" s="553"/>
      <c r="BH304" s="553"/>
      <c r="BI304" s="553"/>
      <c r="BJ304" s="553"/>
      <c r="BK304" s="553"/>
      <c r="BL304" s="553"/>
      <c r="BM304" s="553"/>
      <c r="BN304" s="553"/>
      <c r="BO304" s="553"/>
      <c r="BP304" s="553"/>
      <c r="BQ304" s="553"/>
      <c r="BR304" s="553"/>
      <c r="BS304" s="553"/>
      <c r="BT304" s="553"/>
      <c r="BU304" s="553"/>
      <c r="BV304" s="553"/>
      <c r="BW304" s="553"/>
      <c r="BX304" s="553"/>
      <c r="BY304" s="553"/>
      <c r="BZ304" s="553"/>
      <c r="CA304" s="553"/>
      <c r="CB304" s="553"/>
      <c r="CC304" s="553"/>
      <c r="CD304" s="553"/>
      <c r="CE304" s="553"/>
      <c r="CF304" s="554"/>
    </row>
    <row r="305" spans="1:84" s="83" customFormat="1" ht="26" customHeight="1" thickBot="1" x14ac:dyDescent="0.3">
      <c r="A305" s="526" t="s">
        <v>78</v>
      </c>
      <c r="B305" s="526" t="s">
        <v>88</v>
      </c>
      <c r="C305" s="541">
        <v>800</v>
      </c>
      <c r="D305" s="526" t="s">
        <v>106</v>
      </c>
      <c r="E305" s="526" t="s">
        <v>109</v>
      </c>
      <c r="F305" s="526" t="s">
        <v>142</v>
      </c>
      <c r="G305" s="172">
        <v>46205</v>
      </c>
      <c r="H305" s="173" t="s">
        <v>1219</v>
      </c>
      <c r="I305" s="84" t="s">
        <v>1220</v>
      </c>
      <c r="J305" s="84" t="s">
        <v>121</v>
      </c>
      <c r="K305" s="84" t="s">
        <v>122</v>
      </c>
      <c r="L305" s="84" t="str">
        <f t="shared" si="61"/>
        <v>BALL VALVE 3/4" 800# SW, FLOATING, A105N</v>
      </c>
      <c r="M305" s="174">
        <v>1</v>
      </c>
      <c r="N305" s="174"/>
      <c r="O305" s="174"/>
      <c r="P305" s="174"/>
      <c r="Q305" s="174"/>
      <c r="R305" s="172">
        <v>46265</v>
      </c>
      <c r="S305" s="172"/>
      <c r="T305" s="172"/>
      <c r="U305" s="172"/>
      <c r="V305" s="172"/>
      <c r="W305" s="172"/>
      <c r="X305" s="172"/>
      <c r="Y305" s="172"/>
      <c r="Z305" s="172"/>
      <c r="AA305" s="86"/>
      <c r="AB305" s="86"/>
      <c r="AC305" s="86"/>
      <c r="AD305" s="86"/>
      <c r="AE305" s="102"/>
      <c r="AF305" s="103"/>
      <c r="AG305" s="103"/>
      <c r="AH305" s="103"/>
      <c r="AI305" s="103"/>
      <c r="AJ305" s="103"/>
      <c r="AK305" s="103"/>
      <c r="AL305" s="103"/>
      <c r="AM305" s="103"/>
      <c r="AN305" s="103"/>
      <c r="AO305" s="103"/>
      <c r="AP305" s="103"/>
      <c r="AQ305" s="103"/>
      <c r="AR305" s="103"/>
      <c r="AS305" s="103"/>
      <c r="AT305" s="103"/>
      <c r="AU305" s="103"/>
      <c r="AV305" s="103"/>
      <c r="AW305" s="103"/>
      <c r="AX305" s="103"/>
      <c r="AY305" s="103"/>
      <c r="AZ305" s="103"/>
      <c r="BA305" s="103"/>
      <c r="BB305" s="103"/>
      <c r="BC305" s="103"/>
      <c r="BD305" s="103"/>
      <c r="BE305" s="103"/>
      <c r="BF305" s="103"/>
      <c r="BG305" s="103"/>
      <c r="BH305" s="103"/>
      <c r="BI305" s="103"/>
      <c r="BJ305" s="103"/>
      <c r="BK305" s="103"/>
      <c r="BL305" s="103"/>
      <c r="BM305" s="103"/>
      <c r="BN305" s="103"/>
      <c r="BO305" s="103"/>
      <c r="BP305" s="103"/>
      <c r="BQ305" s="103"/>
      <c r="BR305" s="103"/>
      <c r="BS305" s="103"/>
      <c r="BT305" s="103"/>
      <c r="BU305" s="103"/>
      <c r="BV305" s="103"/>
      <c r="BW305" s="103"/>
      <c r="BX305" s="103"/>
      <c r="BY305" s="103"/>
      <c r="BZ305" s="103"/>
      <c r="CA305" s="103"/>
      <c r="CB305" s="103"/>
      <c r="CC305" s="103"/>
      <c r="CD305" s="103"/>
      <c r="CE305" s="103"/>
      <c r="CF305" s="104"/>
    </row>
    <row r="306" spans="1:84" ht="26" customHeight="1" thickTop="1" x14ac:dyDescent="0.3">
      <c r="A306" s="460" t="s">
        <v>78</v>
      </c>
      <c r="B306" s="460" t="s">
        <v>88</v>
      </c>
      <c r="C306" s="531">
        <v>800</v>
      </c>
      <c r="D306" s="526" t="s">
        <v>106</v>
      </c>
      <c r="E306" s="526" t="s">
        <v>109</v>
      </c>
      <c r="F306" s="460" t="s">
        <v>142</v>
      </c>
      <c r="G306" s="172">
        <v>46205</v>
      </c>
      <c r="H306" s="173" t="s">
        <v>1219</v>
      </c>
      <c r="I306" s="84" t="s">
        <v>1220</v>
      </c>
      <c r="J306" s="84" t="s">
        <v>121</v>
      </c>
      <c r="K306" s="84" t="s">
        <v>123</v>
      </c>
      <c r="L306" s="84" t="str">
        <f t="shared" si="61"/>
        <v>BALL VALVE 3/4" 800# SW, FLOATING, A105N</v>
      </c>
      <c r="M306" s="174">
        <v>1</v>
      </c>
      <c r="N306" s="174"/>
      <c r="O306" s="174"/>
      <c r="P306" s="174"/>
      <c r="Q306" s="174"/>
      <c r="R306" s="172">
        <v>46265</v>
      </c>
      <c r="S306" s="172"/>
      <c r="T306" s="172"/>
      <c r="U306" s="172"/>
      <c r="V306" s="172"/>
      <c r="W306" s="172"/>
      <c r="X306" s="172"/>
      <c r="Y306" s="172"/>
      <c r="Z306" s="172"/>
      <c r="AA306" s="86"/>
      <c r="AB306" s="86"/>
      <c r="AC306" s="86"/>
      <c r="AD306" s="86"/>
    </row>
    <row r="307" spans="1:84" ht="26" customHeight="1" x14ac:dyDescent="0.3">
      <c r="A307" s="460" t="s">
        <v>78</v>
      </c>
      <c r="B307" s="460" t="s">
        <v>117</v>
      </c>
      <c r="C307" s="531">
        <v>800</v>
      </c>
      <c r="D307" s="526" t="s">
        <v>106</v>
      </c>
      <c r="E307" s="526" t="s">
        <v>109</v>
      </c>
      <c r="F307" s="460" t="s">
        <v>142</v>
      </c>
      <c r="G307" s="172">
        <v>46205</v>
      </c>
      <c r="H307" s="173" t="s">
        <v>1219</v>
      </c>
      <c r="I307" s="84" t="s">
        <v>1220</v>
      </c>
      <c r="J307" s="84" t="s">
        <v>121</v>
      </c>
      <c r="K307" s="84" t="s">
        <v>122</v>
      </c>
      <c r="L307" s="84" t="str">
        <f t="shared" si="61"/>
        <v>BALL VALVE 1" 800# SW, FLOATING, A105N</v>
      </c>
      <c r="M307" s="174">
        <v>1</v>
      </c>
      <c r="N307" s="174"/>
      <c r="O307" s="174"/>
      <c r="P307" s="174"/>
      <c r="Q307" s="174"/>
      <c r="R307" s="172">
        <v>46265</v>
      </c>
      <c r="S307" s="172"/>
      <c r="T307" s="172"/>
      <c r="U307" s="172"/>
      <c r="V307" s="172"/>
      <c r="W307" s="172"/>
      <c r="X307" s="172"/>
      <c r="Y307" s="172"/>
      <c r="Z307" s="172"/>
      <c r="AA307" s="86"/>
      <c r="AB307" s="86"/>
      <c r="AC307" s="86"/>
      <c r="AD307" s="86"/>
    </row>
    <row r="308" spans="1:84" ht="26" customHeight="1" x14ac:dyDescent="0.3">
      <c r="A308" s="460" t="s">
        <v>78</v>
      </c>
      <c r="B308" s="460" t="s">
        <v>86</v>
      </c>
      <c r="C308" s="531">
        <v>300</v>
      </c>
      <c r="D308" s="460" t="s">
        <v>81</v>
      </c>
      <c r="E308" s="526" t="s">
        <v>109</v>
      </c>
      <c r="F308" s="460" t="s">
        <v>107</v>
      </c>
      <c r="G308" s="172">
        <v>46205</v>
      </c>
      <c r="H308" s="173" t="s">
        <v>1219</v>
      </c>
      <c r="I308" s="84" t="s">
        <v>1220</v>
      </c>
      <c r="J308" s="84" t="s">
        <v>121</v>
      </c>
      <c r="K308" s="84" t="s">
        <v>134</v>
      </c>
      <c r="L308" s="84" t="str">
        <f t="shared" si="61"/>
        <v>BALL VALVE 2" 300# RF, FLOATING, A216</v>
      </c>
      <c r="M308" s="174">
        <v>1</v>
      </c>
      <c r="N308" s="174"/>
      <c r="O308" s="174"/>
      <c r="P308" s="174"/>
      <c r="Q308" s="174"/>
      <c r="R308" s="172">
        <v>46265</v>
      </c>
      <c r="S308" s="172"/>
      <c r="T308" s="172"/>
      <c r="U308" s="172"/>
      <c r="V308" s="172"/>
      <c r="W308" s="172"/>
      <c r="X308" s="172"/>
      <c r="Y308" s="172"/>
      <c r="Z308" s="172"/>
      <c r="AA308" s="86"/>
      <c r="AB308" s="86"/>
      <c r="AC308" s="86"/>
      <c r="AD308" s="86"/>
    </row>
    <row r="309" spans="1:84" ht="26" customHeight="1" x14ac:dyDescent="0.3">
      <c r="A309" s="460" t="s">
        <v>78</v>
      </c>
      <c r="B309" s="460" t="s">
        <v>88</v>
      </c>
      <c r="C309" s="531">
        <v>800</v>
      </c>
      <c r="D309" s="526" t="s">
        <v>106</v>
      </c>
      <c r="E309" s="526" t="s">
        <v>109</v>
      </c>
      <c r="F309" s="460" t="s">
        <v>142</v>
      </c>
      <c r="G309" s="172">
        <v>46205</v>
      </c>
      <c r="H309" s="173" t="s">
        <v>1219</v>
      </c>
      <c r="I309" s="84" t="s">
        <v>1220</v>
      </c>
      <c r="J309" s="84" t="s">
        <v>121</v>
      </c>
      <c r="K309" s="84" t="s">
        <v>123</v>
      </c>
      <c r="L309" s="84" t="str">
        <f t="shared" si="61"/>
        <v>BALL VALVE 3/4" 800# SW, FLOATING, A105N</v>
      </c>
      <c r="M309" s="174">
        <v>2</v>
      </c>
      <c r="N309" s="174"/>
      <c r="O309" s="174"/>
      <c r="P309" s="174"/>
      <c r="Q309" s="174"/>
      <c r="R309" s="172">
        <v>46265</v>
      </c>
      <c r="S309" s="172"/>
      <c r="T309" s="172"/>
      <c r="U309" s="172"/>
      <c r="V309" s="172"/>
      <c r="W309" s="172"/>
      <c r="X309" s="172"/>
      <c r="Y309" s="172"/>
      <c r="Z309" s="172"/>
      <c r="AA309" s="86"/>
      <c r="AB309" s="86"/>
      <c r="AC309" s="86"/>
      <c r="AD309" s="86"/>
    </row>
    <row r="310" spans="1:84" ht="26" customHeight="1" x14ac:dyDescent="0.3">
      <c r="A310" s="460" t="s">
        <v>90</v>
      </c>
      <c r="B310" s="460" t="s">
        <v>84</v>
      </c>
      <c r="C310" s="531">
        <v>150</v>
      </c>
      <c r="D310" s="460" t="s">
        <v>81</v>
      </c>
      <c r="E310" s="460" t="s">
        <v>1218</v>
      </c>
      <c r="F310" s="460" t="s">
        <v>107</v>
      </c>
      <c r="G310" s="172">
        <v>46205</v>
      </c>
      <c r="H310" s="173" t="s">
        <v>1219</v>
      </c>
      <c r="I310" s="84" t="s">
        <v>1220</v>
      </c>
      <c r="J310" s="84" t="s">
        <v>121</v>
      </c>
      <c r="K310" s="84" t="s">
        <v>91</v>
      </c>
      <c r="L310" s="84" t="str">
        <f t="shared" si="61"/>
        <v>GATE VALVE 4" 150# RF, BB-OS&amp;Y, A216</v>
      </c>
      <c r="M310" s="174">
        <v>1</v>
      </c>
      <c r="N310" s="174"/>
      <c r="O310" s="174"/>
      <c r="P310" s="174"/>
      <c r="Q310" s="174"/>
      <c r="R310" s="172">
        <v>46265</v>
      </c>
      <c r="S310" s="172"/>
      <c r="T310" s="172"/>
      <c r="U310" s="172"/>
      <c r="V310" s="172"/>
      <c r="W310" s="172"/>
      <c r="X310" s="172"/>
      <c r="Y310" s="172"/>
      <c r="Z310" s="172"/>
      <c r="AA310" s="86"/>
      <c r="AB310" s="86"/>
      <c r="AC310" s="86"/>
      <c r="AD310" s="86"/>
    </row>
    <row r="311" spans="1:84" ht="26" customHeight="1" x14ac:dyDescent="0.3">
      <c r="A311" s="460" t="s">
        <v>1778</v>
      </c>
      <c r="B311" s="460" t="s">
        <v>119</v>
      </c>
      <c r="C311" s="531">
        <v>150</v>
      </c>
      <c r="D311" s="460" t="s">
        <v>81</v>
      </c>
      <c r="E311" s="460" t="s">
        <v>1217</v>
      </c>
      <c r="F311" s="460" t="s">
        <v>1781</v>
      </c>
      <c r="G311" s="172">
        <v>46218</v>
      </c>
      <c r="H311" s="173" t="s">
        <v>1779</v>
      </c>
      <c r="I311" s="84" t="s">
        <v>1780</v>
      </c>
      <c r="J311" s="84" t="s">
        <v>1782</v>
      </c>
      <c r="K311" s="84"/>
      <c r="L311" s="84" t="str">
        <f t="shared" si="61"/>
        <v>BASKET-STR VALVE 12" 150# RF, REGULAR, A106B</v>
      </c>
      <c r="M311" s="174">
        <v>3</v>
      </c>
      <c r="N311" s="174"/>
      <c r="O311" s="174"/>
      <c r="P311" s="174"/>
      <c r="Q311" s="174"/>
      <c r="R311" s="172">
        <v>46386</v>
      </c>
      <c r="S311" s="172"/>
      <c r="T311" s="172"/>
      <c r="U311" s="172"/>
      <c r="V311" s="172"/>
      <c r="W311" s="172"/>
      <c r="X311" s="172"/>
      <c r="Y311" s="172"/>
      <c r="Z311" s="172"/>
      <c r="AA311" s="86"/>
      <c r="AB311" s="86"/>
      <c r="AC311" s="86"/>
      <c r="AD311" s="86"/>
    </row>
    <row r="312" spans="1:84" ht="26" customHeight="1" x14ac:dyDescent="0.3">
      <c r="A312" s="460" t="s">
        <v>1778</v>
      </c>
      <c r="B312" s="460" t="s">
        <v>82</v>
      </c>
      <c r="C312" s="531">
        <v>600</v>
      </c>
      <c r="D312" s="460" t="s">
        <v>81</v>
      </c>
      <c r="E312" s="460" t="s">
        <v>1217</v>
      </c>
      <c r="F312" s="460" t="s">
        <v>1781</v>
      </c>
      <c r="G312" s="172">
        <v>46218</v>
      </c>
      <c r="H312" s="173" t="s">
        <v>1779</v>
      </c>
      <c r="I312" s="84" t="s">
        <v>1780</v>
      </c>
      <c r="J312" s="84" t="s">
        <v>1782</v>
      </c>
      <c r="K312" s="84"/>
      <c r="L312" s="84" t="str">
        <f t="shared" si="61"/>
        <v>BASKET-STR VALVE 6" 600# RF, REGULAR, A106B</v>
      </c>
      <c r="M312" s="174">
        <v>4</v>
      </c>
      <c r="N312" s="174"/>
      <c r="O312" s="174"/>
      <c r="P312" s="174"/>
      <c r="Q312" s="174"/>
      <c r="R312" s="172">
        <v>46386</v>
      </c>
      <c r="S312" s="172"/>
      <c r="T312" s="172"/>
      <c r="U312" s="172"/>
      <c r="V312" s="172"/>
      <c r="W312" s="172"/>
      <c r="X312" s="172"/>
      <c r="Y312" s="172"/>
      <c r="Z312" s="172"/>
      <c r="AA312" s="86"/>
      <c r="AB312" s="86"/>
      <c r="AC312" s="86"/>
      <c r="AD312" s="86"/>
    </row>
    <row r="313" spans="1:84" ht="26" customHeight="1" x14ac:dyDescent="0.3">
      <c r="A313" s="460" t="s">
        <v>1778</v>
      </c>
      <c r="B313" s="460" t="s">
        <v>84</v>
      </c>
      <c r="C313" s="531">
        <v>600</v>
      </c>
      <c r="D313" s="460" t="s">
        <v>81</v>
      </c>
      <c r="E313" s="460" t="s">
        <v>1217</v>
      </c>
      <c r="F313" s="460" t="s">
        <v>1781</v>
      </c>
      <c r="G313" s="172">
        <v>46218</v>
      </c>
      <c r="H313" s="173" t="s">
        <v>1779</v>
      </c>
      <c r="I313" s="84" t="s">
        <v>1780</v>
      </c>
      <c r="J313" s="84" t="s">
        <v>1782</v>
      </c>
      <c r="K313" s="84"/>
      <c r="L313" s="84" t="str">
        <f t="shared" si="61"/>
        <v>BASKET-STR VALVE 4" 600# RF, REGULAR, A106B</v>
      </c>
      <c r="M313" s="174">
        <v>3</v>
      </c>
      <c r="N313" s="174"/>
      <c r="O313" s="174"/>
      <c r="P313" s="174"/>
      <c r="Q313" s="174"/>
      <c r="R313" s="172">
        <v>46386</v>
      </c>
      <c r="S313" s="172"/>
      <c r="T313" s="172"/>
      <c r="U313" s="172"/>
      <c r="V313" s="172"/>
      <c r="W313" s="172"/>
      <c r="X313" s="172"/>
      <c r="Y313" s="172"/>
      <c r="Z313" s="172"/>
      <c r="AA313" s="86"/>
      <c r="AB313" s="86"/>
      <c r="AC313" s="86"/>
      <c r="AD313" s="86"/>
    </row>
    <row r="314" spans="1:84" ht="26" customHeight="1" x14ac:dyDescent="0.3">
      <c r="A314" s="460" t="s">
        <v>78</v>
      </c>
      <c r="B314" s="460" t="s">
        <v>1738</v>
      </c>
      <c r="C314" s="531">
        <v>800</v>
      </c>
      <c r="D314" s="460" t="s">
        <v>1759</v>
      </c>
      <c r="E314" s="460" t="s">
        <v>109</v>
      </c>
      <c r="F314" s="460" t="s">
        <v>142</v>
      </c>
      <c r="G314" s="172">
        <v>46223</v>
      </c>
      <c r="H314" s="173" t="s">
        <v>1785</v>
      </c>
      <c r="I314" s="84" t="s">
        <v>1786</v>
      </c>
      <c r="J314" s="84" t="s">
        <v>121</v>
      </c>
      <c r="K314" s="84" t="s">
        <v>1239</v>
      </c>
      <c r="L314" s="84" t="str">
        <f t="shared" si="61"/>
        <v>BALL VALVE 1-1/2'' 800# SW+ Nipple pup-pieces 100mm Sch.80 x NPT, FLOATING, A105N</v>
      </c>
      <c r="M314" s="174">
        <v>1</v>
      </c>
      <c r="N314" s="174"/>
      <c r="O314" s="174"/>
      <c r="P314" s="174"/>
      <c r="Q314" s="174"/>
      <c r="R314" s="172">
        <v>46290</v>
      </c>
      <c r="S314" s="172"/>
      <c r="T314" s="172"/>
      <c r="U314" s="172"/>
      <c r="V314" s="172"/>
      <c r="W314" s="172"/>
      <c r="X314" s="172"/>
      <c r="Y314" s="172"/>
      <c r="Z314" s="172"/>
      <c r="AA314" s="86"/>
      <c r="AB314" s="86"/>
      <c r="AC314" s="86"/>
      <c r="AD314" s="86"/>
    </row>
    <row r="315" spans="1:84" ht="26" customHeight="1" x14ac:dyDescent="0.3">
      <c r="A315" s="460" t="s">
        <v>90</v>
      </c>
      <c r="B315" s="460" t="s">
        <v>85</v>
      </c>
      <c r="C315" s="531">
        <v>150</v>
      </c>
      <c r="D315" s="460" t="s">
        <v>81</v>
      </c>
      <c r="E315" s="460" t="s">
        <v>1218</v>
      </c>
      <c r="F315" s="460" t="s">
        <v>107</v>
      </c>
      <c r="G315" s="172">
        <v>46223</v>
      </c>
      <c r="H315" s="173" t="s">
        <v>1785</v>
      </c>
      <c r="I315" s="84" t="s">
        <v>1786</v>
      </c>
      <c r="J315" s="84" t="s">
        <v>121</v>
      </c>
      <c r="K315" s="84" t="s">
        <v>91</v>
      </c>
      <c r="L315" s="84" t="str">
        <f t="shared" si="61"/>
        <v>GATE VALVE 3" 150# RF, BB-OS&amp;Y, A216</v>
      </c>
      <c r="M315" s="174">
        <v>1</v>
      </c>
      <c r="N315" s="174"/>
      <c r="O315" s="174"/>
      <c r="P315" s="174"/>
      <c r="Q315" s="174"/>
      <c r="R315" s="172">
        <v>46290</v>
      </c>
      <c r="S315" s="172"/>
      <c r="T315" s="172"/>
      <c r="U315" s="172"/>
      <c r="V315" s="172"/>
      <c r="W315" s="172"/>
      <c r="X315" s="172"/>
      <c r="Y315" s="172"/>
      <c r="Z315" s="172"/>
      <c r="AA315" s="86"/>
      <c r="AB315" s="86"/>
      <c r="AC315" s="86"/>
      <c r="AD315" s="86"/>
    </row>
    <row r="316" spans="1:84" ht="26" customHeight="1" x14ac:dyDescent="0.3">
      <c r="A316" s="460" t="s">
        <v>94</v>
      </c>
      <c r="B316" s="460" t="s">
        <v>85</v>
      </c>
      <c r="C316" s="531">
        <v>150</v>
      </c>
      <c r="D316" s="460" t="s">
        <v>81</v>
      </c>
      <c r="E316" s="460" t="s">
        <v>97</v>
      </c>
      <c r="F316" s="460" t="s">
        <v>107</v>
      </c>
      <c r="G316" s="172">
        <v>46223</v>
      </c>
      <c r="H316" s="173" t="s">
        <v>1785</v>
      </c>
      <c r="I316" s="84" t="s">
        <v>1786</v>
      </c>
      <c r="J316" s="84" t="s">
        <v>121</v>
      </c>
      <c r="K316" s="84" t="s">
        <v>127</v>
      </c>
      <c r="L316" s="84" t="str">
        <f t="shared" si="61"/>
        <v>CHECK VALVE 3" 150# RF, BOLTED CAP, A216</v>
      </c>
      <c r="M316" s="174">
        <v>1</v>
      </c>
      <c r="N316" s="174"/>
      <c r="O316" s="174"/>
      <c r="P316" s="174"/>
      <c r="Q316" s="174"/>
      <c r="R316" s="172">
        <v>46290</v>
      </c>
      <c r="S316" s="172"/>
      <c r="T316" s="172"/>
      <c r="U316" s="172"/>
      <c r="V316" s="172"/>
      <c r="W316" s="172"/>
      <c r="X316" s="172"/>
      <c r="Y316" s="172"/>
      <c r="Z316" s="172"/>
      <c r="AA316" s="86"/>
      <c r="AB316" s="86"/>
      <c r="AC316" s="86"/>
      <c r="AD316" s="86"/>
    </row>
    <row r="317" spans="1:84" ht="26" customHeight="1" x14ac:dyDescent="0.3">
      <c r="A317" s="460" t="s">
        <v>78</v>
      </c>
      <c r="B317" s="460" t="s">
        <v>117</v>
      </c>
      <c r="C317" s="531">
        <v>150</v>
      </c>
      <c r="D317" s="460" t="s">
        <v>81</v>
      </c>
      <c r="E317" s="460" t="s">
        <v>109</v>
      </c>
      <c r="F317" s="460" t="s">
        <v>142</v>
      </c>
      <c r="G317" s="172">
        <v>46223</v>
      </c>
      <c r="H317" s="173" t="s">
        <v>1785</v>
      </c>
      <c r="I317" s="84" t="s">
        <v>1786</v>
      </c>
      <c r="J317" s="84" t="s">
        <v>121</v>
      </c>
      <c r="K317" s="84" t="s">
        <v>1783</v>
      </c>
      <c r="L317" s="84" t="str">
        <f t="shared" si="61"/>
        <v>BALL VALVE 1" 150# RF, FLOATING, A105N</v>
      </c>
      <c r="M317" s="174">
        <v>5</v>
      </c>
      <c r="N317" s="174"/>
      <c r="O317" s="174"/>
      <c r="P317" s="174"/>
      <c r="Q317" s="174"/>
      <c r="R317" s="172">
        <v>46290</v>
      </c>
      <c r="S317" s="172"/>
      <c r="T317" s="172"/>
      <c r="U317" s="172"/>
      <c r="V317" s="172"/>
      <c r="W317" s="172"/>
      <c r="X317" s="172"/>
      <c r="Y317" s="172"/>
      <c r="Z317" s="172"/>
      <c r="AA317" s="86"/>
      <c r="AB317" s="86"/>
      <c r="AC317" s="86"/>
      <c r="AD317" s="86"/>
    </row>
    <row r="318" spans="1:84" ht="26" customHeight="1" x14ac:dyDescent="0.3">
      <c r="A318" s="460" t="s">
        <v>78</v>
      </c>
      <c r="B318" s="460" t="s">
        <v>191</v>
      </c>
      <c r="C318" s="531">
        <v>800</v>
      </c>
      <c r="D318" s="460" t="s">
        <v>1232</v>
      </c>
      <c r="E318" s="460" t="s">
        <v>109</v>
      </c>
      <c r="F318" s="460" t="s">
        <v>180</v>
      </c>
      <c r="G318" s="172">
        <v>46223</v>
      </c>
      <c r="H318" s="173" t="s">
        <v>1785</v>
      </c>
      <c r="I318" s="84" t="s">
        <v>1786</v>
      </c>
      <c r="J318" s="84" t="s">
        <v>121</v>
      </c>
      <c r="K318" s="84" t="s">
        <v>1740</v>
      </c>
      <c r="L318" s="84" t="str">
        <f t="shared" si="61"/>
        <v>BALL VALVE 1-1/2" 800# SW x NPT, FLOATING, A182</v>
      </c>
      <c r="M318" s="174">
        <v>2</v>
      </c>
      <c r="N318" s="174"/>
      <c r="O318" s="174"/>
      <c r="P318" s="174"/>
      <c r="Q318" s="174"/>
      <c r="R318" s="172">
        <v>46290</v>
      </c>
      <c r="S318" s="172"/>
      <c r="T318" s="172"/>
      <c r="U318" s="172"/>
      <c r="V318" s="172"/>
      <c r="W318" s="172"/>
      <c r="X318" s="172"/>
      <c r="Y318" s="172"/>
      <c r="Z318" s="172"/>
      <c r="AA318" s="86"/>
      <c r="AB318" s="86"/>
      <c r="AC318" s="86"/>
      <c r="AD318" s="86"/>
    </row>
    <row r="319" spans="1:84" ht="26" customHeight="1" x14ac:dyDescent="0.3">
      <c r="A319" s="460" t="s">
        <v>94</v>
      </c>
      <c r="B319" s="460" t="s">
        <v>85</v>
      </c>
      <c r="C319" s="531">
        <v>150</v>
      </c>
      <c r="D319" s="460" t="s">
        <v>81</v>
      </c>
      <c r="E319" s="460" t="s">
        <v>97</v>
      </c>
      <c r="F319" s="460" t="s">
        <v>181</v>
      </c>
      <c r="G319" s="172">
        <v>46223</v>
      </c>
      <c r="H319" s="173" t="s">
        <v>1785</v>
      </c>
      <c r="I319" s="84" t="s">
        <v>1786</v>
      </c>
      <c r="J319" s="84" t="s">
        <v>121</v>
      </c>
      <c r="K319" s="84" t="s">
        <v>1742</v>
      </c>
      <c r="L319" s="84" t="str">
        <f t="shared" si="61"/>
        <v>CHECK VALVE 3" 150# RF, BOLTED CAP, A351</v>
      </c>
      <c r="M319" s="174">
        <v>2</v>
      </c>
      <c r="N319" s="174"/>
      <c r="O319" s="174"/>
      <c r="P319" s="174"/>
      <c r="Q319" s="174"/>
      <c r="R319" s="172">
        <v>46290</v>
      </c>
      <c r="S319" s="172"/>
      <c r="T319" s="172"/>
      <c r="U319" s="172"/>
      <c r="V319" s="172"/>
      <c r="W319" s="172"/>
      <c r="X319" s="172"/>
      <c r="Y319" s="172"/>
      <c r="Z319" s="172"/>
      <c r="AA319" s="86"/>
      <c r="AB319" s="86"/>
      <c r="AC319" s="86"/>
      <c r="AD319" s="86"/>
    </row>
    <row r="320" spans="1:84" ht="26" customHeight="1" x14ac:dyDescent="0.3">
      <c r="A320" s="460" t="s">
        <v>90</v>
      </c>
      <c r="B320" s="460" t="s">
        <v>85</v>
      </c>
      <c r="C320" s="531">
        <v>150</v>
      </c>
      <c r="D320" s="460" t="s">
        <v>81</v>
      </c>
      <c r="E320" s="460" t="s">
        <v>1218</v>
      </c>
      <c r="F320" s="460" t="s">
        <v>181</v>
      </c>
      <c r="G320" s="172">
        <v>46223</v>
      </c>
      <c r="H320" s="173" t="s">
        <v>1785</v>
      </c>
      <c r="I320" s="84" t="s">
        <v>1786</v>
      </c>
      <c r="J320" s="84" t="s">
        <v>121</v>
      </c>
      <c r="K320" s="84" t="s">
        <v>169</v>
      </c>
      <c r="L320" s="84" t="str">
        <f t="shared" si="61"/>
        <v>GATE VALVE 3" 150# RF, BB-OS&amp;Y, A351</v>
      </c>
      <c r="M320" s="174">
        <v>2</v>
      </c>
      <c r="N320" s="174"/>
      <c r="O320" s="174"/>
      <c r="P320" s="174"/>
      <c r="Q320" s="174"/>
      <c r="R320" s="172">
        <v>46290</v>
      </c>
      <c r="S320" s="172"/>
      <c r="T320" s="172"/>
      <c r="U320" s="172"/>
      <c r="V320" s="172"/>
      <c r="W320" s="172"/>
      <c r="X320" s="172"/>
      <c r="Y320" s="172"/>
      <c r="Z320" s="172"/>
      <c r="AA320" s="86"/>
      <c r="AB320" s="86"/>
      <c r="AC320" s="86"/>
      <c r="AD320" s="86"/>
    </row>
    <row r="321" spans="1:30" ht="26" customHeight="1" x14ac:dyDescent="0.3">
      <c r="A321" s="460" t="s">
        <v>90</v>
      </c>
      <c r="B321" s="460" t="s">
        <v>84</v>
      </c>
      <c r="C321" s="531">
        <v>150</v>
      </c>
      <c r="D321" s="460" t="s">
        <v>81</v>
      </c>
      <c r="E321" s="460" t="s">
        <v>1218</v>
      </c>
      <c r="F321" s="460" t="s">
        <v>181</v>
      </c>
      <c r="G321" s="172">
        <v>46223</v>
      </c>
      <c r="H321" s="173" t="s">
        <v>1785</v>
      </c>
      <c r="I321" s="84" t="s">
        <v>1786</v>
      </c>
      <c r="J321" s="84" t="s">
        <v>121</v>
      </c>
      <c r="K321" s="84" t="s">
        <v>169</v>
      </c>
      <c r="L321" s="84" t="str">
        <f t="shared" si="61"/>
        <v>GATE VALVE 4" 150# RF, BB-OS&amp;Y, A351</v>
      </c>
      <c r="M321" s="174">
        <v>1</v>
      </c>
      <c r="N321" s="174"/>
      <c r="O321" s="174"/>
      <c r="P321" s="174"/>
      <c r="Q321" s="174"/>
      <c r="R321" s="172">
        <v>46290</v>
      </c>
      <c r="S321" s="172"/>
      <c r="T321" s="172"/>
      <c r="U321" s="172"/>
      <c r="V321" s="172"/>
      <c r="W321" s="172"/>
      <c r="X321" s="172"/>
      <c r="Y321" s="172"/>
      <c r="Z321" s="172"/>
      <c r="AA321" s="86"/>
      <c r="AB321" s="86"/>
      <c r="AC321" s="86"/>
      <c r="AD321" s="86"/>
    </row>
    <row r="322" spans="1:30" ht="26" customHeight="1" x14ac:dyDescent="0.3">
      <c r="A322" s="460" t="s">
        <v>78</v>
      </c>
      <c r="B322" s="460" t="s">
        <v>117</v>
      </c>
      <c r="C322" s="531">
        <v>150</v>
      </c>
      <c r="D322" s="460" t="s">
        <v>81</v>
      </c>
      <c r="E322" s="460" t="s">
        <v>109</v>
      </c>
      <c r="F322" s="460" t="s">
        <v>180</v>
      </c>
      <c r="G322" s="172">
        <v>46223</v>
      </c>
      <c r="H322" s="173" t="s">
        <v>1785</v>
      </c>
      <c r="I322" s="84" t="s">
        <v>1786</v>
      </c>
      <c r="J322" s="84" t="s">
        <v>121</v>
      </c>
      <c r="K322" s="84" t="s">
        <v>1784</v>
      </c>
      <c r="L322" s="84" t="str">
        <f t="shared" si="61"/>
        <v>BALL VALVE 1" 150# RF, FLOATING, A182</v>
      </c>
      <c r="M322" s="174">
        <v>3</v>
      </c>
      <c r="N322" s="174"/>
      <c r="O322" s="174"/>
      <c r="P322" s="174"/>
      <c r="Q322" s="174"/>
      <c r="R322" s="172">
        <v>46290</v>
      </c>
      <c r="S322" s="172"/>
      <c r="T322" s="172"/>
      <c r="U322" s="172"/>
      <c r="V322" s="172"/>
      <c r="W322" s="172"/>
      <c r="X322" s="172"/>
      <c r="Y322" s="172"/>
      <c r="Z322" s="172"/>
      <c r="AA322" s="86"/>
      <c r="AB322" s="86"/>
      <c r="AC322" s="86"/>
      <c r="AD322" s="86"/>
    </row>
    <row r="323" spans="1:30" ht="26" customHeight="1" x14ac:dyDescent="0.3">
      <c r="A323" s="460" t="s">
        <v>90</v>
      </c>
      <c r="B323" s="460" t="s">
        <v>86</v>
      </c>
      <c r="C323" s="531">
        <v>150</v>
      </c>
      <c r="D323" s="460" t="s">
        <v>190</v>
      </c>
      <c r="E323" s="460" t="s">
        <v>1218</v>
      </c>
      <c r="F323" s="460" t="s">
        <v>1787</v>
      </c>
      <c r="G323" s="172">
        <v>46231</v>
      </c>
      <c r="H323" s="173" t="s">
        <v>1791</v>
      </c>
      <c r="I323" s="84" t="s">
        <v>1792</v>
      </c>
      <c r="J323" s="84" t="s">
        <v>872</v>
      </c>
      <c r="K323" s="84" t="s">
        <v>1788</v>
      </c>
      <c r="L323" s="84" t="str">
        <f t="shared" si="61"/>
        <v>GATE VALVE 2" 150# NPT, BB-OS&amp;Y, C95800</v>
      </c>
      <c r="M323" s="174">
        <v>1</v>
      </c>
      <c r="N323" s="174"/>
      <c r="O323" s="174"/>
      <c r="P323" s="174"/>
      <c r="Q323" s="174"/>
      <c r="R323" s="172">
        <v>46321</v>
      </c>
      <c r="S323" s="172"/>
      <c r="T323" s="172"/>
      <c r="U323" s="172"/>
      <c r="V323" s="172"/>
      <c r="W323" s="172"/>
      <c r="X323" s="172"/>
      <c r="Y323" s="172"/>
      <c r="Z323" s="172"/>
      <c r="AA323" s="86"/>
      <c r="AB323" s="86"/>
      <c r="AC323" s="86"/>
      <c r="AD323" s="86"/>
    </row>
    <row r="324" spans="1:30" ht="26" customHeight="1" x14ac:dyDescent="0.3">
      <c r="A324" s="460" t="s">
        <v>94</v>
      </c>
      <c r="B324" s="460" t="s">
        <v>117</v>
      </c>
      <c r="C324" s="531">
        <v>150</v>
      </c>
      <c r="D324" s="460" t="s">
        <v>190</v>
      </c>
      <c r="E324" s="460" t="s">
        <v>97</v>
      </c>
      <c r="F324" s="460" t="s">
        <v>1787</v>
      </c>
      <c r="G324" s="172">
        <v>46231</v>
      </c>
      <c r="H324" s="173" t="s">
        <v>1791</v>
      </c>
      <c r="I324" s="84" t="s">
        <v>1792</v>
      </c>
      <c r="J324" s="84" t="s">
        <v>872</v>
      </c>
      <c r="K324" s="84" t="s">
        <v>1789</v>
      </c>
      <c r="L324" s="84" t="str">
        <f t="shared" si="61"/>
        <v>CHECK VALVE 1" 150# NPT, BOLTED CAP, C95800</v>
      </c>
      <c r="M324" s="174">
        <v>1</v>
      </c>
      <c r="N324" s="174"/>
      <c r="O324" s="174"/>
      <c r="P324" s="174"/>
      <c r="Q324" s="174"/>
      <c r="R324" s="172">
        <v>46321</v>
      </c>
      <c r="S324" s="172"/>
      <c r="T324" s="172"/>
      <c r="U324" s="172"/>
      <c r="V324" s="172"/>
      <c r="W324" s="172"/>
      <c r="X324" s="172"/>
      <c r="Y324" s="172"/>
      <c r="Z324" s="172"/>
      <c r="AA324" s="86"/>
      <c r="AB324" s="86"/>
      <c r="AC324" s="86"/>
      <c r="AD324" s="86"/>
    </row>
    <row r="325" spans="1:30" ht="26" customHeight="1" x14ac:dyDescent="0.3">
      <c r="A325" s="460" t="s">
        <v>94</v>
      </c>
      <c r="B325" s="460" t="s">
        <v>86</v>
      </c>
      <c r="C325" s="531">
        <v>150</v>
      </c>
      <c r="D325" s="460" t="s">
        <v>190</v>
      </c>
      <c r="E325" s="460" t="s">
        <v>97</v>
      </c>
      <c r="F325" s="460" t="s">
        <v>1787</v>
      </c>
      <c r="G325" s="172">
        <v>46231</v>
      </c>
      <c r="H325" s="173" t="s">
        <v>1791</v>
      </c>
      <c r="I325" s="84" t="s">
        <v>1792</v>
      </c>
      <c r="J325" s="84" t="s">
        <v>872</v>
      </c>
      <c r="K325" s="84" t="s">
        <v>1789</v>
      </c>
      <c r="L325" s="84" t="str">
        <f t="shared" si="61"/>
        <v>CHECK VALVE 2" 150# NPT, BOLTED CAP, C95800</v>
      </c>
      <c r="M325" s="174">
        <v>2</v>
      </c>
      <c r="N325" s="174"/>
      <c r="O325" s="174"/>
      <c r="P325" s="174"/>
      <c r="Q325" s="174"/>
      <c r="R325" s="172">
        <v>46321</v>
      </c>
      <c r="S325" s="172"/>
      <c r="T325" s="172"/>
      <c r="U325" s="172"/>
      <c r="V325" s="172"/>
      <c r="W325" s="172"/>
      <c r="X325" s="172"/>
      <c r="Y325" s="172"/>
      <c r="Z325" s="172"/>
      <c r="AA325" s="86"/>
      <c r="AB325" s="86"/>
      <c r="AC325" s="86"/>
      <c r="AD325" s="86"/>
    </row>
    <row r="326" spans="1:30" ht="26" customHeight="1" x14ac:dyDescent="0.3">
      <c r="A326" s="460" t="s">
        <v>94</v>
      </c>
      <c r="B326" s="460" t="s">
        <v>86</v>
      </c>
      <c r="C326" s="531">
        <v>150</v>
      </c>
      <c r="D326" s="460" t="s">
        <v>106</v>
      </c>
      <c r="E326" s="460" t="s">
        <v>97</v>
      </c>
      <c r="F326" s="460" t="s">
        <v>1787</v>
      </c>
      <c r="G326" s="172">
        <v>46231</v>
      </c>
      <c r="H326" s="173" t="s">
        <v>1791</v>
      </c>
      <c r="I326" s="84" t="s">
        <v>1792</v>
      </c>
      <c r="J326" s="84" t="s">
        <v>872</v>
      </c>
      <c r="K326" s="84" t="s">
        <v>1790</v>
      </c>
      <c r="L326" s="84" t="str">
        <f t="shared" si="61"/>
        <v>CHECK VALVE 2" 150# SW, BOLTED CAP, C95800</v>
      </c>
      <c r="M326" s="174">
        <v>1</v>
      </c>
      <c r="N326" s="174"/>
      <c r="O326" s="174"/>
      <c r="P326" s="174"/>
      <c r="Q326" s="174"/>
      <c r="R326" s="172">
        <v>46321</v>
      </c>
      <c r="S326" s="172"/>
      <c r="T326" s="172"/>
      <c r="U326" s="172"/>
      <c r="V326" s="172"/>
      <c r="W326" s="172"/>
      <c r="X326" s="172"/>
      <c r="Y326" s="172"/>
      <c r="Z326" s="172"/>
      <c r="AA326" s="86"/>
      <c r="AB326" s="86"/>
      <c r="AC326" s="86"/>
      <c r="AD326" s="86"/>
    </row>
    <row r="327" spans="1:30" ht="26" customHeight="1" x14ac:dyDescent="0.3">
      <c r="A327" s="460" t="s">
        <v>94</v>
      </c>
      <c r="B327" s="460" t="s">
        <v>117</v>
      </c>
      <c r="C327" s="531">
        <v>150</v>
      </c>
      <c r="D327" s="460" t="s">
        <v>106</v>
      </c>
      <c r="E327" s="460" t="s">
        <v>97</v>
      </c>
      <c r="F327" s="460" t="s">
        <v>1787</v>
      </c>
      <c r="G327" s="172">
        <v>46231</v>
      </c>
      <c r="H327" s="173" t="s">
        <v>1791</v>
      </c>
      <c r="I327" s="84" t="s">
        <v>1792</v>
      </c>
      <c r="J327" s="84" t="s">
        <v>872</v>
      </c>
      <c r="K327" s="84" t="s">
        <v>1790</v>
      </c>
      <c r="L327" s="84" t="str">
        <f t="shared" ref="L327:L332" si="62">IF(A327="","",A327&amp;" VALVE "&amp;B327&amp;" "&amp;C327&amp;"# "&amp;D327&amp;", "&amp;E327&amp;", "&amp;F327)</f>
        <v>CHECK VALVE 1" 150# SW, BOLTED CAP, C95800</v>
      </c>
      <c r="M327" s="174">
        <v>1</v>
      </c>
      <c r="N327" s="174"/>
      <c r="O327" s="174"/>
      <c r="P327" s="174"/>
      <c r="Q327" s="174"/>
      <c r="R327" s="172">
        <v>46321</v>
      </c>
      <c r="S327" s="172"/>
      <c r="T327" s="172"/>
      <c r="U327" s="172"/>
      <c r="V327" s="172"/>
      <c r="W327" s="172"/>
      <c r="X327" s="172"/>
      <c r="Y327" s="172"/>
      <c r="Z327" s="172"/>
      <c r="AA327" s="86"/>
      <c r="AB327" s="86"/>
      <c r="AC327" s="86"/>
      <c r="AD327" s="86"/>
    </row>
    <row r="328" spans="1:30" ht="26" customHeight="1" x14ac:dyDescent="0.3">
      <c r="A328" s="460" t="s">
        <v>94</v>
      </c>
      <c r="B328" s="460" t="s">
        <v>86</v>
      </c>
      <c r="C328" s="531">
        <v>150</v>
      </c>
      <c r="D328" s="460" t="s">
        <v>190</v>
      </c>
      <c r="E328" s="460" t="s">
        <v>97</v>
      </c>
      <c r="F328" s="460" t="s">
        <v>1787</v>
      </c>
      <c r="G328" s="172">
        <v>46231</v>
      </c>
      <c r="H328" s="173" t="s">
        <v>1791</v>
      </c>
      <c r="I328" s="84" t="s">
        <v>1792</v>
      </c>
      <c r="J328" s="84" t="s">
        <v>872</v>
      </c>
      <c r="K328" s="84" t="s">
        <v>1789</v>
      </c>
      <c r="L328" s="84" t="str">
        <f t="shared" si="62"/>
        <v>CHECK VALVE 2" 150# NPT, BOLTED CAP, C95800</v>
      </c>
      <c r="M328" s="174">
        <v>1</v>
      </c>
      <c r="N328" s="174"/>
      <c r="O328" s="174"/>
      <c r="P328" s="174"/>
      <c r="Q328" s="174"/>
      <c r="R328" s="172">
        <v>46321</v>
      </c>
      <c r="S328" s="172"/>
      <c r="T328" s="172"/>
      <c r="U328" s="172"/>
      <c r="V328" s="172"/>
      <c r="W328" s="172"/>
      <c r="X328" s="172"/>
      <c r="Y328" s="172"/>
      <c r="Z328" s="172"/>
      <c r="AA328" s="86"/>
      <c r="AB328" s="86"/>
      <c r="AC328" s="86"/>
      <c r="AD328" s="86"/>
    </row>
    <row r="329" spans="1:30" ht="26" customHeight="1" x14ac:dyDescent="0.3">
      <c r="A329" s="460" t="s">
        <v>90</v>
      </c>
      <c r="B329" s="460" t="s">
        <v>88</v>
      </c>
      <c r="C329" s="531">
        <v>800</v>
      </c>
      <c r="D329" s="460" t="s">
        <v>106</v>
      </c>
      <c r="E329" s="460" t="s">
        <v>1218</v>
      </c>
      <c r="F329" s="460" t="s">
        <v>142</v>
      </c>
      <c r="G329" s="172">
        <v>46231</v>
      </c>
      <c r="H329" s="173" t="s">
        <v>1791</v>
      </c>
      <c r="I329" s="84" t="s">
        <v>1792</v>
      </c>
      <c r="J329" s="84" t="s">
        <v>872</v>
      </c>
      <c r="K329" s="84" t="s">
        <v>124</v>
      </c>
      <c r="L329" s="84" t="str">
        <f t="shared" si="62"/>
        <v>GATE VALVE 3/4" 800# SW, BB-OS&amp;Y, A105N</v>
      </c>
      <c r="M329" s="174">
        <v>3</v>
      </c>
      <c r="N329" s="174"/>
      <c r="O329" s="174"/>
      <c r="P329" s="174"/>
      <c r="Q329" s="174"/>
      <c r="R329" s="172">
        <v>46321</v>
      </c>
      <c r="S329" s="172"/>
      <c r="T329" s="172"/>
      <c r="U329" s="172"/>
      <c r="V329" s="172"/>
      <c r="W329" s="172"/>
      <c r="X329" s="172"/>
      <c r="Y329" s="172"/>
      <c r="Z329" s="172"/>
      <c r="AA329" s="86"/>
      <c r="AB329" s="86"/>
      <c r="AC329" s="86"/>
      <c r="AD329" s="86"/>
    </row>
    <row r="330" spans="1:30" ht="26" customHeight="1" x14ac:dyDescent="0.3">
      <c r="A330" s="460" t="s">
        <v>90</v>
      </c>
      <c r="B330" s="460" t="s">
        <v>117</v>
      </c>
      <c r="C330" s="531">
        <v>800</v>
      </c>
      <c r="D330" s="460" t="s">
        <v>106</v>
      </c>
      <c r="E330" s="460" t="s">
        <v>1218</v>
      </c>
      <c r="F330" s="460" t="s">
        <v>142</v>
      </c>
      <c r="G330" s="172">
        <v>46231</v>
      </c>
      <c r="H330" s="173" t="s">
        <v>1791</v>
      </c>
      <c r="I330" s="84" t="s">
        <v>1792</v>
      </c>
      <c r="J330" s="84" t="s">
        <v>872</v>
      </c>
      <c r="K330" s="84" t="s">
        <v>124</v>
      </c>
      <c r="L330" s="84" t="str">
        <f t="shared" si="62"/>
        <v>GATE VALVE 1" 800# SW, BB-OS&amp;Y, A105N</v>
      </c>
      <c r="M330" s="174">
        <v>1</v>
      </c>
      <c r="N330" s="174"/>
      <c r="O330" s="174"/>
      <c r="P330" s="174"/>
      <c r="Q330" s="174"/>
      <c r="R330" s="172">
        <v>46321</v>
      </c>
      <c r="S330" s="172"/>
      <c r="T330" s="172"/>
      <c r="U330" s="172"/>
      <c r="V330" s="172"/>
      <c r="W330" s="172"/>
      <c r="X330" s="172"/>
      <c r="Y330" s="172"/>
      <c r="Z330" s="172"/>
      <c r="AA330" s="86"/>
      <c r="AB330" s="86"/>
      <c r="AC330" s="86"/>
      <c r="AD330" s="86"/>
    </row>
    <row r="331" spans="1:30" ht="26" customHeight="1" x14ac:dyDescent="0.3">
      <c r="A331" s="460" t="s">
        <v>90</v>
      </c>
      <c r="B331" s="460" t="s">
        <v>86</v>
      </c>
      <c r="C331" s="531">
        <v>800</v>
      </c>
      <c r="D331" s="460" t="s">
        <v>106</v>
      </c>
      <c r="E331" s="460" t="s">
        <v>1218</v>
      </c>
      <c r="F331" s="460" t="s">
        <v>142</v>
      </c>
      <c r="G331" s="172">
        <v>46231</v>
      </c>
      <c r="H331" s="173" t="s">
        <v>1791</v>
      </c>
      <c r="I331" s="84" t="s">
        <v>1792</v>
      </c>
      <c r="J331" s="84" t="s">
        <v>872</v>
      </c>
      <c r="K331" s="84" t="s">
        <v>124</v>
      </c>
      <c r="L331" s="84" t="str">
        <f t="shared" si="62"/>
        <v>GATE VALVE 2" 800# SW, BB-OS&amp;Y, A105N</v>
      </c>
      <c r="M331" s="174">
        <v>2</v>
      </c>
      <c r="N331" s="174"/>
      <c r="O331" s="174"/>
      <c r="P331" s="174"/>
      <c r="Q331" s="174"/>
      <c r="R331" s="172">
        <v>46321</v>
      </c>
      <c r="S331" s="172"/>
      <c r="T331" s="172"/>
      <c r="U331" s="172"/>
      <c r="V331" s="172"/>
      <c r="W331" s="172"/>
      <c r="X331" s="172"/>
      <c r="Y331" s="172"/>
      <c r="Z331" s="172"/>
      <c r="AA331" s="86"/>
      <c r="AB331" s="86"/>
      <c r="AC331" s="86"/>
      <c r="AD331" s="86"/>
    </row>
    <row r="332" spans="1:30" ht="26" customHeight="1" x14ac:dyDescent="0.3">
      <c r="A332" s="460" t="s">
        <v>90</v>
      </c>
      <c r="B332" s="460" t="s">
        <v>117</v>
      </c>
      <c r="C332" s="531">
        <v>800</v>
      </c>
      <c r="D332" s="460" t="s">
        <v>106</v>
      </c>
      <c r="E332" s="460" t="s">
        <v>1218</v>
      </c>
      <c r="F332" s="460" t="s">
        <v>142</v>
      </c>
      <c r="G332" s="172">
        <v>46231</v>
      </c>
      <c r="H332" s="173" t="s">
        <v>1791</v>
      </c>
      <c r="I332" s="84" t="s">
        <v>1792</v>
      </c>
      <c r="J332" s="84" t="s">
        <v>872</v>
      </c>
      <c r="K332" s="84" t="s">
        <v>124</v>
      </c>
      <c r="L332" s="84" t="str">
        <f t="shared" si="62"/>
        <v>GATE VALVE 1" 800# SW, BB-OS&amp;Y, A105N</v>
      </c>
      <c r="M332" s="174">
        <v>4</v>
      </c>
      <c r="N332" s="174"/>
      <c r="O332" s="174"/>
      <c r="P332" s="174"/>
      <c r="Q332" s="174"/>
      <c r="R332" s="172">
        <v>46321</v>
      </c>
      <c r="S332" s="172"/>
      <c r="T332" s="172"/>
      <c r="U332" s="172"/>
      <c r="V332" s="172"/>
      <c r="W332" s="172"/>
      <c r="X332" s="172"/>
      <c r="Y332" s="172"/>
      <c r="Z332" s="172"/>
      <c r="AA332" s="86"/>
      <c r="AB332" s="86"/>
      <c r="AC332" s="86"/>
      <c r="AD332" s="86"/>
    </row>
    <row r="333" spans="1:30" ht="26" customHeight="1" x14ac:dyDescent="0.3">
      <c r="A333" s="460" t="s">
        <v>78</v>
      </c>
      <c r="B333" s="460" t="s">
        <v>119</v>
      </c>
      <c r="C333" s="531">
        <v>150</v>
      </c>
      <c r="D333" s="460" t="s">
        <v>81</v>
      </c>
      <c r="E333" s="460" t="s">
        <v>108</v>
      </c>
      <c r="F333" s="460" t="s">
        <v>107</v>
      </c>
      <c r="G333" s="172">
        <v>46219</v>
      </c>
      <c r="H333" s="173" t="s">
        <v>1807</v>
      </c>
      <c r="I333" s="84" t="s">
        <v>1808</v>
      </c>
      <c r="J333" s="84" t="s">
        <v>1806</v>
      </c>
      <c r="K333" s="84" t="s">
        <v>1793</v>
      </c>
      <c r="L333" s="84" t="str">
        <f t="shared" ref="L333:L348" si="63">IF(A333="","",A333&amp;" VALVE "&amp;B333&amp;" "&amp;C333&amp;"# "&amp;D333&amp;", "&amp;E333&amp;", "&amp;F333)</f>
        <v>BALL VALVE 12" 150# RF, TRUNNION, A216</v>
      </c>
      <c r="M333" s="174">
        <v>9</v>
      </c>
      <c r="N333" s="174"/>
      <c r="O333" s="174"/>
      <c r="P333" s="174"/>
      <c r="Q333" s="174"/>
      <c r="R333" s="172">
        <v>46356</v>
      </c>
      <c r="S333" s="172"/>
      <c r="T333" s="172"/>
      <c r="U333" s="172"/>
      <c r="V333" s="172"/>
      <c r="W333" s="172"/>
      <c r="X333" s="172"/>
      <c r="Y333" s="172"/>
      <c r="Z333" s="172"/>
      <c r="AA333" s="86"/>
      <c r="AB333" s="86"/>
      <c r="AC333" s="86"/>
      <c r="AD333" s="86"/>
    </row>
    <row r="334" spans="1:30" ht="26" customHeight="1" x14ac:dyDescent="0.3">
      <c r="A334" s="460" t="s">
        <v>78</v>
      </c>
      <c r="B334" s="460" t="s">
        <v>120</v>
      </c>
      <c r="C334" s="531">
        <v>150</v>
      </c>
      <c r="D334" s="460" t="s">
        <v>81</v>
      </c>
      <c r="E334" s="460" t="s">
        <v>108</v>
      </c>
      <c r="F334" s="460" t="s">
        <v>107</v>
      </c>
      <c r="G334" s="172">
        <v>46219</v>
      </c>
      <c r="H334" s="173" t="s">
        <v>1807</v>
      </c>
      <c r="I334" s="84" t="s">
        <v>1808</v>
      </c>
      <c r="J334" s="84" t="s">
        <v>1806</v>
      </c>
      <c r="K334" s="84" t="s">
        <v>1793</v>
      </c>
      <c r="L334" s="84" t="str">
        <f t="shared" si="63"/>
        <v>BALL VALVE 8" 150# RF, TRUNNION, A216</v>
      </c>
      <c r="M334" s="174">
        <v>2</v>
      </c>
      <c r="N334" s="174"/>
      <c r="O334" s="174"/>
      <c r="P334" s="174"/>
      <c r="Q334" s="174"/>
      <c r="R334" s="172">
        <v>46356</v>
      </c>
      <c r="S334" s="172"/>
      <c r="T334" s="172"/>
      <c r="U334" s="172"/>
      <c r="V334" s="172"/>
      <c r="W334" s="172"/>
      <c r="X334" s="172"/>
      <c r="Y334" s="172"/>
      <c r="Z334" s="172"/>
      <c r="AA334" s="86"/>
      <c r="AB334" s="86"/>
      <c r="AC334" s="86"/>
      <c r="AD334" s="86"/>
    </row>
    <row r="335" spans="1:30" ht="26" customHeight="1" x14ac:dyDescent="0.3">
      <c r="A335" s="460" t="s">
        <v>78</v>
      </c>
      <c r="B335" s="460" t="s">
        <v>84</v>
      </c>
      <c r="C335" s="531">
        <v>150</v>
      </c>
      <c r="D335" s="460" t="s">
        <v>81</v>
      </c>
      <c r="E335" s="460" t="s">
        <v>108</v>
      </c>
      <c r="F335" s="460" t="s">
        <v>107</v>
      </c>
      <c r="G335" s="172">
        <v>46219</v>
      </c>
      <c r="H335" s="173" t="s">
        <v>1807</v>
      </c>
      <c r="I335" s="84" t="s">
        <v>1808</v>
      </c>
      <c r="J335" s="84" t="s">
        <v>1806</v>
      </c>
      <c r="K335" s="84" t="s">
        <v>1794</v>
      </c>
      <c r="L335" s="84" t="str">
        <f t="shared" si="63"/>
        <v>BALL VALVE 4" 150# RF, TRUNNION, A216</v>
      </c>
      <c r="M335" s="174">
        <v>2</v>
      </c>
      <c r="N335" s="174"/>
      <c r="O335" s="174"/>
      <c r="P335" s="174"/>
      <c r="Q335" s="174"/>
      <c r="R335" s="172">
        <v>46356</v>
      </c>
      <c r="S335" s="172"/>
      <c r="T335" s="172"/>
      <c r="U335" s="172"/>
      <c r="V335" s="172"/>
      <c r="W335" s="172"/>
      <c r="X335" s="172"/>
      <c r="Y335" s="172"/>
      <c r="Z335" s="172"/>
      <c r="AA335" s="86"/>
      <c r="AB335" s="86"/>
      <c r="AC335" s="86"/>
      <c r="AD335" s="86"/>
    </row>
    <row r="336" spans="1:30" ht="26" customHeight="1" x14ac:dyDescent="0.3">
      <c r="A336" s="460" t="s">
        <v>78</v>
      </c>
      <c r="B336" s="460" t="s">
        <v>88</v>
      </c>
      <c r="C336" s="531">
        <v>800</v>
      </c>
      <c r="D336" s="460" t="s">
        <v>1232</v>
      </c>
      <c r="E336" s="460" t="s">
        <v>109</v>
      </c>
      <c r="F336" s="460" t="s">
        <v>105</v>
      </c>
      <c r="G336" s="172">
        <v>46219</v>
      </c>
      <c r="H336" s="173" t="s">
        <v>1807</v>
      </c>
      <c r="I336" s="84" t="s">
        <v>1808</v>
      </c>
      <c r="J336" s="84" t="s">
        <v>1806</v>
      </c>
      <c r="K336" s="84" t="s">
        <v>1795</v>
      </c>
      <c r="L336" s="84" t="str">
        <f t="shared" si="63"/>
        <v>BALL VALVE 3/4" 800# SW x NPT, FLOATING, A105</v>
      </c>
      <c r="M336" s="174">
        <v>21</v>
      </c>
      <c r="N336" s="174"/>
      <c r="O336" s="174"/>
      <c r="P336" s="174"/>
      <c r="Q336" s="174"/>
      <c r="R336" s="172">
        <v>46356</v>
      </c>
      <c r="S336" s="172"/>
      <c r="T336" s="172"/>
      <c r="U336" s="172"/>
      <c r="V336" s="172"/>
      <c r="W336" s="172"/>
      <c r="X336" s="172"/>
      <c r="Y336" s="172"/>
      <c r="Z336" s="172"/>
      <c r="AA336" s="86"/>
      <c r="AB336" s="86"/>
      <c r="AC336" s="86"/>
      <c r="AD336" s="86"/>
    </row>
    <row r="337" spans="1:30" ht="26" customHeight="1" x14ac:dyDescent="0.3">
      <c r="A337" s="460" t="s">
        <v>78</v>
      </c>
      <c r="B337" s="460" t="s">
        <v>88</v>
      </c>
      <c r="C337" s="531">
        <v>800</v>
      </c>
      <c r="D337" s="460" t="s">
        <v>1232</v>
      </c>
      <c r="E337" s="460" t="s">
        <v>109</v>
      </c>
      <c r="F337" s="460" t="s">
        <v>105</v>
      </c>
      <c r="G337" s="172">
        <v>46219</v>
      </c>
      <c r="H337" s="173" t="s">
        <v>1807</v>
      </c>
      <c r="I337" s="84" t="s">
        <v>1808</v>
      </c>
      <c r="J337" s="84" t="s">
        <v>1806</v>
      </c>
      <c r="K337" s="84" t="s">
        <v>1796</v>
      </c>
      <c r="L337" s="84" t="str">
        <f t="shared" si="63"/>
        <v>BALL VALVE 3/4" 800# SW x NPT, FLOATING, A105</v>
      </c>
      <c r="M337" s="174">
        <v>21</v>
      </c>
      <c r="N337" s="174"/>
      <c r="O337" s="174"/>
      <c r="P337" s="174"/>
      <c r="Q337" s="174"/>
      <c r="R337" s="172">
        <v>46356</v>
      </c>
      <c r="S337" s="172"/>
      <c r="T337" s="172"/>
      <c r="U337" s="172"/>
      <c r="V337" s="172"/>
      <c r="W337" s="172"/>
      <c r="X337" s="172"/>
      <c r="Y337" s="172"/>
      <c r="Z337" s="172"/>
      <c r="AA337" s="86"/>
      <c r="AB337" s="86"/>
      <c r="AC337" s="86"/>
      <c r="AD337" s="86"/>
    </row>
    <row r="338" spans="1:30" ht="26" customHeight="1" x14ac:dyDescent="0.3">
      <c r="A338" s="460" t="s">
        <v>90</v>
      </c>
      <c r="B338" s="460" t="s">
        <v>171</v>
      </c>
      <c r="C338" s="531">
        <v>150</v>
      </c>
      <c r="D338" s="460" t="s">
        <v>81</v>
      </c>
      <c r="E338" s="460" t="s">
        <v>1218</v>
      </c>
      <c r="F338" s="460" t="s">
        <v>107</v>
      </c>
      <c r="G338" s="172">
        <v>46219</v>
      </c>
      <c r="H338" s="173" t="s">
        <v>1807</v>
      </c>
      <c r="I338" s="84" t="s">
        <v>1808</v>
      </c>
      <c r="J338" s="84" t="s">
        <v>1806</v>
      </c>
      <c r="K338" s="84" t="s">
        <v>1797</v>
      </c>
      <c r="L338" s="84" t="str">
        <f t="shared" si="63"/>
        <v>GATE VALVE 20" 150# RF, BB-OS&amp;Y, A216</v>
      </c>
      <c r="M338" s="174">
        <v>9</v>
      </c>
      <c r="N338" s="174"/>
      <c r="O338" s="174"/>
      <c r="P338" s="174"/>
      <c r="Q338" s="174"/>
      <c r="R338" s="172">
        <v>46356</v>
      </c>
      <c r="S338" s="172"/>
      <c r="T338" s="172"/>
      <c r="U338" s="172"/>
      <c r="V338" s="172"/>
      <c r="W338" s="172"/>
      <c r="X338" s="172"/>
      <c r="Y338" s="172"/>
      <c r="Z338" s="172"/>
      <c r="AA338" s="86"/>
      <c r="AB338" s="86"/>
      <c r="AC338" s="86"/>
      <c r="AD338" s="86"/>
    </row>
    <row r="339" spans="1:30" ht="26" customHeight="1" x14ac:dyDescent="0.3">
      <c r="A339" s="460" t="s">
        <v>90</v>
      </c>
      <c r="B339" s="460" t="s">
        <v>688</v>
      </c>
      <c r="C339" s="531">
        <v>150</v>
      </c>
      <c r="D339" s="460" t="s">
        <v>81</v>
      </c>
      <c r="E339" s="460" t="s">
        <v>1218</v>
      </c>
      <c r="F339" s="460" t="s">
        <v>107</v>
      </c>
      <c r="G339" s="172">
        <v>46219</v>
      </c>
      <c r="H339" s="173" t="s">
        <v>1807</v>
      </c>
      <c r="I339" s="84" t="s">
        <v>1808</v>
      </c>
      <c r="J339" s="84" t="s">
        <v>1806</v>
      </c>
      <c r="K339" s="84" t="s">
        <v>1797</v>
      </c>
      <c r="L339" s="84" t="str">
        <f t="shared" si="63"/>
        <v>GATE VALVE 18" 150# RF, BB-OS&amp;Y, A216</v>
      </c>
      <c r="M339" s="174">
        <v>3</v>
      </c>
      <c r="N339" s="174"/>
      <c r="O339" s="174"/>
      <c r="P339" s="174"/>
      <c r="Q339" s="174"/>
      <c r="R339" s="172">
        <v>46356</v>
      </c>
      <c r="S339" s="172"/>
      <c r="T339" s="172"/>
      <c r="U339" s="172"/>
      <c r="V339" s="172"/>
      <c r="W339" s="172"/>
      <c r="X339" s="172"/>
      <c r="Y339" s="172"/>
      <c r="Z339" s="172"/>
      <c r="AA339" s="86"/>
      <c r="AB339" s="86"/>
      <c r="AC339" s="86"/>
      <c r="AD339" s="86"/>
    </row>
    <row r="340" spans="1:30" ht="26" customHeight="1" x14ac:dyDescent="0.3">
      <c r="A340" s="460" t="s">
        <v>90</v>
      </c>
      <c r="B340" s="460" t="s">
        <v>119</v>
      </c>
      <c r="C340" s="531">
        <v>150</v>
      </c>
      <c r="D340" s="460" t="s">
        <v>81</v>
      </c>
      <c r="E340" s="460" t="s">
        <v>1218</v>
      </c>
      <c r="F340" s="460" t="s">
        <v>107</v>
      </c>
      <c r="G340" s="172">
        <v>46219</v>
      </c>
      <c r="H340" s="173" t="s">
        <v>1807</v>
      </c>
      <c r="I340" s="84" t="s">
        <v>1808</v>
      </c>
      <c r="J340" s="84" t="s">
        <v>1806</v>
      </c>
      <c r="K340" s="84" t="s">
        <v>1797</v>
      </c>
      <c r="L340" s="84" t="str">
        <f t="shared" si="63"/>
        <v>GATE VALVE 12" 150# RF, BB-OS&amp;Y, A216</v>
      </c>
      <c r="M340" s="174">
        <v>9</v>
      </c>
      <c r="N340" s="174"/>
      <c r="O340" s="174"/>
      <c r="P340" s="174"/>
      <c r="Q340" s="174"/>
      <c r="R340" s="172">
        <v>46356</v>
      </c>
      <c r="S340" s="172"/>
      <c r="T340" s="172"/>
      <c r="U340" s="172"/>
      <c r="V340" s="172"/>
      <c r="W340" s="172"/>
      <c r="X340" s="172"/>
      <c r="Y340" s="172"/>
      <c r="Z340" s="172"/>
      <c r="AA340" s="86"/>
      <c r="AB340" s="86"/>
      <c r="AC340" s="86"/>
      <c r="AD340" s="86"/>
    </row>
    <row r="341" spans="1:30" ht="26" customHeight="1" x14ac:dyDescent="0.3">
      <c r="A341" s="460" t="s">
        <v>90</v>
      </c>
      <c r="B341" s="460" t="s">
        <v>120</v>
      </c>
      <c r="C341" s="531">
        <v>150</v>
      </c>
      <c r="D341" s="460" t="s">
        <v>81</v>
      </c>
      <c r="E341" s="460" t="s">
        <v>1218</v>
      </c>
      <c r="F341" s="460" t="s">
        <v>107</v>
      </c>
      <c r="G341" s="172">
        <v>46219</v>
      </c>
      <c r="H341" s="173" t="s">
        <v>1807</v>
      </c>
      <c r="I341" s="84" t="s">
        <v>1808</v>
      </c>
      <c r="J341" s="84" t="s">
        <v>1806</v>
      </c>
      <c r="K341" s="84" t="s">
        <v>1798</v>
      </c>
      <c r="L341" s="84" t="str">
        <f t="shared" si="63"/>
        <v>GATE VALVE 8" 150# RF, BB-OS&amp;Y, A216</v>
      </c>
      <c r="M341" s="174">
        <v>6</v>
      </c>
      <c r="N341" s="174"/>
      <c r="O341" s="174"/>
      <c r="P341" s="174"/>
      <c r="Q341" s="174"/>
      <c r="R341" s="172">
        <v>46356</v>
      </c>
      <c r="S341" s="172"/>
      <c r="T341" s="172"/>
      <c r="U341" s="172"/>
      <c r="V341" s="172"/>
      <c r="W341" s="172"/>
      <c r="X341" s="172"/>
      <c r="Y341" s="172"/>
      <c r="Z341" s="172"/>
      <c r="AA341" s="86"/>
      <c r="AB341" s="86"/>
      <c r="AC341" s="86"/>
      <c r="AD341" s="86"/>
    </row>
    <row r="342" spans="1:30" ht="26" customHeight="1" x14ac:dyDescent="0.3">
      <c r="A342" s="460" t="s">
        <v>90</v>
      </c>
      <c r="B342" s="460" t="s">
        <v>84</v>
      </c>
      <c r="C342" s="531">
        <v>150</v>
      </c>
      <c r="D342" s="460" t="s">
        <v>81</v>
      </c>
      <c r="E342" s="460" t="s">
        <v>1218</v>
      </c>
      <c r="F342" s="460" t="s">
        <v>107</v>
      </c>
      <c r="G342" s="172">
        <v>46219</v>
      </c>
      <c r="H342" s="173" t="s">
        <v>1807</v>
      </c>
      <c r="I342" s="84" t="s">
        <v>1808</v>
      </c>
      <c r="J342" s="84" t="s">
        <v>1806</v>
      </c>
      <c r="K342" s="84" t="s">
        <v>1798</v>
      </c>
      <c r="L342" s="84" t="str">
        <f t="shared" si="63"/>
        <v>GATE VALVE 4" 150# RF, BB-OS&amp;Y, A216</v>
      </c>
      <c r="M342" s="174">
        <v>16</v>
      </c>
      <c r="N342" s="174"/>
      <c r="O342" s="174"/>
      <c r="P342" s="174"/>
      <c r="Q342" s="174"/>
      <c r="R342" s="172">
        <v>46356</v>
      </c>
      <c r="S342" s="172"/>
      <c r="T342" s="172"/>
      <c r="U342" s="172"/>
      <c r="V342" s="172"/>
      <c r="W342" s="172"/>
      <c r="X342" s="172"/>
      <c r="Y342" s="172"/>
      <c r="Z342" s="172"/>
      <c r="AA342" s="86"/>
      <c r="AB342" s="86"/>
      <c r="AC342" s="86"/>
      <c r="AD342" s="86"/>
    </row>
    <row r="343" spans="1:30" ht="26" customHeight="1" x14ac:dyDescent="0.3">
      <c r="A343" s="460" t="s">
        <v>90</v>
      </c>
      <c r="B343" s="460" t="s">
        <v>85</v>
      </c>
      <c r="C343" s="531">
        <v>150</v>
      </c>
      <c r="D343" s="460" t="s">
        <v>81</v>
      </c>
      <c r="E343" s="460" t="s">
        <v>1218</v>
      </c>
      <c r="F343" s="460" t="s">
        <v>107</v>
      </c>
      <c r="G343" s="172">
        <v>46219</v>
      </c>
      <c r="H343" s="173" t="s">
        <v>1807</v>
      </c>
      <c r="I343" s="84" t="s">
        <v>1808</v>
      </c>
      <c r="J343" s="84" t="s">
        <v>1806</v>
      </c>
      <c r="K343" s="84" t="s">
        <v>1798</v>
      </c>
      <c r="L343" s="84" t="str">
        <f t="shared" si="63"/>
        <v>GATE VALVE 3" 150# RF, BB-OS&amp;Y, A216</v>
      </c>
      <c r="M343" s="174">
        <v>2</v>
      </c>
      <c r="N343" s="174"/>
      <c r="O343" s="174"/>
      <c r="P343" s="174"/>
      <c r="Q343" s="174"/>
      <c r="R343" s="172">
        <v>46356</v>
      </c>
      <c r="S343" s="172"/>
      <c r="T343" s="172"/>
      <c r="U343" s="172"/>
      <c r="V343" s="172"/>
      <c r="W343" s="172"/>
      <c r="X343" s="172"/>
      <c r="Y343" s="172"/>
      <c r="Z343" s="172"/>
      <c r="AA343" s="86"/>
      <c r="AB343" s="86"/>
      <c r="AC343" s="86"/>
      <c r="AD343" s="86"/>
    </row>
    <row r="344" spans="1:30" ht="26" customHeight="1" x14ac:dyDescent="0.3">
      <c r="A344" s="460" t="s">
        <v>90</v>
      </c>
      <c r="B344" s="460" t="s">
        <v>86</v>
      </c>
      <c r="C344" s="531">
        <v>150</v>
      </c>
      <c r="D344" s="460" t="s">
        <v>81</v>
      </c>
      <c r="E344" s="460" t="s">
        <v>1218</v>
      </c>
      <c r="F344" s="460" t="s">
        <v>107</v>
      </c>
      <c r="G344" s="172">
        <v>46219</v>
      </c>
      <c r="H344" s="173" t="s">
        <v>1807</v>
      </c>
      <c r="I344" s="84" t="s">
        <v>1808</v>
      </c>
      <c r="J344" s="84" t="s">
        <v>1806</v>
      </c>
      <c r="K344" s="84" t="s">
        <v>1798</v>
      </c>
      <c r="L344" s="84" t="str">
        <f t="shared" si="63"/>
        <v>GATE VALVE 2" 150# RF, BB-OS&amp;Y, A216</v>
      </c>
      <c r="M344" s="174">
        <v>16</v>
      </c>
      <c r="N344" s="174"/>
      <c r="O344" s="174"/>
      <c r="P344" s="174"/>
      <c r="Q344" s="174"/>
      <c r="R344" s="172">
        <v>46356</v>
      </c>
      <c r="S344" s="172"/>
      <c r="T344" s="172"/>
      <c r="U344" s="172"/>
      <c r="V344" s="172"/>
      <c r="W344" s="172"/>
      <c r="X344" s="172"/>
      <c r="Y344" s="172"/>
      <c r="Z344" s="172"/>
      <c r="AA344" s="86"/>
      <c r="AB344" s="86"/>
      <c r="AC344" s="86"/>
      <c r="AD344" s="86"/>
    </row>
    <row r="345" spans="1:30" ht="26" customHeight="1" x14ac:dyDescent="0.3">
      <c r="A345" s="460" t="s">
        <v>90</v>
      </c>
      <c r="B345" s="460" t="s">
        <v>88</v>
      </c>
      <c r="C345" s="531">
        <v>800</v>
      </c>
      <c r="D345" s="460" t="s">
        <v>106</v>
      </c>
      <c r="E345" s="460" t="s">
        <v>1218</v>
      </c>
      <c r="F345" s="460" t="s">
        <v>105</v>
      </c>
      <c r="G345" s="172">
        <v>46219</v>
      </c>
      <c r="H345" s="173" t="s">
        <v>1807</v>
      </c>
      <c r="I345" s="84" t="s">
        <v>1808</v>
      </c>
      <c r="J345" s="84" t="s">
        <v>1806</v>
      </c>
      <c r="K345" s="84" t="s">
        <v>1800</v>
      </c>
      <c r="L345" s="84" t="str">
        <f t="shared" si="63"/>
        <v>GATE VALVE 3/4" 800# SW, BB-OS&amp;Y, A105</v>
      </c>
      <c r="M345" s="174">
        <v>18</v>
      </c>
      <c r="N345" s="174"/>
      <c r="O345" s="174"/>
      <c r="P345" s="174"/>
      <c r="Q345" s="174"/>
      <c r="R345" s="172">
        <v>46356</v>
      </c>
      <c r="S345" s="172"/>
      <c r="T345" s="172"/>
      <c r="U345" s="172"/>
      <c r="V345" s="172"/>
      <c r="W345" s="172"/>
      <c r="X345" s="172"/>
      <c r="Y345" s="172"/>
      <c r="Z345" s="172"/>
      <c r="AA345" s="86"/>
      <c r="AB345" s="86"/>
      <c r="AC345" s="86"/>
      <c r="AD345" s="86"/>
    </row>
    <row r="346" spans="1:30" ht="26" customHeight="1" x14ac:dyDescent="0.3">
      <c r="A346" s="460" t="s">
        <v>94</v>
      </c>
      <c r="B346" s="460" t="s">
        <v>171</v>
      </c>
      <c r="C346" s="531">
        <v>150</v>
      </c>
      <c r="D346" s="460" t="s">
        <v>81</v>
      </c>
      <c r="E346" s="460" t="s">
        <v>97</v>
      </c>
      <c r="F346" s="460" t="s">
        <v>107</v>
      </c>
      <c r="G346" s="172">
        <v>46219</v>
      </c>
      <c r="H346" s="173" t="s">
        <v>1807</v>
      </c>
      <c r="I346" s="84" t="s">
        <v>1808</v>
      </c>
      <c r="J346" s="84" t="s">
        <v>1806</v>
      </c>
      <c r="K346" s="84" t="s">
        <v>1801</v>
      </c>
      <c r="L346" s="84" t="str">
        <f t="shared" si="63"/>
        <v>CHECK VALVE 20" 150# RF, BOLTED CAP, A216</v>
      </c>
      <c r="M346" s="174">
        <v>3</v>
      </c>
      <c r="N346" s="174"/>
      <c r="O346" s="174"/>
      <c r="P346" s="174"/>
      <c r="Q346" s="174"/>
      <c r="R346" s="172">
        <v>46356</v>
      </c>
      <c r="S346" s="172"/>
      <c r="T346" s="172"/>
      <c r="U346" s="172"/>
      <c r="V346" s="172"/>
      <c r="W346" s="172"/>
      <c r="X346" s="172"/>
      <c r="Y346" s="172"/>
      <c r="Z346" s="172"/>
      <c r="AA346" s="86"/>
      <c r="AB346" s="86"/>
      <c r="AC346" s="86"/>
      <c r="AD346" s="86"/>
    </row>
    <row r="347" spans="1:30" ht="26" customHeight="1" x14ac:dyDescent="0.3">
      <c r="A347" s="460" t="s">
        <v>94</v>
      </c>
      <c r="B347" s="460" t="s">
        <v>120</v>
      </c>
      <c r="C347" s="531">
        <v>150</v>
      </c>
      <c r="D347" s="460" t="s">
        <v>81</v>
      </c>
      <c r="E347" s="460" t="s">
        <v>97</v>
      </c>
      <c r="F347" s="460" t="s">
        <v>107</v>
      </c>
      <c r="G347" s="172">
        <v>46219</v>
      </c>
      <c r="H347" s="173" t="s">
        <v>1807</v>
      </c>
      <c r="I347" s="84" t="s">
        <v>1808</v>
      </c>
      <c r="J347" s="84" t="s">
        <v>1806</v>
      </c>
      <c r="K347" s="84" t="s">
        <v>1801</v>
      </c>
      <c r="L347" s="84" t="str">
        <f t="shared" si="63"/>
        <v>CHECK VALVE 8" 150# RF, BOLTED CAP, A216</v>
      </c>
      <c r="M347" s="174">
        <v>1</v>
      </c>
      <c r="N347" s="174"/>
      <c r="O347" s="174"/>
      <c r="P347" s="174"/>
      <c r="Q347" s="174"/>
      <c r="R347" s="172">
        <v>46356</v>
      </c>
      <c r="S347" s="172"/>
      <c r="T347" s="172"/>
      <c r="U347" s="172"/>
      <c r="V347" s="172"/>
      <c r="W347" s="172"/>
      <c r="X347" s="172"/>
      <c r="Y347" s="172"/>
      <c r="Z347" s="172"/>
      <c r="AA347" s="86"/>
      <c r="AB347" s="86"/>
      <c r="AC347" s="86"/>
      <c r="AD347" s="86"/>
    </row>
    <row r="348" spans="1:30" ht="26" customHeight="1" x14ac:dyDescent="0.3">
      <c r="A348" s="460" t="s">
        <v>94</v>
      </c>
      <c r="B348" s="460" t="s">
        <v>84</v>
      </c>
      <c r="C348" s="531">
        <v>150</v>
      </c>
      <c r="D348" s="460" t="s">
        <v>81</v>
      </c>
      <c r="E348" s="460" t="s">
        <v>97</v>
      </c>
      <c r="F348" s="460" t="s">
        <v>107</v>
      </c>
      <c r="G348" s="172">
        <v>46219</v>
      </c>
      <c r="H348" s="173" t="s">
        <v>1807</v>
      </c>
      <c r="I348" s="84" t="s">
        <v>1808</v>
      </c>
      <c r="J348" s="84" t="s">
        <v>1806</v>
      </c>
      <c r="K348" s="84" t="s">
        <v>1801</v>
      </c>
      <c r="L348" s="84" t="str">
        <f t="shared" si="63"/>
        <v>CHECK VALVE 4" 150# RF, BOLTED CAP, A216</v>
      </c>
      <c r="M348" s="174">
        <v>2</v>
      </c>
      <c r="N348" s="174"/>
      <c r="O348" s="174"/>
      <c r="P348" s="174"/>
      <c r="Q348" s="174"/>
      <c r="R348" s="172">
        <v>46356</v>
      </c>
      <c r="S348" s="172"/>
      <c r="T348" s="172"/>
      <c r="U348" s="172"/>
      <c r="V348" s="172"/>
      <c r="W348" s="172"/>
      <c r="X348" s="172"/>
      <c r="Y348" s="172"/>
      <c r="Z348" s="172"/>
      <c r="AA348" s="86"/>
      <c r="AB348" s="86"/>
      <c r="AC348" s="86"/>
      <c r="AD348" s="86"/>
    </row>
    <row r="349" spans="1:30" ht="26" customHeight="1" x14ac:dyDescent="0.3">
      <c r="A349" s="460" t="s">
        <v>94</v>
      </c>
      <c r="B349" s="460" t="s">
        <v>86</v>
      </c>
      <c r="C349" s="531">
        <v>150</v>
      </c>
      <c r="D349" s="460" t="s">
        <v>81</v>
      </c>
      <c r="E349" s="460" t="s">
        <v>97</v>
      </c>
      <c r="F349" s="460" t="s">
        <v>107</v>
      </c>
      <c r="G349" s="172">
        <v>46219</v>
      </c>
      <c r="H349" s="173" t="s">
        <v>1807</v>
      </c>
      <c r="I349" s="84" t="s">
        <v>1808</v>
      </c>
      <c r="J349" s="84" t="s">
        <v>1806</v>
      </c>
      <c r="K349" s="84" t="s">
        <v>1801</v>
      </c>
      <c r="L349" s="84" t="str">
        <f t="shared" ref="L349:L367" si="64">IF(A349="","",A349&amp;" VALVE "&amp;B349&amp;" "&amp;C349&amp;"# "&amp;D349&amp;", "&amp;E349&amp;", "&amp;F349)</f>
        <v>CHECK VALVE 2" 150# RF, BOLTED CAP, A216</v>
      </c>
      <c r="M349" s="174">
        <v>5</v>
      </c>
      <c r="N349" s="174"/>
      <c r="O349" s="174"/>
      <c r="P349" s="174"/>
      <c r="Q349" s="174"/>
      <c r="R349" s="172">
        <v>46356</v>
      </c>
      <c r="S349" s="172"/>
      <c r="T349" s="172"/>
      <c r="U349" s="172"/>
      <c r="V349" s="172"/>
      <c r="W349" s="172"/>
      <c r="X349" s="172"/>
      <c r="Y349" s="172"/>
      <c r="Z349" s="172"/>
      <c r="AA349" s="86"/>
      <c r="AB349" s="86"/>
      <c r="AC349" s="86"/>
      <c r="AD349" s="86"/>
    </row>
    <row r="350" spans="1:30" ht="26" customHeight="1" x14ac:dyDescent="0.3">
      <c r="A350" s="460" t="s">
        <v>78</v>
      </c>
      <c r="B350" s="460" t="s">
        <v>88</v>
      </c>
      <c r="C350" s="531">
        <v>800</v>
      </c>
      <c r="D350" s="460" t="s">
        <v>1799</v>
      </c>
      <c r="E350" s="460" t="s">
        <v>109</v>
      </c>
      <c r="F350" s="460" t="s">
        <v>105</v>
      </c>
      <c r="G350" s="172">
        <v>46219</v>
      </c>
      <c r="H350" s="173" t="s">
        <v>1807</v>
      </c>
      <c r="I350" s="84" t="s">
        <v>1808</v>
      </c>
      <c r="J350" s="84" t="s">
        <v>1806</v>
      </c>
      <c r="K350" s="84" t="s">
        <v>1802</v>
      </c>
      <c r="L350" s="84" t="str">
        <f t="shared" si="64"/>
        <v>BALL VALVE 3/4" 800# SW + Nipple Pup Piece 100mm Sch 80 x NPT, FLOATING, A105</v>
      </c>
      <c r="M350" s="174">
        <v>8</v>
      </c>
      <c r="N350" s="174"/>
      <c r="O350" s="174"/>
      <c r="P350" s="174"/>
      <c r="Q350" s="174"/>
      <c r="R350" s="172">
        <v>46356</v>
      </c>
      <c r="S350" s="172"/>
      <c r="T350" s="172"/>
      <c r="U350" s="172"/>
      <c r="V350" s="172"/>
      <c r="W350" s="172"/>
      <c r="X350" s="172"/>
      <c r="Y350" s="172"/>
      <c r="Z350" s="172"/>
      <c r="AA350" s="86"/>
      <c r="AB350" s="86"/>
      <c r="AC350" s="86"/>
      <c r="AD350" s="86"/>
    </row>
    <row r="351" spans="1:30" ht="26" customHeight="1" x14ac:dyDescent="0.3">
      <c r="A351" s="460" t="s">
        <v>78</v>
      </c>
      <c r="B351" s="460" t="s">
        <v>88</v>
      </c>
      <c r="C351" s="531">
        <v>800</v>
      </c>
      <c r="D351" s="460" t="s">
        <v>190</v>
      </c>
      <c r="E351" s="460" t="s">
        <v>109</v>
      </c>
      <c r="F351" s="460" t="s">
        <v>105</v>
      </c>
      <c r="G351" s="172">
        <v>46219</v>
      </c>
      <c r="H351" s="173" t="s">
        <v>1807</v>
      </c>
      <c r="I351" s="84" t="s">
        <v>1808</v>
      </c>
      <c r="J351" s="84" t="s">
        <v>1806</v>
      </c>
      <c r="K351" s="84" t="s">
        <v>1803</v>
      </c>
      <c r="L351" s="84" t="str">
        <f t="shared" si="64"/>
        <v>BALL VALVE 3/4" 800# NPT, FLOATING, A105</v>
      </c>
      <c r="M351" s="174">
        <v>2</v>
      </c>
      <c r="N351" s="174"/>
      <c r="O351" s="174"/>
      <c r="P351" s="174"/>
      <c r="Q351" s="174"/>
      <c r="R351" s="172">
        <v>46356</v>
      </c>
      <c r="S351" s="172"/>
      <c r="T351" s="172"/>
      <c r="U351" s="172"/>
      <c r="V351" s="172"/>
      <c r="W351" s="172"/>
      <c r="X351" s="172"/>
      <c r="Y351" s="172"/>
      <c r="Z351" s="172"/>
      <c r="AA351" s="86"/>
      <c r="AB351" s="86"/>
      <c r="AC351" s="86"/>
      <c r="AD351" s="86"/>
    </row>
    <row r="352" spans="1:30" ht="26" customHeight="1" x14ac:dyDescent="0.3">
      <c r="A352" s="460" t="s">
        <v>90</v>
      </c>
      <c r="B352" s="460" t="s">
        <v>84</v>
      </c>
      <c r="C352" s="531">
        <v>150</v>
      </c>
      <c r="D352" s="460" t="s">
        <v>81</v>
      </c>
      <c r="E352" s="460" t="s">
        <v>1218</v>
      </c>
      <c r="F352" s="460" t="s">
        <v>107</v>
      </c>
      <c r="G352" s="172">
        <v>46219</v>
      </c>
      <c r="H352" s="173" t="s">
        <v>1807</v>
      </c>
      <c r="I352" s="84" t="s">
        <v>1808</v>
      </c>
      <c r="J352" s="84" t="s">
        <v>1806</v>
      </c>
      <c r="K352" s="84" t="s">
        <v>1798</v>
      </c>
      <c r="L352" s="84" t="str">
        <f t="shared" si="64"/>
        <v>GATE VALVE 4" 150# RF, BB-OS&amp;Y, A216</v>
      </c>
      <c r="M352" s="174">
        <v>2</v>
      </c>
      <c r="N352" s="174"/>
      <c r="O352" s="174"/>
      <c r="P352" s="174"/>
      <c r="Q352" s="174"/>
      <c r="R352" s="172">
        <v>46356</v>
      </c>
      <c r="S352" s="172"/>
      <c r="T352" s="172"/>
      <c r="U352" s="172"/>
      <c r="V352" s="172"/>
      <c r="W352" s="172"/>
      <c r="X352" s="172"/>
      <c r="Y352" s="172"/>
      <c r="Z352" s="172"/>
      <c r="AA352" s="86"/>
      <c r="AB352" s="86"/>
      <c r="AC352" s="86"/>
      <c r="AD352" s="86"/>
    </row>
    <row r="353" spans="1:30" ht="26" customHeight="1" x14ac:dyDescent="0.3">
      <c r="A353" s="460" t="s">
        <v>94</v>
      </c>
      <c r="B353" s="460" t="s">
        <v>84</v>
      </c>
      <c r="C353" s="531">
        <v>150</v>
      </c>
      <c r="D353" s="460" t="s">
        <v>81</v>
      </c>
      <c r="E353" s="460" t="s">
        <v>97</v>
      </c>
      <c r="F353" s="460" t="s">
        <v>107</v>
      </c>
      <c r="G353" s="172">
        <v>46219</v>
      </c>
      <c r="H353" s="173" t="s">
        <v>1807</v>
      </c>
      <c r="I353" s="84" t="s">
        <v>1808</v>
      </c>
      <c r="J353" s="84" t="s">
        <v>1806</v>
      </c>
      <c r="K353" s="84" t="s">
        <v>1801</v>
      </c>
      <c r="L353" s="84" t="str">
        <f t="shared" si="64"/>
        <v>CHECK VALVE 4" 150# RF, BOLTED CAP, A216</v>
      </c>
      <c r="M353" s="174">
        <v>1</v>
      </c>
      <c r="N353" s="174"/>
      <c r="O353" s="174"/>
      <c r="P353" s="174"/>
      <c r="Q353" s="174"/>
      <c r="R353" s="172">
        <v>46356</v>
      </c>
      <c r="S353" s="172"/>
      <c r="T353" s="172"/>
      <c r="U353" s="172"/>
      <c r="V353" s="172"/>
      <c r="W353" s="172"/>
      <c r="X353" s="172"/>
      <c r="Y353" s="172"/>
      <c r="Z353" s="172"/>
      <c r="AA353" s="86"/>
      <c r="AB353" s="86"/>
      <c r="AC353" s="86"/>
      <c r="AD353" s="86"/>
    </row>
    <row r="354" spans="1:30" ht="26" customHeight="1" x14ac:dyDescent="0.3">
      <c r="A354" s="460" t="s">
        <v>1547</v>
      </c>
      <c r="B354" s="460" t="s">
        <v>85</v>
      </c>
      <c r="C354" s="531">
        <v>150</v>
      </c>
      <c r="D354" s="460" t="s">
        <v>81</v>
      </c>
      <c r="E354" s="460" t="s">
        <v>1805</v>
      </c>
      <c r="F354" s="460" t="s">
        <v>107</v>
      </c>
      <c r="G354" s="172">
        <v>46219</v>
      </c>
      <c r="H354" s="173" t="s">
        <v>1807</v>
      </c>
      <c r="I354" s="84" t="s">
        <v>1808</v>
      </c>
      <c r="J354" s="84" t="s">
        <v>1806</v>
      </c>
      <c r="K354" s="84" t="s">
        <v>1804</v>
      </c>
      <c r="L354" s="84" t="str">
        <f t="shared" si="64"/>
        <v>STRAINER VALVE 3" 150# RF, REGULER, A216</v>
      </c>
      <c r="M354" s="174">
        <v>1</v>
      </c>
      <c r="N354" s="174"/>
      <c r="O354" s="174"/>
      <c r="P354" s="174"/>
      <c r="Q354" s="174"/>
      <c r="R354" s="172">
        <v>46356</v>
      </c>
      <c r="S354" s="172"/>
      <c r="T354" s="172"/>
      <c r="U354" s="172"/>
      <c r="V354" s="172"/>
      <c r="W354" s="172"/>
      <c r="X354" s="172"/>
      <c r="Y354" s="172"/>
      <c r="Z354" s="172"/>
      <c r="AA354" s="86"/>
      <c r="AB354" s="86"/>
      <c r="AC354" s="86"/>
      <c r="AD354" s="86"/>
    </row>
    <row r="355" spans="1:30" ht="26" customHeight="1" x14ac:dyDescent="0.3">
      <c r="A355" s="460"/>
      <c r="B355" s="460"/>
      <c r="C355" s="531"/>
      <c r="D355" s="460"/>
      <c r="E355" s="460"/>
      <c r="F355" s="460"/>
      <c r="G355" s="172"/>
      <c r="H355" s="173"/>
      <c r="I355" s="84"/>
      <c r="J355" s="84"/>
      <c r="K355" s="84"/>
      <c r="L355" s="84" t="str">
        <f t="shared" si="64"/>
        <v/>
      </c>
      <c r="M355" s="174"/>
      <c r="N355" s="174"/>
      <c r="O355" s="174"/>
      <c r="P355" s="174"/>
      <c r="Q355" s="174"/>
      <c r="R355" s="172"/>
      <c r="S355" s="172"/>
      <c r="T355" s="172"/>
      <c r="U355" s="172"/>
      <c r="V355" s="172"/>
      <c r="W355" s="172"/>
      <c r="X355" s="172"/>
      <c r="Y355" s="172"/>
      <c r="Z355" s="172"/>
      <c r="AA355" s="86"/>
      <c r="AB355" s="86"/>
      <c r="AC355" s="86"/>
      <c r="AD355" s="86"/>
    </row>
    <row r="356" spans="1:30" ht="26" customHeight="1" x14ac:dyDescent="0.3">
      <c r="A356" s="460"/>
      <c r="B356" s="460"/>
      <c r="C356" s="531"/>
      <c r="D356" s="460"/>
      <c r="E356" s="460"/>
      <c r="F356" s="460"/>
      <c r="G356" s="172"/>
      <c r="H356" s="173"/>
      <c r="I356" s="84"/>
      <c r="J356" s="84"/>
      <c r="K356" s="84"/>
      <c r="L356" s="84" t="str">
        <f t="shared" si="64"/>
        <v/>
      </c>
      <c r="M356" s="174"/>
      <c r="N356" s="174"/>
      <c r="O356" s="174"/>
      <c r="P356" s="174"/>
      <c r="Q356" s="174"/>
      <c r="R356" s="172"/>
      <c r="S356" s="172"/>
      <c r="T356" s="172"/>
      <c r="U356" s="172"/>
      <c r="V356" s="172"/>
      <c r="W356" s="172"/>
      <c r="X356" s="172"/>
      <c r="Y356" s="172"/>
      <c r="Z356" s="172"/>
      <c r="AA356" s="86"/>
      <c r="AB356" s="86"/>
      <c r="AC356" s="86"/>
      <c r="AD356" s="86"/>
    </row>
    <row r="357" spans="1:30" ht="26" customHeight="1" x14ac:dyDescent="0.3">
      <c r="A357" s="460"/>
      <c r="B357" s="460"/>
      <c r="C357" s="531"/>
      <c r="D357" s="460"/>
      <c r="E357" s="460"/>
      <c r="F357" s="460"/>
      <c r="G357" s="172"/>
      <c r="H357" s="173"/>
      <c r="I357" s="84"/>
      <c r="J357" s="84"/>
      <c r="K357" s="84"/>
      <c r="L357" s="84" t="str">
        <f t="shared" si="64"/>
        <v/>
      </c>
      <c r="M357" s="174"/>
      <c r="N357" s="174"/>
      <c r="O357" s="174"/>
      <c r="P357" s="174"/>
      <c r="Q357" s="174"/>
      <c r="R357" s="172"/>
      <c r="S357" s="172"/>
      <c r="T357" s="172"/>
      <c r="U357" s="172"/>
      <c r="V357" s="172"/>
      <c r="W357" s="172"/>
      <c r="X357" s="172"/>
      <c r="Y357" s="172"/>
      <c r="Z357" s="172"/>
      <c r="AA357" s="86"/>
      <c r="AB357" s="86"/>
      <c r="AC357" s="86"/>
      <c r="AD357" s="86"/>
    </row>
    <row r="358" spans="1:30" ht="26" customHeight="1" x14ac:dyDescent="0.3">
      <c r="A358" s="460"/>
      <c r="B358" s="460"/>
      <c r="C358" s="531"/>
      <c r="D358" s="460"/>
      <c r="E358" s="460"/>
      <c r="F358" s="460"/>
      <c r="G358" s="172"/>
      <c r="H358" s="173"/>
      <c r="I358" s="84"/>
      <c r="J358" s="84"/>
      <c r="K358" s="84"/>
      <c r="L358" s="84" t="str">
        <f t="shared" si="64"/>
        <v/>
      </c>
      <c r="M358" s="174"/>
      <c r="N358" s="174"/>
      <c r="O358" s="174"/>
      <c r="P358" s="174"/>
      <c r="Q358" s="174"/>
      <c r="R358" s="172"/>
      <c r="S358" s="172"/>
      <c r="T358" s="172"/>
      <c r="U358" s="172"/>
      <c r="V358" s="172"/>
      <c r="W358" s="172"/>
      <c r="X358" s="172"/>
      <c r="Y358" s="172"/>
      <c r="Z358" s="172"/>
      <c r="AA358" s="86"/>
      <c r="AB358" s="86"/>
      <c r="AC358" s="86"/>
      <c r="AD358" s="86"/>
    </row>
    <row r="359" spans="1:30" ht="26" customHeight="1" x14ac:dyDescent="0.3">
      <c r="A359" s="460"/>
      <c r="B359" s="460"/>
      <c r="C359" s="531"/>
      <c r="D359" s="460"/>
      <c r="E359" s="460"/>
      <c r="F359" s="460"/>
      <c r="G359" s="172"/>
      <c r="H359" s="173"/>
      <c r="I359" s="84"/>
      <c r="J359" s="84"/>
      <c r="K359" s="84"/>
      <c r="L359" s="84" t="str">
        <f t="shared" si="64"/>
        <v/>
      </c>
      <c r="M359" s="174"/>
      <c r="N359" s="174"/>
      <c r="O359" s="174"/>
      <c r="P359" s="174"/>
      <c r="Q359" s="174"/>
      <c r="R359" s="172"/>
      <c r="S359" s="172"/>
      <c r="T359" s="172"/>
      <c r="U359" s="172"/>
      <c r="V359" s="172"/>
      <c r="W359" s="172"/>
      <c r="X359" s="172"/>
      <c r="Y359" s="172"/>
      <c r="Z359" s="172"/>
      <c r="AA359" s="86"/>
      <c r="AB359" s="86"/>
      <c r="AC359" s="86"/>
      <c r="AD359" s="86"/>
    </row>
    <row r="360" spans="1:30" ht="26" customHeight="1" x14ac:dyDescent="0.3">
      <c r="A360" s="460"/>
      <c r="B360" s="460"/>
      <c r="C360" s="531"/>
      <c r="D360" s="460"/>
      <c r="E360" s="460"/>
      <c r="F360" s="460"/>
      <c r="G360" s="172"/>
      <c r="H360" s="173"/>
      <c r="I360" s="84"/>
      <c r="J360" s="84"/>
      <c r="K360" s="84"/>
      <c r="L360" s="84" t="str">
        <f t="shared" si="64"/>
        <v/>
      </c>
      <c r="M360" s="174"/>
      <c r="N360" s="174"/>
      <c r="O360" s="174"/>
      <c r="P360" s="174"/>
      <c r="Q360" s="174"/>
      <c r="R360" s="172"/>
      <c r="S360" s="172"/>
      <c r="T360" s="172"/>
      <c r="U360" s="172"/>
      <c r="V360" s="172"/>
      <c r="W360" s="172"/>
      <c r="X360" s="172"/>
      <c r="Y360" s="172"/>
      <c r="Z360" s="172"/>
      <c r="AA360" s="86"/>
      <c r="AB360" s="86"/>
      <c r="AC360" s="86"/>
      <c r="AD360" s="86"/>
    </row>
    <row r="361" spans="1:30" ht="26" customHeight="1" x14ac:dyDescent="0.3">
      <c r="A361" s="460"/>
      <c r="B361" s="460"/>
      <c r="C361" s="531"/>
      <c r="D361" s="460"/>
      <c r="E361" s="460"/>
      <c r="F361" s="460"/>
      <c r="G361" s="172"/>
      <c r="H361" s="173"/>
      <c r="I361" s="84"/>
      <c r="J361" s="84"/>
      <c r="K361" s="84"/>
      <c r="L361" s="84" t="str">
        <f t="shared" si="64"/>
        <v/>
      </c>
      <c r="M361" s="174"/>
      <c r="N361" s="174"/>
      <c r="O361" s="174"/>
      <c r="P361" s="174"/>
      <c r="Q361" s="174"/>
      <c r="R361" s="172"/>
      <c r="S361" s="172"/>
      <c r="T361" s="172"/>
      <c r="U361" s="172"/>
      <c r="V361" s="172"/>
      <c r="W361" s="172"/>
      <c r="X361" s="172"/>
      <c r="Y361" s="172"/>
      <c r="Z361" s="172"/>
      <c r="AA361" s="86"/>
      <c r="AB361" s="86"/>
      <c r="AC361" s="86"/>
      <c r="AD361" s="86"/>
    </row>
    <row r="362" spans="1:30" ht="26" customHeight="1" x14ac:dyDescent="0.3">
      <c r="A362" s="460"/>
      <c r="B362" s="460"/>
      <c r="C362" s="531"/>
      <c r="D362" s="460"/>
      <c r="E362" s="460"/>
      <c r="F362" s="460"/>
      <c r="G362" s="172"/>
      <c r="H362" s="173"/>
      <c r="I362" s="84"/>
      <c r="J362" s="84"/>
      <c r="K362" s="84"/>
      <c r="L362" s="84" t="str">
        <f t="shared" si="64"/>
        <v/>
      </c>
      <c r="M362" s="174"/>
      <c r="N362" s="174"/>
      <c r="O362" s="174"/>
      <c r="P362" s="174"/>
      <c r="Q362" s="174"/>
      <c r="R362" s="172"/>
      <c r="S362" s="172"/>
      <c r="T362" s="172"/>
      <c r="U362" s="172"/>
      <c r="V362" s="172"/>
      <c r="W362" s="172"/>
      <c r="X362" s="172"/>
      <c r="Y362" s="172"/>
      <c r="Z362" s="172"/>
      <c r="AA362" s="86"/>
      <c r="AB362" s="86"/>
      <c r="AC362" s="86"/>
      <c r="AD362" s="86"/>
    </row>
    <row r="363" spans="1:30" ht="26" customHeight="1" x14ac:dyDescent="0.3">
      <c r="A363" s="460"/>
      <c r="B363" s="460"/>
      <c r="C363" s="531"/>
      <c r="D363" s="460"/>
      <c r="E363" s="460"/>
      <c r="F363" s="460"/>
      <c r="G363" s="172"/>
      <c r="H363" s="173"/>
      <c r="I363" s="84"/>
      <c r="J363" s="84"/>
      <c r="K363" s="84"/>
      <c r="L363" s="84" t="str">
        <f t="shared" si="64"/>
        <v/>
      </c>
      <c r="M363" s="174"/>
      <c r="N363" s="174"/>
      <c r="O363" s="174"/>
      <c r="P363" s="174"/>
      <c r="Q363" s="174"/>
      <c r="R363" s="172"/>
      <c r="S363" s="172"/>
      <c r="T363" s="172"/>
      <c r="U363" s="172"/>
      <c r="V363" s="172"/>
      <c r="W363" s="172"/>
      <c r="X363" s="172"/>
      <c r="Y363" s="172"/>
      <c r="Z363" s="172"/>
      <c r="AA363" s="86"/>
      <c r="AB363" s="86"/>
      <c r="AC363" s="86"/>
      <c r="AD363" s="86"/>
    </row>
    <row r="364" spans="1:30" ht="26" customHeight="1" x14ac:dyDescent="0.3">
      <c r="A364" s="460"/>
      <c r="B364" s="460"/>
      <c r="C364" s="460"/>
      <c r="D364" s="460"/>
      <c r="E364" s="460"/>
      <c r="F364" s="460"/>
      <c r="G364" s="457"/>
      <c r="H364" s="173"/>
      <c r="I364" s="84"/>
      <c r="J364" s="84"/>
      <c r="K364" s="84"/>
      <c r="L364" s="84" t="str">
        <f t="shared" si="64"/>
        <v/>
      </c>
      <c r="M364" s="174"/>
      <c r="N364" s="458"/>
      <c r="O364" s="458"/>
      <c r="P364" s="458"/>
      <c r="Q364" s="459"/>
      <c r="R364" s="457"/>
      <c r="S364" s="172"/>
      <c r="T364" s="172"/>
      <c r="U364" s="172"/>
      <c r="V364" s="172"/>
      <c r="W364" s="172"/>
      <c r="X364" s="172"/>
      <c r="Y364" s="172"/>
      <c r="Z364" s="172"/>
      <c r="AA364" s="460"/>
      <c r="AB364" s="460"/>
      <c r="AC364" s="460"/>
      <c r="AD364" s="86"/>
    </row>
    <row r="365" spans="1:30" ht="26" customHeight="1" x14ac:dyDescent="0.3">
      <c r="A365" s="460"/>
      <c r="B365" s="460"/>
      <c r="C365" s="460"/>
      <c r="D365" s="460"/>
      <c r="E365" s="460"/>
      <c r="F365" s="460"/>
      <c r="G365" s="457"/>
      <c r="H365" s="173"/>
      <c r="I365" s="84"/>
      <c r="J365" s="84"/>
      <c r="K365" s="84"/>
      <c r="L365" s="84" t="str">
        <f t="shared" si="64"/>
        <v/>
      </c>
      <c r="M365" s="174"/>
      <c r="N365" s="458"/>
      <c r="O365" s="458"/>
      <c r="P365" s="458"/>
      <c r="Q365" s="459"/>
      <c r="R365" s="457"/>
      <c r="S365" s="172"/>
      <c r="T365" s="172"/>
      <c r="U365" s="172"/>
      <c r="V365" s="172"/>
      <c r="W365" s="172"/>
      <c r="X365" s="172"/>
      <c r="Y365" s="172"/>
      <c r="Z365" s="172"/>
      <c r="AA365" s="460"/>
      <c r="AB365" s="460"/>
      <c r="AC365" s="460"/>
      <c r="AD365" s="86"/>
    </row>
    <row r="366" spans="1:30" ht="26" customHeight="1" x14ac:dyDescent="0.3">
      <c r="A366" s="460"/>
      <c r="B366" s="460"/>
      <c r="C366" s="460"/>
      <c r="D366" s="460"/>
      <c r="E366" s="460"/>
      <c r="F366" s="460"/>
      <c r="G366" s="457"/>
      <c r="H366" s="173"/>
      <c r="I366" s="84"/>
      <c r="J366" s="84"/>
      <c r="K366" s="84"/>
      <c r="L366" s="84" t="str">
        <f t="shared" si="64"/>
        <v/>
      </c>
      <c r="M366" s="174"/>
      <c r="N366" s="458"/>
      <c r="O366" s="458"/>
      <c r="P366" s="458"/>
      <c r="Q366" s="459"/>
      <c r="R366" s="457"/>
      <c r="S366" s="172"/>
      <c r="T366" s="172"/>
      <c r="U366" s="172"/>
      <c r="V366" s="172"/>
      <c r="W366" s="172"/>
      <c r="X366" s="172"/>
      <c r="Y366" s="172"/>
      <c r="Z366" s="172"/>
      <c r="AA366" s="460"/>
      <c r="AB366" s="460"/>
      <c r="AC366" s="460"/>
      <c r="AD366" s="86"/>
    </row>
    <row r="367" spans="1:30" ht="26" customHeight="1" x14ac:dyDescent="0.3">
      <c r="A367" s="460"/>
      <c r="B367" s="460"/>
      <c r="C367" s="460"/>
      <c r="D367" s="460"/>
      <c r="E367" s="460"/>
      <c r="F367" s="460"/>
      <c r="G367" s="457"/>
      <c r="H367" s="173"/>
      <c r="I367" s="84"/>
      <c r="J367" s="84"/>
      <c r="K367" s="84"/>
      <c r="L367" s="84" t="str">
        <f t="shared" si="64"/>
        <v/>
      </c>
      <c r="M367" s="174"/>
      <c r="N367" s="458"/>
      <c r="O367" s="458"/>
      <c r="P367" s="458"/>
      <c r="Q367" s="459"/>
      <c r="R367" s="457"/>
      <c r="S367" s="172"/>
      <c r="T367" s="172"/>
      <c r="U367" s="172"/>
      <c r="V367" s="172"/>
      <c r="W367" s="172"/>
      <c r="X367" s="172"/>
      <c r="Y367" s="172"/>
      <c r="Z367" s="172"/>
      <c r="AA367" s="460"/>
      <c r="AB367" s="460"/>
      <c r="AC367" s="460"/>
      <c r="AD367" s="86"/>
    </row>
    <row r="368" spans="1:30" x14ac:dyDescent="0.3">
      <c r="G368" s="112"/>
      <c r="H368" s="82" t="s">
        <v>266</v>
      </c>
    </row>
    <row r="369" spans="7:8" x14ac:dyDescent="0.3">
      <c r="G369" s="113"/>
      <c r="H369" s="82" t="s">
        <v>267</v>
      </c>
    </row>
    <row r="370" spans="7:8" x14ac:dyDescent="0.3">
      <c r="G370" s="114"/>
      <c r="H370" s="82" t="s">
        <v>268</v>
      </c>
    </row>
    <row r="371" spans="7:8" x14ac:dyDescent="0.3">
      <c r="G371" s="115"/>
      <c r="H371" s="82" t="s">
        <v>269</v>
      </c>
    </row>
  </sheetData>
  <phoneticPr fontId="29" type="noConversion"/>
  <conditionalFormatting sqref="A7:A305">
    <cfRule type="expression" dxfId="97" priority="14">
      <formula>"STRAINER"</formula>
    </cfRule>
  </conditionalFormatting>
  <conditionalFormatting sqref="AE7:CF145 AE223:CF236 AE295:CF304">
    <cfRule type="expression" dxfId="96" priority="1">
      <formula>AND(AE$3&gt;=$X7,AE$3&lt;=$Y7)</formula>
    </cfRule>
    <cfRule type="expression" dxfId="95" priority="4">
      <formula>AND(AE$3&gt;=$V7,AE$3&lt;=$W7)</formula>
    </cfRule>
    <cfRule type="expression" dxfId="94" priority="6">
      <formula>AND(AE$3&gt;=$T7,AE$3&lt;=$U7)</formula>
    </cfRule>
    <cfRule type="expression" dxfId="93" priority="7">
      <formula>AND(AE$3&gt;=$S7,AE$3&lt;=$S7)</formula>
    </cfRule>
    <cfRule type="expression" dxfId="92" priority="8">
      <formula>AND(AE$3&gt;=$G7,AE$3&lt;=$R7)</formula>
    </cfRule>
  </conditionalFormatting>
  <conditionalFormatting sqref="AE3:CF305">
    <cfRule type="expression" dxfId="91" priority="5">
      <formula>WEEKDAY(AE$3,3)&gt;=5</formula>
    </cfRule>
  </conditionalFormatting>
  <conditionalFormatting sqref="AE3:CF305">
    <cfRule type="expression" dxfId="90" priority="9">
      <formula>AE$3=$K$4</formula>
    </cfRule>
  </conditionalFormatting>
  <conditionalFormatting sqref="AE305:CF305">
    <cfRule type="expression" dxfId="89" priority="131">
      <formula>AND(AE$3&gt;=$X185,AE$3&lt;=$Y185)</formula>
    </cfRule>
    <cfRule type="expression" dxfId="88" priority="132">
      <formula>AND(AE$3&gt;=$V185,AE$3&lt;=$W185)</formula>
    </cfRule>
    <cfRule type="expression" dxfId="87" priority="133">
      <formula>AND(AE$3&gt;=$T185,AE$3&lt;=$U185)</formula>
    </cfRule>
    <cfRule type="expression" dxfId="86" priority="134">
      <formula>AND(AE$3&gt;=$S185,AE$3&lt;=$S185)</formula>
    </cfRule>
    <cfRule type="expression" dxfId="85" priority="135">
      <formula>AND(AE$3&gt;=$G185,AE$3&lt;=$R185)</formula>
    </cfRule>
  </conditionalFormatting>
  <dataValidations count="3">
    <dataValidation type="date" operator="greaterThan" allowBlank="1" showInputMessage="1" showErrorMessage="1" sqref="T36:T37" xr:uid="{4C12B95E-6F4E-4912-8D60-103704F146F0}">
      <formula1>G36</formula1>
    </dataValidation>
    <dataValidation type="list" allowBlank="1" showInputMessage="1" showErrorMessage="1" sqref="I4:I5" xr:uid="{3309FAD3-5D35-4520-AC21-B7373E537D66}">
      <formula1>"Daily,Weekly,Monthly,Quarterly"</formula1>
    </dataValidation>
    <dataValidation type="list" allowBlank="1" showInputMessage="1" showErrorMessage="1" sqref="AF2" xr:uid="{CE72BE15-B74A-44AA-8AB3-B92D33811AEC}">
      <formula1>"P,O"</formula1>
    </dataValidation>
  </dataValidations>
  <hyperlinks>
    <hyperlink ref="G5" location="Dashboard!A1" display="⬅ Kembali ke Dashboard" xr:uid="{03854A6F-A27B-40CB-B523-95F62E8D6550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Scroll Bar 4">
              <controlPr defaultSize="0" autoPict="0">
                <anchor moveWithCells="1">
                  <from>
                    <xdr:col>30</xdr:col>
                    <xdr:colOff>38100</xdr:colOff>
                    <xdr:row>2</xdr:row>
                    <xdr:rowOff>0</xdr:rowOff>
                  </from>
                  <to>
                    <xdr:col>44</xdr:col>
                    <xdr:colOff>165100</xdr:colOff>
                    <xdr:row>2</xdr:row>
                    <xdr:rowOff>260350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346BE-4892-4946-9FFB-52453238AC47}">
  <sheetPr codeName="Sheet20"/>
  <dimension ref="A1:K389"/>
  <sheetViews>
    <sheetView topLeftCell="A172" zoomScale="70" zoomScaleNormal="70" workbookViewId="0">
      <selection activeCell="A6" sqref="A6"/>
    </sheetView>
  </sheetViews>
  <sheetFormatPr defaultRowHeight="12.5" x14ac:dyDescent="0.25"/>
  <cols>
    <col min="1" max="1" width="26" customWidth="1"/>
    <col min="2" max="2" width="30" customWidth="1"/>
    <col min="3" max="3" width="40" customWidth="1"/>
    <col min="4" max="4" width="16" customWidth="1"/>
    <col min="5" max="5" width="15" customWidth="1"/>
    <col min="6" max="6" width="13" customWidth="1"/>
    <col min="7" max="7" width="22.36328125" customWidth="1"/>
    <col min="8" max="8" width="10" customWidth="1"/>
    <col min="9" max="9" width="16" customWidth="1"/>
    <col min="10" max="10" width="15" customWidth="1"/>
    <col min="11" max="11" width="13" customWidth="1"/>
  </cols>
  <sheetData>
    <row r="1" spans="1:7" ht="13" x14ac:dyDescent="0.25">
      <c r="A1" s="569" t="s">
        <v>1517</v>
      </c>
      <c r="B1" s="569"/>
      <c r="C1" s="569"/>
      <c r="D1" s="569"/>
      <c r="E1" s="569"/>
      <c r="F1" s="569"/>
      <c r="G1" s="569"/>
    </row>
    <row r="2" spans="1:7" ht="16.5" x14ac:dyDescent="0.35">
      <c r="A2" s="510" t="s">
        <v>1550</v>
      </c>
    </row>
    <row r="4" spans="1:7" ht="39" x14ac:dyDescent="0.25">
      <c r="A4" s="500" t="s">
        <v>77</v>
      </c>
      <c r="B4" s="500" t="s">
        <v>1551</v>
      </c>
      <c r="C4" s="500" t="s">
        <v>1552</v>
      </c>
      <c r="D4" s="500" t="s">
        <v>1553</v>
      </c>
      <c r="E4" s="500" t="s">
        <v>1554</v>
      </c>
      <c r="F4" s="500" t="s">
        <v>1555</v>
      </c>
      <c r="G4" s="500" t="s">
        <v>1556</v>
      </c>
    </row>
    <row r="5" spans="1:7" x14ac:dyDescent="0.25">
      <c r="A5" s="501" t="s">
        <v>75</v>
      </c>
      <c r="B5" s="501" t="s">
        <v>76</v>
      </c>
      <c r="C5" s="502">
        <f t="shared" ref="C5:C36" si="0">COUNTIF($A$42:$A$389,A5)</f>
        <v>16</v>
      </c>
      <c r="D5" s="502">
        <f t="shared" ref="D5:D36" si="1">SUMIF($A$42:$A$389,A5,$H$42:$H$389)</f>
        <v>88</v>
      </c>
      <c r="E5" s="559">
        <f t="shared" ref="E5:E36" si="2">SUMIF($A$42:$A$389,A5,$J$42:$J$389)</f>
        <v>12552</v>
      </c>
      <c r="F5" s="511">
        <f t="shared" ref="F5:F36" si="3">E5/60</f>
        <v>209.2</v>
      </c>
      <c r="G5" s="511">
        <f t="shared" ref="G5:G36" si="4">F5/8</f>
        <v>26.15</v>
      </c>
    </row>
    <row r="6" spans="1:7" x14ac:dyDescent="0.25">
      <c r="A6" s="512" t="s">
        <v>1825</v>
      </c>
      <c r="B6" s="501" t="s">
        <v>121</v>
      </c>
      <c r="C6" s="502">
        <f t="shared" si="0"/>
        <v>19</v>
      </c>
      <c r="D6" s="502">
        <f t="shared" si="1"/>
        <v>72</v>
      </c>
      <c r="E6" s="559">
        <f t="shared" si="2"/>
        <v>7345</v>
      </c>
      <c r="F6" s="511">
        <f t="shared" si="3"/>
        <v>122.41666666666667</v>
      </c>
      <c r="G6" s="511">
        <f t="shared" si="4"/>
        <v>15.302083333333334</v>
      </c>
    </row>
    <row r="7" spans="1:7" x14ac:dyDescent="0.25">
      <c r="A7" s="512" t="s">
        <v>1826</v>
      </c>
      <c r="B7" s="501" t="s">
        <v>121</v>
      </c>
      <c r="C7" s="502">
        <f t="shared" si="0"/>
        <v>20</v>
      </c>
      <c r="D7" s="502">
        <f t="shared" si="1"/>
        <v>54</v>
      </c>
      <c r="E7" s="559">
        <f t="shared" si="2"/>
        <v>16410</v>
      </c>
      <c r="F7" s="511">
        <f t="shared" si="3"/>
        <v>273.5</v>
      </c>
      <c r="G7" s="511">
        <f t="shared" si="4"/>
        <v>34.1875</v>
      </c>
    </row>
    <row r="8" spans="1:7" x14ac:dyDescent="0.25">
      <c r="A8" s="501" t="s">
        <v>139</v>
      </c>
      <c r="B8" s="501" t="s">
        <v>141</v>
      </c>
      <c r="C8" s="502">
        <f t="shared" si="0"/>
        <v>15</v>
      </c>
      <c r="D8" s="502">
        <f t="shared" si="1"/>
        <v>62</v>
      </c>
      <c r="E8" s="559">
        <f t="shared" si="2"/>
        <v>4594</v>
      </c>
      <c r="F8" s="511">
        <f t="shared" si="3"/>
        <v>76.566666666666663</v>
      </c>
      <c r="G8" s="511">
        <f t="shared" si="4"/>
        <v>9.5708333333333329</v>
      </c>
    </row>
    <row r="9" spans="1:7" x14ac:dyDescent="0.25">
      <c r="A9" s="501" t="s">
        <v>157</v>
      </c>
      <c r="B9" s="501" t="s">
        <v>159</v>
      </c>
      <c r="C9" s="502">
        <f t="shared" si="0"/>
        <v>29</v>
      </c>
      <c r="D9" s="502">
        <f t="shared" si="1"/>
        <v>162</v>
      </c>
      <c r="E9" s="559">
        <f t="shared" si="2"/>
        <v>34545</v>
      </c>
      <c r="F9" s="511">
        <f t="shared" si="3"/>
        <v>575.75</v>
      </c>
      <c r="G9" s="511">
        <f t="shared" si="4"/>
        <v>71.96875</v>
      </c>
    </row>
    <row r="10" spans="1:7" x14ac:dyDescent="0.25">
      <c r="A10" s="501" t="s">
        <v>186</v>
      </c>
      <c r="B10" s="501" t="s">
        <v>188</v>
      </c>
      <c r="C10" s="502">
        <f t="shared" si="0"/>
        <v>4</v>
      </c>
      <c r="D10" s="502">
        <f t="shared" si="1"/>
        <v>4</v>
      </c>
      <c r="E10" s="559">
        <f t="shared" si="2"/>
        <v>1345</v>
      </c>
      <c r="F10" s="511">
        <f t="shared" si="3"/>
        <v>22.416666666666668</v>
      </c>
      <c r="G10" s="511">
        <f t="shared" si="4"/>
        <v>2.8020833333333335</v>
      </c>
    </row>
    <row r="11" spans="1:7" x14ac:dyDescent="0.25">
      <c r="A11" s="501" t="s">
        <v>202</v>
      </c>
      <c r="B11" s="501" t="s">
        <v>204</v>
      </c>
      <c r="C11" s="502">
        <f t="shared" si="0"/>
        <v>14</v>
      </c>
      <c r="D11" s="502">
        <f t="shared" si="1"/>
        <v>76</v>
      </c>
      <c r="E11" s="559">
        <f t="shared" si="2"/>
        <v>17364</v>
      </c>
      <c r="F11" s="511">
        <f t="shared" si="3"/>
        <v>289.39999999999998</v>
      </c>
      <c r="G11" s="511">
        <f t="shared" si="4"/>
        <v>36.174999999999997</v>
      </c>
    </row>
    <row r="12" spans="1:7" x14ac:dyDescent="0.25">
      <c r="A12" s="501" t="s">
        <v>196</v>
      </c>
      <c r="B12" s="501" t="s">
        <v>198</v>
      </c>
      <c r="C12" s="502">
        <f t="shared" si="0"/>
        <v>1</v>
      </c>
      <c r="D12" s="502">
        <f t="shared" si="1"/>
        <v>2</v>
      </c>
      <c r="E12" s="559">
        <f t="shared" si="2"/>
        <v>1410</v>
      </c>
      <c r="F12" s="511">
        <f t="shared" si="3"/>
        <v>23.5</v>
      </c>
      <c r="G12" s="511">
        <f t="shared" si="4"/>
        <v>2.9375</v>
      </c>
    </row>
    <row r="13" spans="1:7" x14ac:dyDescent="0.25">
      <c r="A13" s="501" t="s">
        <v>206</v>
      </c>
      <c r="B13" s="501" t="s">
        <v>208</v>
      </c>
      <c r="C13" s="502">
        <f t="shared" si="0"/>
        <v>13</v>
      </c>
      <c r="D13" s="502">
        <f t="shared" si="1"/>
        <v>25</v>
      </c>
      <c r="E13" s="559">
        <f t="shared" si="2"/>
        <v>4329</v>
      </c>
      <c r="F13" s="511">
        <f t="shared" si="3"/>
        <v>72.150000000000006</v>
      </c>
      <c r="G13" s="511">
        <f t="shared" si="4"/>
        <v>9.0187500000000007</v>
      </c>
    </row>
    <row r="14" spans="1:7" x14ac:dyDescent="0.25">
      <c r="A14" s="501" t="s">
        <v>210</v>
      </c>
      <c r="B14" s="501" t="s">
        <v>212</v>
      </c>
      <c r="C14" s="502">
        <f t="shared" si="0"/>
        <v>3</v>
      </c>
      <c r="D14" s="502">
        <f t="shared" si="1"/>
        <v>11</v>
      </c>
      <c r="E14" s="559">
        <f t="shared" si="2"/>
        <v>2010</v>
      </c>
      <c r="F14" s="511">
        <f t="shared" si="3"/>
        <v>33.5</v>
      </c>
      <c r="G14" s="511">
        <f t="shared" si="4"/>
        <v>4.1875</v>
      </c>
    </row>
    <row r="15" spans="1:7" x14ac:dyDescent="0.25">
      <c r="A15" s="501" t="s">
        <v>224</v>
      </c>
      <c r="B15" s="501" t="s">
        <v>212</v>
      </c>
      <c r="C15" s="502">
        <f t="shared" si="0"/>
        <v>3</v>
      </c>
      <c r="D15" s="502">
        <f t="shared" si="1"/>
        <v>8</v>
      </c>
      <c r="E15" s="559">
        <f t="shared" si="2"/>
        <v>1500</v>
      </c>
      <c r="F15" s="511">
        <f t="shared" si="3"/>
        <v>25</v>
      </c>
      <c r="G15" s="511">
        <f t="shared" si="4"/>
        <v>3.125</v>
      </c>
    </row>
    <row r="16" spans="1:7" x14ac:dyDescent="0.25">
      <c r="A16" s="501" t="s">
        <v>229</v>
      </c>
      <c r="B16" s="501" t="s">
        <v>212</v>
      </c>
      <c r="C16" s="502">
        <f t="shared" si="0"/>
        <v>3</v>
      </c>
      <c r="D16" s="502">
        <f t="shared" si="1"/>
        <v>7</v>
      </c>
      <c r="E16" s="559">
        <f t="shared" si="2"/>
        <v>1125</v>
      </c>
      <c r="F16" s="511">
        <f t="shared" si="3"/>
        <v>18.75</v>
      </c>
      <c r="G16" s="511">
        <f t="shared" si="4"/>
        <v>2.34375</v>
      </c>
    </row>
    <row r="17" spans="1:7" x14ac:dyDescent="0.25">
      <c r="A17" s="501" t="s">
        <v>217</v>
      </c>
      <c r="B17" s="501" t="s">
        <v>219</v>
      </c>
      <c r="C17" s="502">
        <f t="shared" si="0"/>
        <v>3</v>
      </c>
      <c r="D17" s="502">
        <f t="shared" si="1"/>
        <v>26</v>
      </c>
      <c r="E17" s="559">
        <f t="shared" si="2"/>
        <v>2658</v>
      </c>
      <c r="F17" s="511">
        <f t="shared" si="3"/>
        <v>44.3</v>
      </c>
      <c r="G17" s="511">
        <f t="shared" si="4"/>
        <v>5.5374999999999996</v>
      </c>
    </row>
    <row r="18" spans="1:7" x14ac:dyDescent="0.25">
      <c r="A18" s="501" t="s">
        <v>871</v>
      </c>
      <c r="B18" s="501" t="s">
        <v>872</v>
      </c>
      <c r="C18" s="502">
        <f t="shared" si="0"/>
        <v>2</v>
      </c>
      <c r="D18" s="502">
        <f t="shared" si="1"/>
        <v>3</v>
      </c>
      <c r="E18" s="559">
        <f t="shared" si="2"/>
        <v>351</v>
      </c>
      <c r="F18" s="511">
        <f t="shared" si="3"/>
        <v>5.85</v>
      </c>
      <c r="G18" s="511">
        <f t="shared" si="4"/>
        <v>0.73124999999999996</v>
      </c>
    </row>
    <row r="19" spans="1:7" x14ac:dyDescent="0.25">
      <c r="A19" s="501" t="s">
        <v>1113</v>
      </c>
      <c r="B19" s="501" t="s">
        <v>872</v>
      </c>
      <c r="C19" s="502">
        <f t="shared" si="0"/>
        <v>7</v>
      </c>
      <c r="D19" s="502">
        <f t="shared" si="1"/>
        <v>33</v>
      </c>
      <c r="E19" s="559">
        <f t="shared" si="2"/>
        <v>12725</v>
      </c>
      <c r="F19" s="511">
        <f t="shared" si="3"/>
        <v>212.08333333333334</v>
      </c>
      <c r="G19" s="511">
        <f t="shared" si="4"/>
        <v>26.510416666666668</v>
      </c>
    </row>
    <row r="20" spans="1:7" x14ac:dyDescent="0.25">
      <c r="A20" s="501" t="s">
        <v>1153</v>
      </c>
      <c r="B20" s="501" t="s">
        <v>1155</v>
      </c>
      <c r="C20" s="502">
        <f t="shared" si="0"/>
        <v>2</v>
      </c>
      <c r="D20" s="502">
        <f t="shared" si="1"/>
        <v>4</v>
      </c>
      <c r="E20" s="559">
        <f t="shared" si="2"/>
        <v>1080</v>
      </c>
      <c r="F20" s="511">
        <f t="shared" si="3"/>
        <v>18</v>
      </c>
      <c r="G20" s="511">
        <f t="shared" si="4"/>
        <v>2.25</v>
      </c>
    </row>
    <row r="21" spans="1:7" x14ac:dyDescent="0.25">
      <c r="A21" s="501" t="s">
        <v>1219</v>
      </c>
      <c r="B21" s="501" t="s">
        <v>121</v>
      </c>
      <c r="C21" s="502">
        <f t="shared" si="0"/>
        <v>6</v>
      </c>
      <c r="D21" s="502">
        <f t="shared" si="1"/>
        <v>7</v>
      </c>
      <c r="E21" s="559">
        <f t="shared" si="2"/>
        <v>755</v>
      </c>
      <c r="F21" s="511">
        <f t="shared" si="3"/>
        <v>12.583333333333334</v>
      </c>
      <c r="G21" s="511">
        <f t="shared" si="4"/>
        <v>1.5729166666666667</v>
      </c>
    </row>
    <row r="22" spans="1:7" x14ac:dyDescent="0.25">
      <c r="A22" s="501" t="s">
        <v>1216</v>
      </c>
      <c r="B22" s="501" t="s">
        <v>121</v>
      </c>
      <c r="C22" s="502">
        <f t="shared" si="0"/>
        <v>74</v>
      </c>
      <c r="D22" s="502">
        <f t="shared" si="1"/>
        <v>74</v>
      </c>
      <c r="E22" s="559">
        <f t="shared" si="2"/>
        <v>15812</v>
      </c>
      <c r="F22" s="511">
        <f t="shared" si="3"/>
        <v>263.53333333333336</v>
      </c>
      <c r="G22" s="511">
        <f t="shared" si="4"/>
        <v>32.94166666666667</v>
      </c>
    </row>
    <row r="23" spans="1:7" x14ac:dyDescent="0.25">
      <c r="A23" s="501" t="s">
        <v>1221</v>
      </c>
      <c r="B23" s="501" t="s">
        <v>212</v>
      </c>
      <c r="C23" s="502">
        <f t="shared" si="0"/>
        <v>4</v>
      </c>
      <c r="D23" s="502">
        <f t="shared" si="1"/>
        <v>6</v>
      </c>
      <c r="E23" s="559">
        <f t="shared" si="2"/>
        <v>750</v>
      </c>
      <c r="F23" s="511">
        <f t="shared" si="3"/>
        <v>12.5</v>
      </c>
      <c r="G23" s="511">
        <f t="shared" si="4"/>
        <v>1.5625</v>
      </c>
    </row>
    <row r="24" spans="1:7" x14ac:dyDescent="0.25">
      <c r="A24" s="501" t="s">
        <v>1226</v>
      </c>
      <c r="B24" s="501" t="s">
        <v>872</v>
      </c>
      <c r="C24" s="502">
        <f t="shared" si="0"/>
        <v>5</v>
      </c>
      <c r="D24" s="502">
        <f t="shared" si="1"/>
        <v>16</v>
      </c>
      <c r="E24" s="559">
        <f t="shared" si="2"/>
        <v>2707</v>
      </c>
      <c r="F24" s="511">
        <f t="shared" si="3"/>
        <v>45.116666666666667</v>
      </c>
      <c r="G24" s="511">
        <f t="shared" si="4"/>
        <v>5.6395833333333334</v>
      </c>
    </row>
    <row r="25" spans="1:7" x14ac:dyDescent="0.25">
      <c r="A25" s="501" t="s">
        <v>1234</v>
      </c>
      <c r="B25" s="501" t="s">
        <v>159</v>
      </c>
      <c r="C25" s="502">
        <f t="shared" si="0"/>
        <v>25</v>
      </c>
      <c r="D25" s="502">
        <f t="shared" si="1"/>
        <v>333</v>
      </c>
      <c r="E25" s="559">
        <f t="shared" si="2"/>
        <v>43470</v>
      </c>
      <c r="F25" s="511">
        <f t="shared" si="3"/>
        <v>724.5</v>
      </c>
      <c r="G25" s="511">
        <f t="shared" si="4"/>
        <v>90.5625</v>
      </c>
    </row>
    <row r="26" spans="1:7" x14ac:dyDescent="0.25">
      <c r="A26" s="501" t="s">
        <v>1249</v>
      </c>
      <c r="B26" s="501" t="s">
        <v>1251</v>
      </c>
      <c r="C26" s="502">
        <f t="shared" si="0"/>
        <v>3</v>
      </c>
      <c r="D26" s="502">
        <f t="shared" si="1"/>
        <v>7</v>
      </c>
      <c r="E26" s="559">
        <f t="shared" si="2"/>
        <v>859</v>
      </c>
      <c r="F26" s="511">
        <f t="shared" si="3"/>
        <v>14.316666666666666</v>
      </c>
      <c r="G26" s="511">
        <f t="shared" si="4"/>
        <v>1.7895833333333333</v>
      </c>
    </row>
    <row r="27" spans="1:7" x14ac:dyDescent="0.25">
      <c r="A27" s="501" t="s">
        <v>1743</v>
      </c>
      <c r="B27" s="501" t="s">
        <v>121</v>
      </c>
      <c r="C27" s="502">
        <f t="shared" si="0"/>
        <v>21</v>
      </c>
      <c r="D27" s="502">
        <f t="shared" si="1"/>
        <v>106</v>
      </c>
      <c r="E27" s="559">
        <f t="shared" si="2"/>
        <v>12855</v>
      </c>
      <c r="F27" s="511">
        <f t="shared" si="3"/>
        <v>214.25</v>
      </c>
      <c r="G27" s="511">
        <f t="shared" si="4"/>
        <v>26.78125</v>
      </c>
    </row>
    <row r="28" spans="1:7" x14ac:dyDescent="0.25">
      <c r="A28" s="501" t="s">
        <v>1755</v>
      </c>
      <c r="B28" s="501" t="s">
        <v>1754</v>
      </c>
      <c r="C28" s="502">
        <f t="shared" si="0"/>
        <v>1</v>
      </c>
      <c r="D28" s="502">
        <f t="shared" si="1"/>
        <v>5</v>
      </c>
      <c r="E28" s="559">
        <f t="shared" si="2"/>
        <v>720</v>
      </c>
      <c r="F28" s="511">
        <f t="shared" si="3"/>
        <v>12</v>
      </c>
      <c r="G28" s="511">
        <f t="shared" si="4"/>
        <v>1.5</v>
      </c>
    </row>
    <row r="29" spans="1:7" x14ac:dyDescent="0.25">
      <c r="A29" s="501" t="s">
        <v>1746</v>
      </c>
      <c r="B29" s="501" t="s">
        <v>1748</v>
      </c>
      <c r="C29" s="502">
        <f t="shared" si="0"/>
        <v>3</v>
      </c>
      <c r="D29" s="502">
        <f t="shared" si="1"/>
        <v>18</v>
      </c>
      <c r="E29" s="559">
        <f t="shared" si="2"/>
        <v>1404</v>
      </c>
      <c r="F29" s="511">
        <f t="shared" si="3"/>
        <v>23.4</v>
      </c>
      <c r="G29" s="511">
        <f t="shared" si="4"/>
        <v>2.9249999999999998</v>
      </c>
    </row>
    <row r="30" spans="1:7" x14ac:dyDescent="0.25">
      <c r="A30" s="512" t="s">
        <v>1764</v>
      </c>
      <c r="B30" s="501" t="s">
        <v>1763</v>
      </c>
      <c r="C30" s="502">
        <f t="shared" si="0"/>
        <v>1</v>
      </c>
      <c r="D30" s="502">
        <f t="shared" si="1"/>
        <v>5</v>
      </c>
      <c r="E30" s="559">
        <f t="shared" si="2"/>
        <v>400</v>
      </c>
      <c r="F30" s="511">
        <f t="shared" si="3"/>
        <v>6.666666666666667</v>
      </c>
      <c r="G30" s="511">
        <f t="shared" si="4"/>
        <v>0.83333333333333337</v>
      </c>
    </row>
    <row r="31" spans="1:7" x14ac:dyDescent="0.25">
      <c r="A31" s="512" t="s">
        <v>1767</v>
      </c>
      <c r="B31" s="501" t="s">
        <v>188</v>
      </c>
      <c r="C31" s="502">
        <f t="shared" si="0"/>
        <v>1</v>
      </c>
      <c r="D31" s="502">
        <f t="shared" si="1"/>
        <v>1</v>
      </c>
      <c r="E31" s="559">
        <f t="shared" si="2"/>
        <v>660</v>
      </c>
      <c r="F31" s="511">
        <f t="shared" si="3"/>
        <v>11</v>
      </c>
      <c r="G31" s="511">
        <f t="shared" si="4"/>
        <v>1.375</v>
      </c>
    </row>
    <row r="32" spans="1:7" x14ac:dyDescent="0.25">
      <c r="A32" s="501" t="s">
        <v>1775</v>
      </c>
      <c r="B32" s="501" t="s">
        <v>1777</v>
      </c>
      <c r="C32" s="502">
        <f t="shared" si="0"/>
        <v>6</v>
      </c>
      <c r="D32" s="502">
        <f t="shared" si="1"/>
        <v>19</v>
      </c>
      <c r="E32" s="559">
        <f t="shared" si="2"/>
        <v>4442</v>
      </c>
      <c r="F32" s="511">
        <f t="shared" si="3"/>
        <v>74.033333333333331</v>
      </c>
      <c r="G32" s="511">
        <f t="shared" si="4"/>
        <v>9.2541666666666664</v>
      </c>
    </row>
    <row r="33" spans="1:11" x14ac:dyDescent="0.25">
      <c r="A33" s="501" t="s">
        <v>1779</v>
      </c>
      <c r="B33" s="501" t="s">
        <v>1782</v>
      </c>
      <c r="C33" s="502">
        <f t="shared" si="0"/>
        <v>3</v>
      </c>
      <c r="D33" s="502">
        <f t="shared" si="1"/>
        <v>10</v>
      </c>
      <c r="E33" s="559">
        <f t="shared" si="2"/>
        <v>2356</v>
      </c>
      <c r="F33" s="511">
        <f t="shared" si="3"/>
        <v>39.266666666666666</v>
      </c>
      <c r="G33" s="511">
        <f t="shared" si="4"/>
        <v>4.9083333333333332</v>
      </c>
    </row>
    <row r="34" spans="1:11" x14ac:dyDescent="0.25">
      <c r="A34" s="501" t="s">
        <v>1785</v>
      </c>
      <c r="B34" s="501" t="s">
        <v>121</v>
      </c>
      <c r="C34" s="502">
        <f t="shared" si="0"/>
        <v>9</v>
      </c>
      <c r="D34" s="502">
        <f t="shared" si="1"/>
        <v>18</v>
      </c>
      <c r="E34" s="559">
        <f t="shared" si="2"/>
        <v>2015</v>
      </c>
      <c r="F34" s="511">
        <f t="shared" si="3"/>
        <v>33.583333333333336</v>
      </c>
      <c r="G34" s="511">
        <f t="shared" si="4"/>
        <v>4.197916666666667</v>
      </c>
      <c r="H34" s="502"/>
      <c r="I34" s="502"/>
      <c r="J34" s="502"/>
      <c r="K34" s="513"/>
    </row>
    <row r="35" spans="1:11" x14ac:dyDescent="0.25">
      <c r="A35" s="501" t="s">
        <v>1791</v>
      </c>
      <c r="B35" s="501" t="s">
        <v>872</v>
      </c>
      <c r="C35" s="502">
        <f t="shared" si="0"/>
        <v>10</v>
      </c>
      <c r="D35" s="502">
        <f t="shared" si="1"/>
        <v>17</v>
      </c>
      <c r="E35" s="559">
        <f t="shared" si="2"/>
        <v>1590</v>
      </c>
      <c r="F35" s="511">
        <f t="shared" si="3"/>
        <v>26.5</v>
      </c>
      <c r="G35" s="511">
        <f t="shared" si="4"/>
        <v>3.3125</v>
      </c>
      <c r="H35" s="502"/>
      <c r="I35" s="502"/>
      <c r="J35" s="502"/>
      <c r="K35" s="513"/>
    </row>
    <row r="36" spans="1:11" x14ac:dyDescent="0.25">
      <c r="A36" s="501" t="s">
        <v>1807</v>
      </c>
      <c r="B36" s="501" t="s">
        <v>1806</v>
      </c>
      <c r="C36" s="502">
        <f t="shared" si="0"/>
        <v>22</v>
      </c>
      <c r="D36" s="502">
        <f t="shared" si="1"/>
        <v>159</v>
      </c>
      <c r="E36" s="559">
        <f t="shared" si="2"/>
        <v>34115</v>
      </c>
      <c r="F36" s="511">
        <f t="shared" si="3"/>
        <v>568.58333333333337</v>
      </c>
      <c r="G36" s="511">
        <f t="shared" si="4"/>
        <v>71.072916666666671</v>
      </c>
      <c r="H36" s="502"/>
      <c r="I36" s="502"/>
      <c r="J36" s="502"/>
      <c r="K36" s="513"/>
    </row>
    <row r="37" spans="1:11" x14ac:dyDescent="0.25">
      <c r="A37" s="501"/>
      <c r="B37" s="501"/>
      <c r="C37" s="502"/>
      <c r="D37" s="502"/>
      <c r="E37" s="560"/>
      <c r="F37" s="511"/>
      <c r="G37" s="511"/>
      <c r="H37" s="502"/>
      <c r="I37" s="502"/>
      <c r="J37" s="502"/>
      <c r="K37" s="513"/>
    </row>
    <row r="38" spans="1:11" ht="13" x14ac:dyDescent="0.25">
      <c r="A38" s="500" t="s">
        <v>1557</v>
      </c>
      <c r="B38" s="500"/>
      <c r="C38" s="557">
        <f>SUM(C5:C37)</f>
        <v>348</v>
      </c>
      <c r="D38" s="557">
        <f t="shared" ref="D38:G38" si="5">SUM(D5:D37)</f>
        <v>1438</v>
      </c>
      <c r="E38" s="557">
        <f t="shared" si="5"/>
        <v>246253</v>
      </c>
      <c r="F38" s="558">
        <f t="shared" si="5"/>
        <v>4104.2166666666672</v>
      </c>
      <c r="G38" s="558">
        <f t="shared" si="5"/>
        <v>513.02708333333339</v>
      </c>
      <c r="H38" s="502"/>
      <c r="I38" s="502"/>
      <c r="J38" s="502"/>
      <c r="K38" s="513"/>
    </row>
    <row r="39" spans="1:11" x14ac:dyDescent="0.25">
      <c r="A39" s="501"/>
      <c r="B39" s="501"/>
      <c r="C39" s="501"/>
      <c r="D39" s="501"/>
      <c r="E39" s="501"/>
      <c r="F39" s="502"/>
      <c r="G39" s="502"/>
      <c r="H39" s="502"/>
      <c r="I39" s="502"/>
      <c r="J39" s="502"/>
      <c r="K39" s="513"/>
    </row>
    <row r="40" spans="1:11" ht="26" x14ac:dyDescent="0.25">
      <c r="A40" s="500" t="s">
        <v>1558</v>
      </c>
      <c r="B40" s="501"/>
      <c r="C40" s="502"/>
      <c r="D40" s="502"/>
      <c r="E40" s="502"/>
      <c r="F40" s="511"/>
      <c r="G40" s="511"/>
    </row>
    <row r="41" spans="1:11" ht="26" x14ac:dyDescent="0.25">
      <c r="A41" s="500" t="s">
        <v>77</v>
      </c>
      <c r="B41" s="500" t="s">
        <v>1551</v>
      </c>
      <c r="C41" s="500" t="s">
        <v>1559</v>
      </c>
      <c r="D41" s="500" t="s">
        <v>1560</v>
      </c>
      <c r="E41" s="500" t="s">
        <v>1519</v>
      </c>
      <c r="F41" s="500" t="s">
        <v>1561</v>
      </c>
      <c r="G41" s="500" t="s">
        <v>276</v>
      </c>
      <c r="H41" s="500" t="s">
        <v>1562</v>
      </c>
      <c r="I41" s="500" t="s">
        <v>1563</v>
      </c>
      <c r="J41" s="500" t="s">
        <v>1564</v>
      </c>
      <c r="K41" s="500" t="s">
        <v>1565</v>
      </c>
    </row>
    <row r="42" spans="1:11" x14ac:dyDescent="0.25">
      <c r="A42" s="501" t="s">
        <v>75</v>
      </c>
      <c r="B42" s="501" t="s">
        <v>76</v>
      </c>
      <c r="C42" s="502" t="s">
        <v>1566</v>
      </c>
      <c r="D42" s="502" t="s">
        <v>1529</v>
      </c>
      <c r="E42" s="502" t="s">
        <v>1530</v>
      </c>
      <c r="F42" s="511" t="s">
        <v>80</v>
      </c>
      <c r="G42" s="556">
        <v>150</v>
      </c>
      <c r="H42" s="502">
        <v>2</v>
      </c>
      <c r="I42" s="502">
        <f>ROUND(SUMIFS('Capacity Summary'!$J:$J,'Capacity Summary'!$B:$B,E42,'Capacity Summary'!$C:$C,F42,'Capacity Summary'!$D:$D,G42),0)</f>
        <v>290</v>
      </c>
      <c r="J42" s="502">
        <f t="shared" ref="J42:J105" si="6">H42*I42</f>
        <v>580</v>
      </c>
      <c r="K42" s="513">
        <f t="shared" ref="K42:K105" si="7">J42/60</f>
        <v>9.6666666666666661</v>
      </c>
    </row>
    <row r="43" spans="1:11" x14ac:dyDescent="0.25">
      <c r="A43" s="501" t="s">
        <v>75</v>
      </c>
      <c r="B43" s="501" t="s">
        <v>76</v>
      </c>
      <c r="C43" s="502" t="s">
        <v>1567</v>
      </c>
      <c r="D43" s="502" t="s">
        <v>1529</v>
      </c>
      <c r="E43" s="502" t="s">
        <v>1530</v>
      </c>
      <c r="F43" s="511" t="s">
        <v>82</v>
      </c>
      <c r="G43" s="556">
        <v>150</v>
      </c>
      <c r="H43" s="502">
        <v>4</v>
      </c>
      <c r="I43" s="502">
        <f>ROUND(SUMIFS('Capacity Summary'!$J:$J,'Capacity Summary'!$B:$B,E43,'Capacity Summary'!$C:$C,F43,'Capacity Summary'!$D:$D,G43),0)</f>
        <v>185</v>
      </c>
      <c r="J43" s="502">
        <f t="shared" si="6"/>
        <v>740</v>
      </c>
      <c r="K43" s="513">
        <f t="shared" si="7"/>
        <v>12.333333333333334</v>
      </c>
    </row>
    <row r="44" spans="1:11" x14ac:dyDescent="0.25">
      <c r="A44" s="501" t="s">
        <v>75</v>
      </c>
      <c r="B44" s="501" t="s">
        <v>76</v>
      </c>
      <c r="C44" s="502" t="s">
        <v>1568</v>
      </c>
      <c r="D44" s="502" t="s">
        <v>1529</v>
      </c>
      <c r="E44" s="502" t="s">
        <v>1530</v>
      </c>
      <c r="F44" s="511" t="s">
        <v>84</v>
      </c>
      <c r="G44" s="556">
        <v>150</v>
      </c>
      <c r="H44" s="502">
        <v>2</v>
      </c>
      <c r="I44" s="502">
        <f>ROUND(SUMIFS('Capacity Summary'!$J:$J,'Capacity Summary'!$B:$B,E44,'Capacity Summary'!$C:$C,F44,'Capacity Summary'!$D:$D,G44),0)</f>
        <v>130</v>
      </c>
      <c r="J44" s="502">
        <f t="shared" si="6"/>
        <v>260</v>
      </c>
      <c r="K44" s="513">
        <f t="shared" si="7"/>
        <v>4.333333333333333</v>
      </c>
    </row>
    <row r="45" spans="1:11" x14ac:dyDescent="0.25">
      <c r="A45" s="501" t="s">
        <v>75</v>
      </c>
      <c r="B45" s="501" t="s">
        <v>76</v>
      </c>
      <c r="C45" s="502" t="s">
        <v>1569</v>
      </c>
      <c r="D45" s="502" t="s">
        <v>1529</v>
      </c>
      <c r="E45" s="502" t="s">
        <v>1530</v>
      </c>
      <c r="F45" s="511" t="s">
        <v>1405</v>
      </c>
      <c r="G45" s="556">
        <v>150</v>
      </c>
      <c r="H45" s="502">
        <v>10</v>
      </c>
      <c r="I45" s="502">
        <f>ROUND(SUMIFS('Capacity Summary'!$J:$J,'Capacity Summary'!$B:$B,E45,'Capacity Summary'!$C:$C,F45,'Capacity Summary'!$D:$D,G45),0)</f>
        <v>120</v>
      </c>
      <c r="J45" s="502">
        <f t="shared" si="6"/>
        <v>1200</v>
      </c>
      <c r="K45" s="513">
        <f t="shared" si="7"/>
        <v>20</v>
      </c>
    </row>
    <row r="46" spans="1:11" x14ac:dyDescent="0.25">
      <c r="A46" s="501" t="s">
        <v>75</v>
      </c>
      <c r="B46" s="501" t="s">
        <v>76</v>
      </c>
      <c r="C46" s="502" t="s">
        <v>1570</v>
      </c>
      <c r="D46" s="502" t="s">
        <v>1529</v>
      </c>
      <c r="E46" s="502" t="s">
        <v>1530</v>
      </c>
      <c r="F46" s="511" t="s">
        <v>86</v>
      </c>
      <c r="G46" s="556">
        <v>150</v>
      </c>
      <c r="H46" s="502">
        <v>14</v>
      </c>
      <c r="I46" s="502">
        <f>ROUND(SUMIFS('Capacity Summary'!$J:$J,'Capacity Summary'!$B:$B,E46,'Capacity Summary'!$C:$C,F46,'Capacity Summary'!$D:$D,G46),0)</f>
        <v>115</v>
      </c>
      <c r="J46" s="502">
        <f t="shared" si="6"/>
        <v>1610</v>
      </c>
      <c r="K46" s="513">
        <f t="shared" si="7"/>
        <v>26.833333333333332</v>
      </c>
    </row>
    <row r="47" spans="1:11" x14ac:dyDescent="0.25">
      <c r="A47" s="501" t="s">
        <v>75</v>
      </c>
      <c r="B47" s="501" t="s">
        <v>76</v>
      </c>
      <c r="C47" s="502" t="s">
        <v>1571</v>
      </c>
      <c r="D47" s="502" t="s">
        <v>1529</v>
      </c>
      <c r="E47" s="502" t="s">
        <v>1530</v>
      </c>
      <c r="F47" s="511" t="s">
        <v>88</v>
      </c>
      <c r="G47" s="556">
        <v>800</v>
      </c>
      <c r="H47" s="502">
        <v>19</v>
      </c>
      <c r="I47" s="502">
        <f>ROUND(SUMIFS('Capacity Summary'!$J:$J,'Capacity Summary'!$B:$B,E47,'Capacity Summary'!$C:$C,F47,'Capacity Summary'!$D:$D,G47),0)</f>
        <v>80</v>
      </c>
      <c r="J47" s="502">
        <f t="shared" si="6"/>
        <v>1520</v>
      </c>
      <c r="K47" s="513">
        <f t="shared" si="7"/>
        <v>25.333333333333332</v>
      </c>
    </row>
    <row r="48" spans="1:11" x14ac:dyDescent="0.25">
      <c r="A48" s="501" t="s">
        <v>75</v>
      </c>
      <c r="B48" s="501" t="s">
        <v>76</v>
      </c>
      <c r="C48" s="502" t="s">
        <v>1572</v>
      </c>
      <c r="D48" s="502" t="s">
        <v>1529</v>
      </c>
      <c r="E48" s="502" t="s">
        <v>1530</v>
      </c>
      <c r="F48" s="511" t="s">
        <v>89</v>
      </c>
      <c r="G48" s="556">
        <v>800</v>
      </c>
      <c r="H48" s="502">
        <v>12</v>
      </c>
      <c r="I48" s="502">
        <f>ROUND(SUMIFS('Capacity Summary'!$J:$J,'Capacity Summary'!$B:$B,E48,'Capacity Summary'!$C:$C,F48,'Capacity Summary'!$D:$D,G48),0)</f>
        <v>80</v>
      </c>
      <c r="J48" s="502">
        <f t="shared" si="6"/>
        <v>960</v>
      </c>
      <c r="K48" s="513">
        <f t="shared" si="7"/>
        <v>16</v>
      </c>
    </row>
    <row r="49" spans="1:11" x14ac:dyDescent="0.25">
      <c r="A49" s="501" t="s">
        <v>75</v>
      </c>
      <c r="B49" s="501" t="s">
        <v>76</v>
      </c>
      <c r="C49" s="502" t="s">
        <v>1573</v>
      </c>
      <c r="D49" s="502" t="s">
        <v>1534</v>
      </c>
      <c r="E49" s="502" t="s">
        <v>1535</v>
      </c>
      <c r="F49" s="511" t="s">
        <v>82</v>
      </c>
      <c r="G49" s="556">
        <v>150</v>
      </c>
      <c r="H49" s="502">
        <v>6</v>
      </c>
      <c r="I49" s="502">
        <f>ROUND(SUMIFS('Capacity Summary'!$J:$J,'Capacity Summary'!$B:$B,E49,'Capacity Summary'!$C:$C,F49,'Capacity Summary'!$D:$D,G49),0)</f>
        <v>285</v>
      </c>
      <c r="J49" s="502">
        <f t="shared" si="6"/>
        <v>1710</v>
      </c>
      <c r="K49" s="513">
        <f t="shared" si="7"/>
        <v>28.5</v>
      </c>
    </row>
    <row r="50" spans="1:11" x14ac:dyDescent="0.25">
      <c r="A50" s="501" t="s">
        <v>75</v>
      </c>
      <c r="B50" s="501" t="s">
        <v>76</v>
      </c>
      <c r="C50" s="502" t="s">
        <v>1574</v>
      </c>
      <c r="D50" s="502" t="s">
        <v>1534</v>
      </c>
      <c r="E50" s="502" t="s">
        <v>1535</v>
      </c>
      <c r="F50" s="511" t="s">
        <v>84</v>
      </c>
      <c r="G50" s="556">
        <v>150</v>
      </c>
      <c r="H50" s="502">
        <v>8</v>
      </c>
      <c r="I50" s="502">
        <f>ROUND(SUMIFS('Capacity Summary'!$J:$J,'Capacity Summary'!$B:$B,E50,'Capacity Summary'!$C:$C,F50,'Capacity Summary'!$D:$D,G50),0)</f>
        <v>235</v>
      </c>
      <c r="J50" s="502">
        <f t="shared" si="6"/>
        <v>1880</v>
      </c>
      <c r="K50" s="513">
        <f t="shared" si="7"/>
        <v>31.333333333333332</v>
      </c>
    </row>
    <row r="51" spans="1:11" x14ac:dyDescent="0.25">
      <c r="A51" s="501" t="s">
        <v>75</v>
      </c>
      <c r="B51" s="501" t="s">
        <v>76</v>
      </c>
      <c r="C51" s="502" t="s">
        <v>1575</v>
      </c>
      <c r="D51" s="502" t="s">
        <v>1534</v>
      </c>
      <c r="E51" s="502" t="s">
        <v>1535</v>
      </c>
      <c r="F51" s="511" t="s">
        <v>86</v>
      </c>
      <c r="G51" s="556">
        <v>150</v>
      </c>
      <c r="H51" s="502">
        <v>1</v>
      </c>
      <c r="I51" s="502">
        <f>ROUND(SUMIFS('Capacity Summary'!$J:$J,'Capacity Summary'!$B:$B,E51,'Capacity Summary'!$C:$C,F51,'Capacity Summary'!$D:$D,G51),0)</f>
        <v>140</v>
      </c>
      <c r="J51" s="502">
        <f t="shared" si="6"/>
        <v>140</v>
      </c>
      <c r="K51" s="513">
        <f t="shared" si="7"/>
        <v>2.3333333333333335</v>
      </c>
    </row>
    <row r="52" spans="1:11" x14ac:dyDescent="0.25">
      <c r="A52" s="501" t="s">
        <v>75</v>
      </c>
      <c r="B52" s="501" t="s">
        <v>76</v>
      </c>
      <c r="C52" s="502" t="s">
        <v>1576</v>
      </c>
      <c r="D52" s="502" t="s">
        <v>1536</v>
      </c>
      <c r="E52" s="502" t="s">
        <v>1537</v>
      </c>
      <c r="F52" s="511" t="s">
        <v>82</v>
      </c>
      <c r="G52" s="556">
        <v>150</v>
      </c>
      <c r="H52" s="502">
        <v>3</v>
      </c>
      <c r="I52" s="502">
        <f>ROUND(SUMIFS('Capacity Summary'!$J:$J,'Capacity Summary'!$B:$B,E52,'Capacity Summary'!$C:$C,F52,'Capacity Summary'!$D:$D,G52),0)</f>
        <v>270</v>
      </c>
      <c r="J52" s="502">
        <f t="shared" si="6"/>
        <v>810</v>
      </c>
      <c r="K52" s="513">
        <f t="shared" si="7"/>
        <v>13.5</v>
      </c>
    </row>
    <row r="53" spans="1:11" x14ac:dyDescent="0.25">
      <c r="A53" s="501" t="s">
        <v>75</v>
      </c>
      <c r="B53" s="501" t="s">
        <v>76</v>
      </c>
      <c r="C53" s="502" t="s">
        <v>1577</v>
      </c>
      <c r="D53" s="502" t="s">
        <v>1536</v>
      </c>
      <c r="E53" s="502" t="s">
        <v>1537</v>
      </c>
      <c r="F53" s="511" t="s">
        <v>84</v>
      </c>
      <c r="G53" s="556">
        <v>150</v>
      </c>
      <c r="H53" s="502">
        <v>2</v>
      </c>
      <c r="I53" s="502">
        <f>ROUND(SUMIFS('Capacity Summary'!$J:$J,'Capacity Summary'!$B:$B,E53,'Capacity Summary'!$C:$C,F53,'Capacity Summary'!$D:$D,G53),0)</f>
        <v>220</v>
      </c>
      <c r="J53" s="502">
        <f t="shared" si="6"/>
        <v>440</v>
      </c>
      <c r="K53" s="513">
        <f t="shared" si="7"/>
        <v>7.333333333333333</v>
      </c>
    </row>
    <row r="54" spans="1:11" x14ac:dyDescent="0.25">
      <c r="A54" s="501" t="s">
        <v>75</v>
      </c>
      <c r="B54" s="501" t="s">
        <v>76</v>
      </c>
      <c r="C54" s="502" t="s">
        <v>1578</v>
      </c>
      <c r="D54" s="502" t="s">
        <v>1538</v>
      </c>
      <c r="E54" s="502" t="s">
        <v>1539</v>
      </c>
      <c r="F54" s="511" t="s">
        <v>82</v>
      </c>
      <c r="G54" s="556">
        <v>150</v>
      </c>
      <c r="H54" s="502">
        <v>2</v>
      </c>
      <c r="I54" s="502">
        <f>ROUND(SUMIFS('Capacity Summary'!$J:$J,'Capacity Summary'!$B:$B,E54,'Capacity Summary'!$C:$C,F54,'Capacity Summary'!$D:$D,G54),0)</f>
        <v>170</v>
      </c>
      <c r="J54" s="502">
        <f t="shared" si="6"/>
        <v>340</v>
      </c>
      <c r="K54" s="513">
        <f t="shared" si="7"/>
        <v>5.666666666666667</v>
      </c>
    </row>
    <row r="55" spans="1:11" x14ac:dyDescent="0.25">
      <c r="A55" s="501" t="s">
        <v>75</v>
      </c>
      <c r="B55" s="501" t="s">
        <v>76</v>
      </c>
      <c r="C55" s="502" t="s">
        <v>1579</v>
      </c>
      <c r="D55" s="502" t="s">
        <v>1538</v>
      </c>
      <c r="E55" s="502" t="s">
        <v>1539</v>
      </c>
      <c r="F55" s="511" t="s">
        <v>84</v>
      </c>
      <c r="G55" s="556">
        <v>150</v>
      </c>
      <c r="H55" s="502">
        <v>1</v>
      </c>
      <c r="I55" s="502">
        <f>ROUND(SUMIFS('Capacity Summary'!$J:$J,'Capacity Summary'!$B:$B,E55,'Capacity Summary'!$C:$C,F55,'Capacity Summary'!$D:$D,G55),0)</f>
        <v>125</v>
      </c>
      <c r="J55" s="502">
        <f t="shared" si="6"/>
        <v>125</v>
      </c>
      <c r="K55" s="513">
        <f t="shared" si="7"/>
        <v>2.0833333333333335</v>
      </c>
    </row>
    <row r="56" spans="1:11" x14ac:dyDescent="0.25">
      <c r="A56" s="501" t="s">
        <v>75</v>
      </c>
      <c r="B56" s="501" t="s">
        <v>76</v>
      </c>
      <c r="C56" s="502" t="s">
        <v>1580</v>
      </c>
      <c r="D56" s="502" t="s">
        <v>1547</v>
      </c>
      <c r="E56" s="502" t="s">
        <v>1549</v>
      </c>
      <c r="F56" s="511" t="s">
        <v>82</v>
      </c>
      <c r="G56" s="556">
        <v>150</v>
      </c>
      <c r="H56" s="502">
        <v>1</v>
      </c>
      <c r="I56" s="502">
        <f>ROUND(SUMIFS('Capacity Summary'!$J:$J,'Capacity Summary'!$B:$B,E56,'Capacity Summary'!$C:$C,F56,'Capacity Summary'!$D:$D,G56),0)</f>
        <v>140</v>
      </c>
      <c r="J56" s="502">
        <f t="shared" si="6"/>
        <v>140</v>
      </c>
      <c r="K56" s="513">
        <f t="shared" si="7"/>
        <v>2.3333333333333335</v>
      </c>
    </row>
    <row r="57" spans="1:11" x14ac:dyDescent="0.25">
      <c r="A57" s="501" t="s">
        <v>75</v>
      </c>
      <c r="B57" s="501" t="s">
        <v>76</v>
      </c>
      <c r="C57" s="502" t="s">
        <v>1581</v>
      </c>
      <c r="D57" s="502" t="s">
        <v>1547</v>
      </c>
      <c r="E57" s="502" t="s">
        <v>1549</v>
      </c>
      <c r="F57" s="511" t="s">
        <v>84</v>
      </c>
      <c r="G57" s="556">
        <v>150</v>
      </c>
      <c r="H57" s="502">
        <v>1</v>
      </c>
      <c r="I57" s="502">
        <f>ROUND(SUMIFS('Capacity Summary'!$J:$J,'Capacity Summary'!$B:$B,E57,'Capacity Summary'!$C:$C,F57,'Capacity Summary'!$D:$D,G57),0)</f>
        <v>97</v>
      </c>
      <c r="J57" s="502">
        <f t="shared" si="6"/>
        <v>97</v>
      </c>
      <c r="K57" s="513">
        <f t="shared" si="7"/>
        <v>1.6166666666666667</v>
      </c>
    </row>
    <row r="58" spans="1:11" x14ac:dyDescent="0.25">
      <c r="A58" s="501" t="s">
        <v>1825</v>
      </c>
      <c r="B58" s="501" t="s">
        <v>121</v>
      </c>
      <c r="C58" s="502" t="s">
        <v>1571</v>
      </c>
      <c r="D58" s="502" t="s">
        <v>1529</v>
      </c>
      <c r="E58" s="502" t="s">
        <v>1530</v>
      </c>
      <c r="F58" s="511" t="s">
        <v>88</v>
      </c>
      <c r="G58" s="556">
        <v>800</v>
      </c>
      <c r="H58" s="502">
        <v>6</v>
      </c>
      <c r="I58" s="502">
        <f>ROUND(SUMIFS('Capacity Summary'!$J:$J,'Capacity Summary'!$B:$B,E58,'Capacity Summary'!$C:$C,F58,'Capacity Summary'!$D:$D,G58),0)</f>
        <v>80</v>
      </c>
      <c r="J58" s="502">
        <f t="shared" si="6"/>
        <v>480</v>
      </c>
      <c r="K58" s="513">
        <f t="shared" si="7"/>
        <v>8</v>
      </c>
    </row>
    <row r="59" spans="1:11" x14ac:dyDescent="0.25">
      <c r="A59" s="501" t="s">
        <v>1825</v>
      </c>
      <c r="B59" s="501" t="s">
        <v>121</v>
      </c>
      <c r="C59" s="502" t="s">
        <v>1571</v>
      </c>
      <c r="D59" s="502" t="s">
        <v>1529</v>
      </c>
      <c r="E59" s="502" t="s">
        <v>1530</v>
      </c>
      <c r="F59" s="511" t="s">
        <v>88</v>
      </c>
      <c r="G59" s="556">
        <v>800</v>
      </c>
      <c r="H59" s="502">
        <v>7</v>
      </c>
      <c r="I59" s="502">
        <f>ROUND(SUMIFS('Capacity Summary'!$J:$J,'Capacity Summary'!$B:$B,E59,'Capacity Summary'!$C:$C,F59,'Capacity Summary'!$D:$D,G59),0)</f>
        <v>80</v>
      </c>
      <c r="J59" s="502">
        <f t="shared" si="6"/>
        <v>560</v>
      </c>
      <c r="K59" s="513">
        <f t="shared" si="7"/>
        <v>9.3333333333333339</v>
      </c>
    </row>
    <row r="60" spans="1:11" x14ac:dyDescent="0.25">
      <c r="A60" s="501" t="s">
        <v>1825</v>
      </c>
      <c r="B60" s="501" t="s">
        <v>121</v>
      </c>
      <c r="C60" s="502" t="s">
        <v>1582</v>
      </c>
      <c r="D60" s="502" t="s">
        <v>1534</v>
      </c>
      <c r="E60" s="502" t="s">
        <v>1535</v>
      </c>
      <c r="F60" s="511" t="s">
        <v>1403</v>
      </c>
      <c r="G60" s="556">
        <v>800</v>
      </c>
      <c r="H60" s="502">
        <v>3</v>
      </c>
      <c r="I60" s="502">
        <f>ROUND(SUMIFS('Capacity Summary'!$J:$J,'Capacity Summary'!$B:$B,E60,'Capacity Summary'!$C:$C,F60,'Capacity Summary'!$D:$D,G60),0)</f>
        <v>75</v>
      </c>
      <c r="J60" s="502">
        <f t="shared" si="6"/>
        <v>225</v>
      </c>
      <c r="K60" s="513">
        <f t="shared" si="7"/>
        <v>3.75</v>
      </c>
    </row>
    <row r="61" spans="1:11" x14ac:dyDescent="0.25">
      <c r="A61" s="501" t="s">
        <v>1825</v>
      </c>
      <c r="B61" s="501" t="s">
        <v>121</v>
      </c>
      <c r="C61" s="502" t="s">
        <v>1571</v>
      </c>
      <c r="D61" s="502" t="s">
        <v>1529</v>
      </c>
      <c r="E61" s="502" t="s">
        <v>1530</v>
      </c>
      <c r="F61" s="511" t="s">
        <v>88</v>
      </c>
      <c r="G61" s="556">
        <v>800</v>
      </c>
      <c r="H61" s="502">
        <v>3</v>
      </c>
      <c r="I61" s="502">
        <f>ROUND(SUMIFS('Capacity Summary'!$J:$J,'Capacity Summary'!$B:$B,E61,'Capacity Summary'!$C:$C,F61,'Capacity Summary'!$D:$D,G61),0)</f>
        <v>80</v>
      </c>
      <c r="J61" s="502">
        <f t="shared" si="6"/>
        <v>240</v>
      </c>
      <c r="K61" s="513">
        <f t="shared" si="7"/>
        <v>4</v>
      </c>
    </row>
    <row r="62" spans="1:11" x14ac:dyDescent="0.25">
      <c r="A62" s="501" t="s">
        <v>1825</v>
      </c>
      <c r="B62" s="501" t="s">
        <v>121</v>
      </c>
      <c r="C62" s="502" t="s">
        <v>1571</v>
      </c>
      <c r="D62" s="502" t="s">
        <v>1529</v>
      </c>
      <c r="E62" s="502" t="s">
        <v>1530</v>
      </c>
      <c r="F62" s="511" t="s">
        <v>88</v>
      </c>
      <c r="G62" s="556">
        <v>800</v>
      </c>
      <c r="H62" s="502">
        <v>8</v>
      </c>
      <c r="I62" s="502">
        <f>ROUND(SUMIFS('Capacity Summary'!$J:$J,'Capacity Summary'!$B:$B,E62,'Capacity Summary'!$C:$C,F62,'Capacity Summary'!$D:$D,G62),0)</f>
        <v>80</v>
      </c>
      <c r="J62" s="502">
        <f t="shared" si="6"/>
        <v>640</v>
      </c>
      <c r="K62" s="513">
        <f t="shared" si="7"/>
        <v>10.666666666666666</v>
      </c>
    </row>
    <row r="63" spans="1:11" x14ac:dyDescent="0.25">
      <c r="A63" s="501" t="s">
        <v>1825</v>
      </c>
      <c r="B63" s="501" t="s">
        <v>121</v>
      </c>
      <c r="C63" s="502" t="s">
        <v>1583</v>
      </c>
      <c r="D63" s="502" t="s">
        <v>1529</v>
      </c>
      <c r="E63" s="502" t="s">
        <v>1530</v>
      </c>
      <c r="F63" s="511" t="s">
        <v>88</v>
      </c>
      <c r="G63" s="556">
        <v>800</v>
      </c>
      <c r="H63" s="502">
        <v>4</v>
      </c>
      <c r="I63" s="502">
        <f>ROUND(SUMIFS('Capacity Summary'!$J:$J,'Capacity Summary'!$B:$B,E63,'Capacity Summary'!$C:$C,F63,'Capacity Summary'!$D:$D,G63),0)</f>
        <v>80</v>
      </c>
      <c r="J63" s="502">
        <f t="shared" si="6"/>
        <v>320</v>
      </c>
      <c r="K63" s="513">
        <f t="shared" si="7"/>
        <v>5.333333333333333</v>
      </c>
    </row>
    <row r="64" spans="1:11" x14ac:dyDescent="0.25">
      <c r="A64" s="501" t="s">
        <v>1825</v>
      </c>
      <c r="B64" s="501" t="s">
        <v>121</v>
      </c>
      <c r="C64" s="502" t="s">
        <v>1583</v>
      </c>
      <c r="D64" s="502" t="s">
        <v>1529</v>
      </c>
      <c r="E64" s="502" t="s">
        <v>1530</v>
      </c>
      <c r="F64" s="511" t="s">
        <v>88</v>
      </c>
      <c r="G64" s="556">
        <v>800</v>
      </c>
      <c r="H64" s="502">
        <v>11</v>
      </c>
      <c r="I64" s="502">
        <f>ROUND(SUMIFS('Capacity Summary'!$J:$J,'Capacity Summary'!$B:$B,E64,'Capacity Summary'!$C:$C,F64,'Capacity Summary'!$D:$D,G64),0)</f>
        <v>80</v>
      </c>
      <c r="J64" s="502">
        <f t="shared" si="6"/>
        <v>880</v>
      </c>
      <c r="K64" s="513">
        <f t="shared" si="7"/>
        <v>14.666666666666666</v>
      </c>
    </row>
    <row r="65" spans="1:11" x14ac:dyDescent="0.25">
      <c r="A65" s="501" t="s">
        <v>1825</v>
      </c>
      <c r="B65" s="501" t="s">
        <v>121</v>
      </c>
      <c r="C65" s="502" t="s">
        <v>1584</v>
      </c>
      <c r="D65" s="502" t="s">
        <v>1534</v>
      </c>
      <c r="E65" s="502" t="s">
        <v>1535</v>
      </c>
      <c r="F65" s="511" t="s">
        <v>1403</v>
      </c>
      <c r="G65" s="556">
        <v>800</v>
      </c>
      <c r="H65" s="502">
        <v>2</v>
      </c>
      <c r="I65" s="502">
        <f>ROUND(SUMIFS('Capacity Summary'!$J:$J,'Capacity Summary'!$B:$B,E65,'Capacity Summary'!$C:$C,F65,'Capacity Summary'!$D:$D,G65),0)</f>
        <v>75</v>
      </c>
      <c r="J65" s="502">
        <f t="shared" si="6"/>
        <v>150</v>
      </c>
      <c r="K65" s="513">
        <f t="shared" si="7"/>
        <v>2.5</v>
      </c>
    </row>
    <row r="66" spans="1:11" x14ac:dyDescent="0.25">
      <c r="A66" s="501" t="s">
        <v>1825</v>
      </c>
      <c r="B66" s="501" t="s">
        <v>121</v>
      </c>
      <c r="C66" s="502" t="s">
        <v>1585</v>
      </c>
      <c r="D66" s="502" t="s">
        <v>1538</v>
      </c>
      <c r="E66" s="502" t="s">
        <v>1539</v>
      </c>
      <c r="F66" s="511" t="s">
        <v>119</v>
      </c>
      <c r="G66" s="556">
        <v>150</v>
      </c>
      <c r="H66" s="502">
        <v>1</v>
      </c>
      <c r="I66" s="502">
        <f>ROUND(SUMIFS('Capacity Summary'!$J:$J,'Capacity Summary'!$B:$B,E66,'Capacity Summary'!$C:$C,F66,'Capacity Summary'!$D:$D,G66),0)</f>
        <v>280</v>
      </c>
      <c r="J66" s="502">
        <f t="shared" si="6"/>
        <v>280</v>
      </c>
      <c r="K66" s="513">
        <f t="shared" si="7"/>
        <v>4.666666666666667</v>
      </c>
    </row>
    <row r="67" spans="1:11" x14ac:dyDescent="0.25">
      <c r="A67" s="501" t="s">
        <v>1825</v>
      </c>
      <c r="B67" s="501" t="s">
        <v>121</v>
      </c>
      <c r="C67" s="502" t="s">
        <v>1571</v>
      </c>
      <c r="D67" s="502" t="s">
        <v>1529</v>
      </c>
      <c r="E67" s="502" t="s">
        <v>1530</v>
      </c>
      <c r="F67" s="511" t="s">
        <v>88</v>
      </c>
      <c r="G67" s="556">
        <v>800</v>
      </c>
      <c r="H67" s="502">
        <v>5</v>
      </c>
      <c r="I67" s="502">
        <f>ROUND(SUMIFS('Capacity Summary'!$J:$J,'Capacity Summary'!$B:$B,E67,'Capacity Summary'!$C:$C,F67,'Capacity Summary'!$D:$D,G67),0)</f>
        <v>80</v>
      </c>
      <c r="J67" s="502">
        <f t="shared" si="6"/>
        <v>400</v>
      </c>
      <c r="K67" s="513">
        <f t="shared" si="7"/>
        <v>6.666666666666667</v>
      </c>
    </row>
    <row r="68" spans="1:11" x14ac:dyDescent="0.25">
      <c r="A68" s="501" t="s">
        <v>1825</v>
      </c>
      <c r="B68" s="501" t="s">
        <v>121</v>
      </c>
      <c r="C68" s="502" t="s">
        <v>1571</v>
      </c>
      <c r="D68" s="502" t="s">
        <v>1529</v>
      </c>
      <c r="E68" s="502" t="s">
        <v>1530</v>
      </c>
      <c r="F68" s="511" t="s">
        <v>88</v>
      </c>
      <c r="G68" s="556">
        <v>800</v>
      </c>
      <c r="H68" s="502">
        <v>5</v>
      </c>
      <c r="I68" s="502">
        <f>ROUND(SUMIFS('Capacity Summary'!$J:$J,'Capacity Summary'!$B:$B,E68,'Capacity Summary'!$C:$C,F68,'Capacity Summary'!$D:$D,G68),0)</f>
        <v>80</v>
      </c>
      <c r="J68" s="502">
        <f t="shared" si="6"/>
        <v>400</v>
      </c>
      <c r="K68" s="513">
        <f t="shared" si="7"/>
        <v>6.666666666666667</v>
      </c>
    </row>
    <row r="69" spans="1:11" x14ac:dyDescent="0.25">
      <c r="A69" s="501" t="s">
        <v>1825</v>
      </c>
      <c r="B69" s="501" t="s">
        <v>121</v>
      </c>
      <c r="C69" s="502" t="s">
        <v>1586</v>
      </c>
      <c r="D69" s="502" t="s">
        <v>1529</v>
      </c>
      <c r="E69" s="502" t="s">
        <v>1530</v>
      </c>
      <c r="F69" s="511" t="s">
        <v>117</v>
      </c>
      <c r="G69" s="556">
        <v>800</v>
      </c>
      <c r="H69" s="502">
        <v>3</v>
      </c>
      <c r="I69" s="502">
        <f>ROUND(SUMIFS('Capacity Summary'!$J:$J,'Capacity Summary'!$B:$B,E69,'Capacity Summary'!$C:$C,F69,'Capacity Summary'!$D:$D,G69),0)</f>
        <v>80</v>
      </c>
      <c r="J69" s="502">
        <f t="shared" si="6"/>
        <v>240</v>
      </c>
      <c r="K69" s="513">
        <f t="shared" si="7"/>
        <v>4</v>
      </c>
    </row>
    <row r="70" spans="1:11" x14ac:dyDescent="0.25">
      <c r="A70" s="501" t="s">
        <v>1825</v>
      </c>
      <c r="B70" s="501" t="s">
        <v>121</v>
      </c>
      <c r="C70" s="502" t="s">
        <v>1587</v>
      </c>
      <c r="D70" s="502" t="s">
        <v>1529</v>
      </c>
      <c r="E70" s="502" t="s">
        <v>1530</v>
      </c>
      <c r="F70" s="511" t="s">
        <v>86</v>
      </c>
      <c r="G70" s="556">
        <v>300</v>
      </c>
      <c r="H70" s="502">
        <v>1</v>
      </c>
      <c r="I70" s="502">
        <f>ROUND(SUMIFS('Capacity Summary'!$J:$J,'Capacity Summary'!$B:$B,E70,'Capacity Summary'!$C:$C,F70,'Capacity Summary'!$D:$D,G70),0)</f>
        <v>120</v>
      </c>
      <c r="J70" s="502">
        <f t="shared" si="6"/>
        <v>120</v>
      </c>
      <c r="K70" s="513">
        <f t="shared" si="7"/>
        <v>2</v>
      </c>
    </row>
    <row r="71" spans="1:11" x14ac:dyDescent="0.25">
      <c r="A71" s="501" t="s">
        <v>1825</v>
      </c>
      <c r="B71" s="501" t="s">
        <v>121</v>
      </c>
      <c r="C71" s="502" t="s">
        <v>1588</v>
      </c>
      <c r="D71" s="502" t="s">
        <v>1529</v>
      </c>
      <c r="E71" s="502" t="s">
        <v>1530</v>
      </c>
      <c r="F71" s="511" t="s">
        <v>1405</v>
      </c>
      <c r="G71" s="556">
        <v>300</v>
      </c>
      <c r="H71" s="502">
        <v>3</v>
      </c>
      <c r="I71" s="502">
        <f>ROUND(SUMIFS('Capacity Summary'!$J:$J,'Capacity Summary'!$B:$B,E71,'Capacity Summary'!$C:$C,F71,'Capacity Summary'!$D:$D,G71),0)</f>
        <v>125</v>
      </c>
      <c r="J71" s="502">
        <f t="shared" si="6"/>
        <v>375</v>
      </c>
      <c r="K71" s="513">
        <f t="shared" si="7"/>
        <v>6.25</v>
      </c>
    </row>
    <row r="72" spans="1:11" x14ac:dyDescent="0.25">
      <c r="A72" s="501" t="s">
        <v>1825</v>
      </c>
      <c r="B72" s="501" t="s">
        <v>121</v>
      </c>
      <c r="C72" s="502" t="s">
        <v>1589</v>
      </c>
      <c r="D72" s="502" t="s">
        <v>1529</v>
      </c>
      <c r="E72" s="502" t="s">
        <v>1530</v>
      </c>
      <c r="F72" s="511" t="s">
        <v>84</v>
      </c>
      <c r="G72" s="556">
        <v>300</v>
      </c>
      <c r="H72" s="502">
        <v>1</v>
      </c>
      <c r="I72" s="502">
        <f>ROUND(SUMIFS('Capacity Summary'!$J:$J,'Capacity Summary'!$B:$B,E72,'Capacity Summary'!$C:$C,F72,'Capacity Summary'!$D:$D,G72),0)</f>
        <v>140</v>
      </c>
      <c r="J72" s="502">
        <f t="shared" si="6"/>
        <v>140</v>
      </c>
      <c r="K72" s="513">
        <f t="shared" si="7"/>
        <v>2.3333333333333335</v>
      </c>
    </row>
    <row r="73" spans="1:11" x14ac:dyDescent="0.25">
      <c r="A73" s="501" t="s">
        <v>1825</v>
      </c>
      <c r="B73" s="501" t="s">
        <v>121</v>
      </c>
      <c r="C73" s="502" t="s">
        <v>1590</v>
      </c>
      <c r="D73" s="502" t="s">
        <v>1529</v>
      </c>
      <c r="E73" s="502" t="s">
        <v>1530</v>
      </c>
      <c r="F73" s="511" t="s">
        <v>80</v>
      </c>
      <c r="G73" s="556">
        <v>300</v>
      </c>
      <c r="H73" s="502">
        <v>4</v>
      </c>
      <c r="I73" s="502">
        <f>ROUND(SUMIFS('Capacity Summary'!$J:$J,'Capacity Summary'!$B:$B,E73,'Capacity Summary'!$C:$C,F73,'Capacity Summary'!$D:$D,G73),0)</f>
        <v>345</v>
      </c>
      <c r="J73" s="502">
        <f t="shared" si="6"/>
        <v>1380</v>
      </c>
      <c r="K73" s="513">
        <f t="shared" si="7"/>
        <v>23</v>
      </c>
    </row>
    <row r="74" spans="1:11" x14ac:dyDescent="0.25">
      <c r="A74" s="501" t="s">
        <v>1825</v>
      </c>
      <c r="B74" s="501" t="s">
        <v>121</v>
      </c>
      <c r="C74" s="502" t="s">
        <v>1571</v>
      </c>
      <c r="D74" s="502" t="s">
        <v>1529</v>
      </c>
      <c r="E74" s="502" t="s">
        <v>1530</v>
      </c>
      <c r="F74" s="511" t="s">
        <v>88</v>
      </c>
      <c r="G74" s="556">
        <v>800</v>
      </c>
      <c r="H74" s="502">
        <v>2</v>
      </c>
      <c r="I74" s="502">
        <f>ROUND(SUMIFS('Capacity Summary'!$J:$J,'Capacity Summary'!$B:$B,E74,'Capacity Summary'!$C:$C,F74,'Capacity Summary'!$D:$D,G74),0)</f>
        <v>80</v>
      </c>
      <c r="J74" s="502">
        <f t="shared" si="6"/>
        <v>160</v>
      </c>
      <c r="K74" s="513">
        <f t="shared" si="7"/>
        <v>2.6666666666666665</v>
      </c>
    </row>
    <row r="75" spans="1:11" x14ac:dyDescent="0.25">
      <c r="A75" s="501" t="s">
        <v>1825</v>
      </c>
      <c r="B75" s="501" t="s">
        <v>121</v>
      </c>
      <c r="C75" s="502" t="s">
        <v>1582</v>
      </c>
      <c r="D75" s="502" t="s">
        <v>1534</v>
      </c>
      <c r="E75" s="502" t="s">
        <v>1535</v>
      </c>
      <c r="F75" s="511" t="s">
        <v>1403</v>
      </c>
      <c r="G75" s="556">
        <v>800</v>
      </c>
      <c r="H75" s="502">
        <v>1</v>
      </c>
      <c r="I75" s="502">
        <f>ROUND(SUMIFS('Capacity Summary'!$J:$J,'Capacity Summary'!$B:$B,E75,'Capacity Summary'!$C:$C,F75,'Capacity Summary'!$D:$D,G75),0)</f>
        <v>75</v>
      </c>
      <c r="J75" s="502">
        <f t="shared" si="6"/>
        <v>75</v>
      </c>
      <c r="K75" s="513">
        <f t="shared" si="7"/>
        <v>1.25</v>
      </c>
    </row>
    <row r="76" spans="1:11" x14ac:dyDescent="0.25">
      <c r="A76" s="501" t="s">
        <v>1825</v>
      </c>
      <c r="B76" s="501" t="s">
        <v>121</v>
      </c>
      <c r="C76" s="502" t="s">
        <v>1591</v>
      </c>
      <c r="D76" s="502" t="s">
        <v>1534</v>
      </c>
      <c r="E76" s="502" t="s">
        <v>1535</v>
      </c>
      <c r="F76" s="511" t="s">
        <v>86</v>
      </c>
      <c r="G76" s="556">
        <v>800</v>
      </c>
      <c r="H76" s="502">
        <v>2</v>
      </c>
      <c r="I76" s="502">
        <f>ROUND(SUMIFS('Capacity Summary'!$J:$J,'Capacity Summary'!$B:$B,E76,'Capacity Summary'!$C:$C,F76,'Capacity Summary'!$D:$D,G76),0)</f>
        <v>140</v>
      </c>
      <c r="J76" s="502">
        <f t="shared" si="6"/>
        <v>280</v>
      </c>
      <c r="K76" s="513">
        <f t="shared" si="7"/>
        <v>4.666666666666667</v>
      </c>
    </row>
    <row r="77" spans="1:11" x14ac:dyDescent="0.25">
      <c r="A77" s="501" t="s">
        <v>1826</v>
      </c>
      <c r="B77" s="501" t="s">
        <v>121</v>
      </c>
      <c r="C77" s="502" t="s">
        <v>1592</v>
      </c>
      <c r="D77" s="502" t="s">
        <v>1538</v>
      </c>
      <c r="E77" s="502" t="s">
        <v>1539</v>
      </c>
      <c r="F77" s="511" t="s">
        <v>80</v>
      </c>
      <c r="G77" s="556">
        <v>150</v>
      </c>
      <c r="H77" s="502">
        <v>1</v>
      </c>
      <c r="I77" s="502">
        <f>ROUND(SUMIFS('Capacity Summary'!$J:$J,'Capacity Summary'!$B:$B,E77,'Capacity Summary'!$C:$C,F77,'Capacity Summary'!$D:$D,G77),0)</f>
        <v>245</v>
      </c>
      <c r="J77" s="502">
        <f t="shared" si="6"/>
        <v>245</v>
      </c>
      <c r="K77" s="513">
        <f t="shared" si="7"/>
        <v>4.083333333333333</v>
      </c>
    </row>
    <row r="78" spans="1:11" x14ac:dyDescent="0.25">
      <c r="A78" s="501" t="s">
        <v>1826</v>
      </c>
      <c r="B78" s="501" t="s">
        <v>121</v>
      </c>
      <c r="C78" s="502" t="s">
        <v>1593</v>
      </c>
      <c r="D78" s="502" t="s">
        <v>1534</v>
      </c>
      <c r="E78" s="502" t="s">
        <v>1535</v>
      </c>
      <c r="F78" s="511" t="s">
        <v>80</v>
      </c>
      <c r="G78" s="556">
        <v>150</v>
      </c>
      <c r="H78" s="502">
        <v>4</v>
      </c>
      <c r="I78" s="502">
        <f>ROUND(SUMIFS('Capacity Summary'!$J:$J,'Capacity Summary'!$B:$B,E78,'Capacity Summary'!$C:$C,F78,'Capacity Summary'!$D:$D,G78),0)</f>
        <v>395</v>
      </c>
      <c r="J78" s="502">
        <f t="shared" si="6"/>
        <v>1580</v>
      </c>
      <c r="K78" s="513">
        <f t="shared" si="7"/>
        <v>26.333333333333332</v>
      </c>
    </row>
    <row r="79" spans="1:11" x14ac:dyDescent="0.25">
      <c r="A79" s="501" t="s">
        <v>1826</v>
      </c>
      <c r="B79" s="501" t="s">
        <v>121</v>
      </c>
      <c r="C79" s="502" t="s">
        <v>1594</v>
      </c>
      <c r="D79" s="502" t="s">
        <v>1538</v>
      </c>
      <c r="E79" s="502" t="s">
        <v>1539</v>
      </c>
      <c r="F79" s="511" t="s">
        <v>118</v>
      </c>
      <c r="G79" s="556">
        <v>150</v>
      </c>
      <c r="H79" s="502">
        <v>2</v>
      </c>
      <c r="I79" s="502">
        <f>ROUND(SUMIFS('Capacity Summary'!$J:$J,'Capacity Summary'!$B:$B,E79,'Capacity Summary'!$C:$C,F79,'Capacity Summary'!$D:$D,G79),0)</f>
        <v>385</v>
      </c>
      <c r="J79" s="502">
        <f t="shared" si="6"/>
        <v>770</v>
      </c>
      <c r="K79" s="513">
        <f t="shared" si="7"/>
        <v>12.833333333333334</v>
      </c>
    </row>
    <row r="80" spans="1:11" x14ac:dyDescent="0.25">
      <c r="A80" s="501" t="s">
        <v>1826</v>
      </c>
      <c r="B80" s="501" t="s">
        <v>121</v>
      </c>
      <c r="C80" s="502" t="s">
        <v>1595</v>
      </c>
      <c r="D80" s="502" t="s">
        <v>1534</v>
      </c>
      <c r="E80" s="502" t="s">
        <v>1535</v>
      </c>
      <c r="F80" s="511" t="s">
        <v>118</v>
      </c>
      <c r="G80" s="556">
        <v>150</v>
      </c>
      <c r="H80" s="502">
        <v>4</v>
      </c>
      <c r="I80" s="502">
        <f>ROUND(SUMIFS('Capacity Summary'!$J:$J,'Capacity Summary'!$B:$B,E80,'Capacity Summary'!$C:$C,F80,'Capacity Summary'!$D:$D,G80),0)</f>
        <v>605</v>
      </c>
      <c r="J80" s="502">
        <f t="shared" si="6"/>
        <v>2420</v>
      </c>
      <c r="K80" s="513">
        <f t="shared" si="7"/>
        <v>40.333333333333336</v>
      </c>
    </row>
    <row r="81" spans="1:11" x14ac:dyDescent="0.25">
      <c r="A81" s="501" t="s">
        <v>1826</v>
      </c>
      <c r="B81" s="501" t="s">
        <v>121</v>
      </c>
      <c r="C81" s="502" t="s">
        <v>1596</v>
      </c>
      <c r="D81" s="502" t="s">
        <v>1529</v>
      </c>
      <c r="E81" s="502" t="s">
        <v>1530</v>
      </c>
      <c r="F81" s="511" t="s">
        <v>119</v>
      </c>
      <c r="G81" s="556">
        <v>150</v>
      </c>
      <c r="H81" s="502">
        <v>1</v>
      </c>
      <c r="I81" s="502">
        <f>ROUND(SUMIFS('Capacity Summary'!$J:$J,'Capacity Summary'!$B:$B,E81,'Capacity Summary'!$C:$C,F81,'Capacity Summary'!$D:$D,G81),0)</f>
        <v>345</v>
      </c>
      <c r="J81" s="502">
        <f t="shared" si="6"/>
        <v>345</v>
      </c>
      <c r="K81" s="513">
        <f t="shared" si="7"/>
        <v>5.75</v>
      </c>
    </row>
    <row r="82" spans="1:11" x14ac:dyDescent="0.25">
      <c r="A82" s="501" t="s">
        <v>1826</v>
      </c>
      <c r="B82" s="501" t="s">
        <v>121</v>
      </c>
      <c r="C82" s="502" t="s">
        <v>1597</v>
      </c>
      <c r="D82" s="502" t="s">
        <v>1534</v>
      </c>
      <c r="E82" s="502" t="s">
        <v>1535</v>
      </c>
      <c r="F82" s="511" t="s">
        <v>119</v>
      </c>
      <c r="G82" s="556">
        <v>150</v>
      </c>
      <c r="H82" s="502">
        <v>2</v>
      </c>
      <c r="I82" s="502">
        <f>ROUND(SUMIFS('Capacity Summary'!$J:$J,'Capacity Summary'!$B:$B,E82,'Capacity Summary'!$C:$C,F82,'Capacity Summary'!$D:$D,G82),0)</f>
        <v>475</v>
      </c>
      <c r="J82" s="502">
        <f t="shared" si="6"/>
        <v>950</v>
      </c>
      <c r="K82" s="513">
        <f t="shared" si="7"/>
        <v>15.833333333333334</v>
      </c>
    </row>
    <row r="83" spans="1:11" x14ac:dyDescent="0.25">
      <c r="A83" s="501" t="s">
        <v>1826</v>
      </c>
      <c r="B83" s="501" t="s">
        <v>121</v>
      </c>
      <c r="C83" s="502" t="s">
        <v>1595</v>
      </c>
      <c r="D83" s="502" t="s">
        <v>1534</v>
      </c>
      <c r="E83" s="502" t="s">
        <v>1535</v>
      </c>
      <c r="F83" s="511" t="s">
        <v>118</v>
      </c>
      <c r="G83" s="556">
        <v>150</v>
      </c>
      <c r="H83" s="502">
        <v>2</v>
      </c>
      <c r="I83" s="502">
        <f>ROUND(SUMIFS('Capacity Summary'!$J:$J,'Capacity Summary'!$B:$B,E83,'Capacity Summary'!$C:$C,F83,'Capacity Summary'!$D:$D,G83),0)</f>
        <v>605</v>
      </c>
      <c r="J83" s="502">
        <f t="shared" si="6"/>
        <v>1210</v>
      </c>
      <c r="K83" s="513">
        <f t="shared" si="7"/>
        <v>20.166666666666668</v>
      </c>
    </row>
    <row r="84" spans="1:11" x14ac:dyDescent="0.25">
      <c r="A84" s="501" t="s">
        <v>1826</v>
      </c>
      <c r="B84" s="501" t="s">
        <v>121</v>
      </c>
      <c r="C84" s="502" t="s">
        <v>1594</v>
      </c>
      <c r="D84" s="502" t="s">
        <v>1538</v>
      </c>
      <c r="E84" s="502" t="s">
        <v>1539</v>
      </c>
      <c r="F84" s="511" t="s">
        <v>118</v>
      </c>
      <c r="G84" s="556">
        <v>150</v>
      </c>
      <c r="H84" s="502">
        <v>1</v>
      </c>
      <c r="I84" s="502">
        <f>ROUND(SUMIFS('Capacity Summary'!$J:$J,'Capacity Summary'!$B:$B,E84,'Capacity Summary'!$C:$C,F84,'Capacity Summary'!$D:$D,G84),0)</f>
        <v>385</v>
      </c>
      <c r="J84" s="502">
        <f t="shared" si="6"/>
        <v>385</v>
      </c>
      <c r="K84" s="513">
        <f t="shared" si="7"/>
        <v>6.416666666666667</v>
      </c>
    </row>
    <row r="85" spans="1:11" x14ac:dyDescent="0.25">
      <c r="A85" s="501" t="s">
        <v>1826</v>
      </c>
      <c r="B85" s="501" t="s">
        <v>121</v>
      </c>
      <c r="C85" s="502" t="s">
        <v>1598</v>
      </c>
      <c r="D85" s="502" t="s">
        <v>1538</v>
      </c>
      <c r="E85" s="502" t="s">
        <v>1539</v>
      </c>
      <c r="F85" s="511" t="s">
        <v>86</v>
      </c>
      <c r="G85" s="556">
        <v>150</v>
      </c>
      <c r="H85" s="502">
        <v>4</v>
      </c>
      <c r="I85" s="502">
        <f>ROUND(SUMIFS('Capacity Summary'!$J:$J,'Capacity Summary'!$B:$B,E85,'Capacity Summary'!$C:$C,F85,'Capacity Summary'!$D:$D,G85),0)</f>
        <v>105</v>
      </c>
      <c r="J85" s="502">
        <f t="shared" si="6"/>
        <v>420</v>
      </c>
      <c r="K85" s="513">
        <f t="shared" si="7"/>
        <v>7</v>
      </c>
    </row>
    <row r="86" spans="1:11" x14ac:dyDescent="0.25">
      <c r="A86" s="501" t="s">
        <v>1826</v>
      </c>
      <c r="B86" s="501" t="s">
        <v>121</v>
      </c>
      <c r="C86" s="502" t="s">
        <v>1599</v>
      </c>
      <c r="D86" s="502" t="s">
        <v>1534</v>
      </c>
      <c r="E86" s="502" t="s">
        <v>1535</v>
      </c>
      <c r="F86" s="511" t="s">
        <v>86</v>
      </c>
      <c r="G86" s="556">
        <v>150</v>
      </c>
      <c r="H86" s="502">
        <v>10</v>
      </c>
      <c r="I86" s="502">
        <f>ROUND(SUMIFS('Capacity Summary'!$J:$J,'Capacity Summary'!$B:$B,E86,'Capacity Summary'!$C:$C,F86,'Capacity Summary'!$D:$D,G86),0)</f>
        <v>140</v>
      </c>
      <c r="J86" s="502">
        <f t="shared" si="6"/>
        <v>1400</v>
      </c>
      <c r="K86" s="513">
        <f t="shared" si="7"/>
        <v>23.333333333333332</v>
      </c>
    </row>
    <row r="87" spans="1:11" x14ac:dyDescent="0.25">
      <c r="A87" s="501" t="s">
        <v>1826</v>
      </c>
      <c r="B87" s="501" t="s">
        <v>121</v>
      </c>
      <c r="C87" s="502" t="s">
        <v>1600</v>
      </c>
      <c r="D87" s="502" t="s">
        <v>1534</v>
      </c>
      <c r="E87" s="502" t="s">
        <v>1535</v>
      </c>
      <c r="F87" s="511" t="s">
        <v>85</v>
      </c>
      <c r="G87" s="556">
        <v>150</v>
      </c>
      <c r="H87" s="502">
        <v>5</v>
      </c>
      <c r="I87" s="502">
        <f>ROUND(SUMIFS('Capacity Summary'!$J:$J,'Capacity Summary'!$B:$B,E87,'Capacity Summary'!$C:$C,F87,'Capacity Summary'!$D:$D,G87),0)</f>
        <v>180</v>
      </c>
      <c r="J87" s="502">
        <f t="shared" si="6"/>
        <v>900</v>
      </c>
      <c r="K87" s="513">
        <f t="shared" si="7"/>
        <v>15</v>
      </c>
    </row>
    <row r="88" spans="1:11" x14ac:dyDescent="0.25">
      <c r="A88" s="501" t="s">
        <v>1826</v>
      </c>
      <c r="B88" s="501" t="s">
        <v>121</v>
      </c>
      <c r="C88" s="502" t="s">
        <v>1601</v>
      </c>
      <c r="D88" s="502" t="s">
        <v>1534</v>
      </c>
      <c r="E88" s="502" t="s">
        <v>1535</v>
      </c>
      <c r="F88" s="511" t="s">
        <v>119</v>
      </c>
      <c r="G88" s="556">
        <v>150</v>
      </c>
      <c r="H88" s="502">
        <v>2</v>
      </c>
      <c r="I88" s="502">
        <f>ROUND(SUMIFS('Capacity Summary'!$J:$J,'Capacity Summary'!$B:$B,E88,'Capacity Summary'!$C:$C,F88,'Capacity Summary'!$D:$D,G88),0)</f>
        <v>475</v>
      </c>
      <c r="J88" s="502">
        <f t="shared" si="6"/>
        <v>950</v>
      </c>
      <c r="K88" s="513">
        <f t="shared" si="7"/>
        <v>15.833333333333334</v>
      </c>
    </row>
    <row r="89" spans="1:11" x14ac:dyDescent="0.25">
      <c r="A89" s="501" t="s">
        <v>1826</v>
      </c>
      <c r="B89" s="501" t="s">
        <v>121</v>
      </c>
      <c r="C89" s="502" t="s">
        <v>1602</v>
      </c>
      <c r="D89" s="502" t="s">
        <v>1538</v>
      </c>
      <c r="E89" s="502" t="s">
        <v>1539</v>
      </c>
      <c r="F89" s="511" t="s">
        <v>85</v>
      </c>
      <c r="G89" s="556">
        <v>300</v>
      </c>
      <c r="H89" s="502">
        <v>1</v>
      </c>
      <c r="I89" s="502">
        <f>ROUND(SUMIFS('Capacity Summary'!$J:$J,'Capacity Summary'!$B:$B,E89,'Capacity Summary'!$C:$C,F89,'Capacity Summary'!$D:$D,G89),0)</f>
        <v>115</v>
      </c>
      <c r="J89" s="502">
        <f t="shared" si="6"/>
        <v>115</v>
      </c>
      <c r="K89" s="513">
        <f t="shared" si="7"/>
        <v>1.9166666666666667</v>
      </c>
    </row>
    <row r="90" spans="1:11" x14ac:dyDescent="0.25">
      <c r="A90" s="501" t="s">
        <v>1826</v>
      </c>
      <c r="B90" s="501" t="s">
        <v>121</v>
      </c>
      <c r="C90" s="502" t="s">
        <v>1603</v>
      </c>
      <c r="D90" s="502" t="s">
        <v>1536</v>
      </c>
      <c r="E90" s="502" t="s">
        <v>1537</v>
      </c>
      <c r="F90" s="511" t="s">
        <v>84</v>
      </c>
      <c r="G90" s="556">
        <v>300</v>
      </c>
      <c r="H90" s="502">
        <v>1</v>
      </c>
      <c r="I90" s="502">
        <f>ROUND(SUMIFS('Capacity Summary'!$J:$J,'Capacity Summary'!$B:$B,E90,'Capacity Summary'!$C:$C,F90,'Capacity Summary'!$D:$D,G90),0)</f>
        <v>250</v>
      </c>
      <c r="J90" s="502">
        <f t="shared" si="6"/>
        <v>250</v>
      </c>
      <c r="K90" s="513">
        <f t="shared" si="7"/>
        <v>4.166666666666667</v>
      </c>
    </row>
    <row r="91" spans="1:11" x14ac:dyDescent="0.25">
      <c r="A91" s="501" t="s">
        <v>1826</v>
      </c>
      <c r="B91" s="501" t="s">
        <v>121</v>
      </c>
      <c r="C91" s="502" t="s">
        <v>1604</v>
      </c>
      <c r="D91" s="502" t="s">
        <v>1538</v>
      </c>
      <c r="E91" s="502" t="s">
        <v>1539</v>
      </c>
      <c r="F91" s="511" t="s">
        <v>80</v>
      </c>
      <c r="G91" s="556">
        <v>300</v>
      </c>
      <c r="H91" s="502">
        <v>1</v>
      </c>
      <c r="I91" s="502">
        <f>ROUND(SUMIFS('Capacity Summary'!$J:$J,'Capacity Summary'!$B:$B,E91,'Capacity Summary'!$C:$C,F91,'Capacity Summary'!$D:$D,G91),0)</f>
        <v>240</v>
      </c>
      <c r="J91" s="502">
        <f t="shared" si="6"/>
        <v>240</v>
      </c>
      <c r="K91" s="513">
        <f t="shared" si="7"/>
        <v>4</v>
      </c>
    </row>
    <row r="92" spans="1:11" x14ac:dyDescent="0.25">
      <c r="A92" s="501" t="s">
        <v>1826</v>
      </c>
      <c r="B92" s="501" t="s">
        <v>121</v>
      </c>
      <c r="C92" s="502" t="s">
        <v>1573</v>
      </c>
      <c r="D92" s="502" t="s">
        <v>1534</v>
      </c>
      <c r="E92" s="502" t="s">
        <v>1535</v>
      </c>
      <c r="F92" s="511" t="s">
        <v>82</v>
      </c>
      <c r="G92" s="556">
        <v>150</v>
      </c>
      <c r="H92" s="502">
        <v>2</v>
      </c>
      <c r="I92" s="502">
        <f>ROUND(SUMIFS('Capacity Summary'!$J:$J,'Capacity Summary'!$B:$B,E92,'Capacity Summary'!$C:$C,F92,'Capacity Summary'!$D:$D,G92),0)</f>
        <v>285</v>
      </c>
      <c r="J92" s="502">
        <f t="shared" si="6"/>
        <v>570</v>
      </c>
      <c r="K92" s="513">
        <f t="shared" si="7"/>
        <v>9.5</v>
      </c>
    </row>
    <row r="93" spans="1:11" x14ac:dyDescent="0.25">
      <c r="A93" s="501" t="s">
        <v>1826</v>
      </c>
      <c r="B93" s="501" t="s">
        <v>121</v>
      </c>
      <c r="C93" s="502" t="s">
        <v>1605</v>
      </c>
      <c r="D93" s="502" t="s">
        <v>1534</v>
      </c>
      <c r="E93" s="502" t="s">
        <v>1535</v>
      </c>
      <c r="F93" s="511" t="s">
        <v>120</v>
      </c>
      <c r="G93" s="556">
        <v>150</v>
      </c>
      <c r="H93" s="502">
        <v>1</v>
      </c>
      <c r="I93" s="502">
        <f>ROUND(SUMIFS('Capacity Summary'!$J:$J,'Capacity Summary'!$B:$B,E93,'Capacity Summary'!$C:$C,F93,'Capacity Summary'!$D:$D,G93),0)</f>
        <v>340</v>
      </c>
      <c r="J93" s="502">
        <f t="shared" si="6"/>
        <v>340</v>
      </c>
      <c r="K93" s="513">
        <f t="shared" si="7"/>
        <v>5.666666666666667</v>
      </c>
    </row>
    <row r="94" spans="1:11" x14ac:dyDescent="0.25">
      <c r="A94" s="501" t="s">
        <v>1826</v>
      </c>
      <c r="B94" s="501" t="s">
        <v>121</v>
      </c>
      <c r="C94" s="502" t="s">
        <v>1592</v>
      </c>
      <c r="D94" s="502" t="s">
        <v>1538</v>
      </c>
      <c r="E94" s="502" t="s">
        <v>1539</v>
      </c>
      <c r="F94" s="511" t="s">
        <v>80</v>
      </c>
      <c r="G94" s="556">
        <v>150</v>
      </c>
      <c r="H94" s="502">
        <v>1</v>
      </c>
      <c r="I94" s="502">
        <f>ROUND(SUMIFS('Capacity Summary'!$J:$J,'Capacity Summary'!$B:$B,E94,'Capacity Summary'!$C:$C,F94,'Capacity Summary'!$D:$D,G94),0)</f>
        <v>245</v>
      </c>
      <c r="J94" s="502">
        <f t="shared" si="6"/>
        <v>245</v>
      </c>
      <c r="K94" s="513">
        <f t="shared" si="7"/>
        <v>4.083333333333333</v>
      </c>
    </row>
    <row r="95" spans="1:11" x14ac:dyDescent="0.25">
      <c r="A95" s="501" t="s">
        <v>1826</v>
      </c>
      <c r="B95" s="501" t="s">
        <v>121</v>
      </c>
      <c r="C95" s="502" t="s">
        <v>1593</v>
      </c>
      <c r="D95" s="502" t="s">
        <v>1534</v>
      </c>
      <c r="E95" s="502" t="s">
        <v>1535</v>
      </c>
      <c r="F95" s="511" t="s">
        <v>80</v>
      </c>
      <c r="G95" s="556">
        <v>150</v>
      </c>
      <c r="H95" s="502">
        <v>6</v>
      </c>
      <c r="I95" s="502">
        <f>ROUND(SUMIFS('Capacity Summary'!$J:$J,'Capacity Summary'!$B:$B,E95,'Capacity Summary'!$C:$C,F95,'Capacity Summary'!$D:$D,G95),0)</f>
        <v>395</v>
      </c>
      <c r="J95" s="502">
        <f t="shared" si="6"/>
        <v>2370</v>
      </c>
      <c r="K95" s="513">
        <f t="shared" si="7"/>
        <v>39.5</v>
      </c>
    </row>
    <row r="96" spans="1:11" x14ac:dyDescent="0.25">
      <c r="A96" s="501" t="s">
        <v>1826</v>
      </c>
      <c r="B96" s="501" t="s">
        <v>121</v>
      </c>
      <c r="C96" s="502" t="s">
        <v>1574</v>
      </c>
      <c r="D96" s="502" t="s">
        <v>1534</v>
      </c>
      <c r="E96" s="502" t="s">
        <v>1535</v>
      </c>
      <c r="F96" s="511" t="s">
        <v>84</v>
      </c>
      <c r="G96" s="556">
        <v>150</v>
      </c>
      <c r="H96" s="502">
        <v>3</v>
      </c>
      <c r="I96" s="502">
        <f>ROUND(SUMIFS('Capacity Summary'!$J:$J,'Capacity Summary'!$B:$B,E96,'Capacity Summary'!$C:$C,F96,'Capacity Summary'!$D:$D,G96),0)</f>
        <v>235</v>
      </c>
      <c r="J96" s="502">
        <f t="shared" si="6"/>
        <v>705</v>
      </c>
      <c r="K96" s="513">
        <f t="shared" si="7"/>
        <v>11.75</v>
      </c>
    </row>
    <row r="97" spans="1:11" x14ac:dyDescent="0.25">
      <c r="A97" s="501" t="s">
        <v>139</v>
      </c>
      <c r="B97" s="501" t="s">
        <v>141</v>
      </c>
      <c r="C97" s="502" t="s">
        <v>1606</v>
      </c>
      <c r="D97" s="502" t="s">
        <v>1534</v>
      </c>
      <c r="E97" s="502" t="s">
        <v>1535</v>
      </c>
      <c r="F97" s="511" t="s">
        <v>1403</v>
      </c>
      <c r="G97" s="556">
        <v>150</v>
      </c>
      <c r="H97" s="502">
        <v>2</v>
      </c>
      <c r="I97" s="502">
        <f>ROUND(SUMIFS('Capacity Summary'!$J:$J,'Capacity Summary'!$B:$B,E97,'Capacity Summary'!$C:$C,F97,'Capacity Summary'!$D:$D,G97),0)</f>
        <v>75</v>
      </c>
      <c r="J97" s="502">
        <f t="shared" si="6"/>
        <v>150</v>
      </c>
      <c r="K97" s="513">
        <f t="shared" si="7"/>
        <v>2.5</v>
      </c>
    </row>
    <row r="98" spans="1:11" x14ac:dyDescent="0.25">
      <c r="A98" s="501" t="s">
        <v>139</v>
      </c>
      <c r="B98" s="501" t="s">
        <v>141</v>
      </c>
      <c r="C98" s="502" t="s">
        <v>1584</v>
      </c>
      <c r="D98" s="502" t="s">
        <v>1534</v>
      </c>
      <c r="E98" s="502" t="s">
        <v>1535</v>
      </c>
      <c r="F98" s="511" t="s">
        <v>1403</v>
      </c>
      <c r="G98" s="556">
        <v>800</v>
      </c>
      <c r="H98" s="502">
        <v>4</v>
      </c>
      <c r="I98" s="502">
        <f>ROUND(SUMIFS('Capacity Summary'!$J:$J,'Capacity Summary'!$B:$B,E98,'Capacity Summary'!$C:$C,F98,'Capacity Summary'!$D:$D,G98),0)</f>
        <v>75</v>
      </c>
      <c r="J98" s="502">
        <f t="shared" si="6"/>
        <v>300</v>
      </c>
      <c r="K98" s="513">
        <f t="shared" si="7"/>
        <v>5</v>
      </c>
    </row>
    <row r="99" spans="1:11" x14ac:dyDescent="0.25">
      <c r="A99" s="501" t="s">
        <v>139</v>
      </c>
      <c r="B99" s="501" t="s">
        <v>141</v>
      </c>
      <c r="C99" s="502" t="s">
        <v>1607</v>
      </c>
      <c r="D99" s="502" t="s">
        <v>1534</v>
      </c>
      <c r="E99" s="502" t="s">
        <v>1535</v>
      </c>
      <c r="F99" s="511" t="s">
        <v>1403</v>
      </c>
      <c r="G99" s="556">
        <v>800</v>
      </c>
      <c r="H99" s="502">
        <v>9</v>
      </c>
      <c r="I99" s="502">
        <f>ROUND(SUMIFS('Capacity Summary'!$J:$J,'Capacity Summary'!$B:$B,E99,'Capacity Summary'!$C:$C,F99,'Capacity Summary'!$D:$D,G99),0)</f>
        <v>75</v>
      </c>
      <c r="J99" s="502">
        <f t="shared" si="6"/>
        <v>675</v>
      </c>
      <c r="K99" s="513">
        <f t="shared" si="7"/>
        <v>11.25</v>
      </c>
    </row>
    <row r="100" spans="1:11" x14ac:dyDescent="0.25">
      <c r="A100" s="501" t="s">
        <v>139</v>
      </c>
      <c r="B100" s="501" t="s">
        <v>141</v>
      </c>
      <c r="C100" s="502" t="s">
        <v>1608</v>
      </c>
      <c r="D100" s="502" t="s">
        <v>1538</v>
      </c>
      <c r="E100" s="502" t="s">
        <v>1539</v>
      </c>
      <c r="F100" s="511" t="s">
        <v>1403</v>
      </c>
      <c r="G100" s="556">
        <v>800</v>
      </c>
      <c r="H100" s="502">
        <v>2</v>
      </c>
      <c r="I100" s="502">
        <f>ROUND(SUMIFS('Capacity Summary'!$J:$J,'Capacity Summary'!$B:$B,E100,'Capacity Summary'!$C:$C,F100,'Capacity Summary'!$D:$D,G100),0)</f>
        <v>75</v>
      </c>
      <c r="J100" s="502">
        <f t="shared" si="6"/>
        <v>150</v>
      </c>
      <c r="K100" s="513">
        <f t="shared" si="7"/>
        <v>2.5</v>
      </c>
    </row>
    <row r="101" spans="1:11" x14ac:dyDescent="0.25">
      <c r="A101" s="501" t="s">
        <v>139</v>
      </c>
      <c r="B101" s="501" t="s">
        <v>141</v>
      </c>
      <c r="C101" s="502" t="s">
        <v>1609</v>
      </c>
      <c r="D101" s="502" t="s">
        <v>1547</v>
      </c>
      <c r="E101" s="502" t="s">
        <v>1549</v>
      </c>
      <c r="F101" s="511" t="s">
        <v>1403</v>
      </c>
      <c r="G101" s="556">
        <v>800</v>
      </c>
      <c r="H101" s="502">
        <v>2</v>
      </c>
      <c r="I101" s="502">
        <f>ROUND(SUMIFS('Capacity Summary'!$J:$J,'Capacity Summary'!$B:$B,E101,'Capacity Summary'!$C:$C,F101,'Capacity Summary'!$D:$D,G101),0)</f>
        <v>67</v>
      </c>
      <c r="J101" s="502">
        <f t="shared" si="6"/>
        <v>134</v>
      </c>
      <c r="K101" s="513">
        <f t="shared" si="7"/>
        <v>2.2333333333333334</v>
      </c>
    </row>
    <row r="102" spans="1:11" x14ac:dyDescent="0.25">
      <c r="A102" s="501" t="s">
        <v>139</v>
      </c>
      <c r="B102" s="501" t="s">
        <v>141</v>
      </c>
      <c r="C102" s="502" t="s">
        <v>1606</v>
      </c>
      <c r="D102" s="502" t="s">
        <v>1534</v>
      </c>
      <c r="E102" s="502" t="s">
        <v>1535</v>
      </c>
      <c r="F102" s="511" t="s">
        <v>1403</v>
      </c>
      <c r="G102" s="556">
        <v>150</v>
      </c>
      <c r="H102" s="502">
        <v>2</v>
      </c>
      <c r="I102" s="502">
        <f>ROUND(SUMIFS('Capacity Summary'!$J:$J,'Capacity Summary'!$B:$B,E102,'Capacity Summary'!$C:$C,F102,'Capacity Summary'!$D:$D,G102),0)</f>
        <v>75</v>
      </c>
      <c r="J102" s="502">
        <f t="shared" si="6"/>
        <v>150</v>
      </c>
      <c r="K102" s="513">
        <f t="shared" si="7"/>
        <v>2.5</v>
      </c>
    </row>
    <row r="103" spans="1:11" x14ac:dyDescent="0.25">
      <c r="A103" s="501" t="s">
        <v>139</v>
      </c>
      <c r="B103" s="501" t="s">
        <v>141</v>
      </c>
      <c r="C103" s="502" t="s">
        <v>1584</v>
      </c>
      <c r="D103" s="502" t="s">
        <v>1534</v>
      </c>
      <c r="E103" s="502" t="s">
        <v>1535</v>
      </c>
      <c r="F103" s="511" t="s">
        <v>1403</v>
      </c>
      <c r="G103" s="556">
        <v>800</v>
      </c>
      <c r="H103" s="502">
        <v>4</v>
      </c>
      <c r="I103" s="502">
        <f>ROUND(SUMIFS('Capacity Summary'!$J:$J,'Capacity Summary'!$B:$B,E103,'Capacity Summary'!$C:$C,F103,'Capacity Summary'!$D:$D,G103),0)</f>
        <v>75</v>
      </c>
      <c r="J103" s="502">
        <f t="shared" si="6"/>
        <v>300</v>
      </c>
      <c r="K103" s="513">
        <f t="shared" si="7"/>
        <v>5</v>
      </c>
    </row>
    <row r="104" spans="1:11" x14ac:dyDescent="0.25">
      <c r="A104" s="501" t="s">
        <v>139</v>
      </c>
      <c r="B104" s="501" t="s">
        <v>141</v>
      </c>
      <c r="C104" s="502" t="s">
        <v>1607</v>
      </c>
      <c r="D104" s="502" t="s">
        <v>1534</v>
      </c>
      <c r="E104" s="502" t="s">
        <v>1535</v>
      </c>
      <c r="F104" s="511" t="s">
        <v>1403</v>
      </c>
      <c r="G104" s="556">
        <v>800</v>
      </c>
      <c r="H104" s="502">
        <v>9</v>
      </c>
      <c r="I104" s="502">
        <f>ROUND(SUMIFS('Capacity Summary'!$J:$J,'Capacity Summary'!$B:$B,E104,'Capacity Summary'!$C:$C,F104,'Capacity Summary'!$D:$D,G104),0)</f>
        <v>75</v>
      </c>
      <c r="J104" s="502">
        <f t="shared" si="6"/>
        <v>675</v>
      </c>
      <c r="K104" s="513">
        <f t="shared" si="7"/>
        <v>11.25</v>
      </c>
    </row>
    <row r="105" spans="1:11" x14ac:dyDescent="0.25">
      <c r="A105" s="501" t="s">
        <v>139</v>
      </c>
      <c r="B105" s="501" t="s">
        <v>141</v>
      </c>
      <c r="C105" s="502" t="s">
        <v>1608</v>
      </c>
      <c r="D105" s="502" t="s">
        <v>1538</v>
      </c>
      <c r="E105" s="502" t="s">
        <v>1539</v>
      </c>
      <c r="F105" s="511" t="s">
        <v>1403</v>
      </c>
      <c r="G105" s="556">
        <v>800</v>
      </c>
      <c r="H105" s="502">
        <v>2</v>
      </c>
      <c r="I105" s="502">
        <f>ROUND(SUMIFS('Capacity Summary'!$J:$J,'Capacity Summary'!$B:$B,E105,'Capacity Summary'!$C:$C,F105,'Capacity Summary'!$D:$D,G105),0)</f>
        <v>75</v>
      </c>
      <c r="J105" s="502">
        <f t="shared" si="6"/>
        <v>150</v>
      </c>
      <c r="K105" s="513">
        <f t="shared" si="7"/>
        <v>2.5</v>
      </c>
    </row>
    <row r="106" spans="1:11" x14ac:dyDescent="0.25">
      <c r="A106" s="501" t="s">
        <v>139</v>
      </c>
      <c r="B106" s="501" t="s">
        <v>141</v>
      </c>
      <c r="C106" s="502" t="s">
        <v>1609</v>
      </c>
      <c r="D106" s="502" t="s">
        <v>1547</v>
      </c>
      <c r="E106" s="502" t="s">
        <v>1549</v>
      </c>
      <c r="F106" s="511" t="s">
        <v>1403</v>
      </c>
      <c r="G106" s="556">
        <v>800</v>
      </c>
      <c r="H106" s="502">
        <v>2</v>
      </c>
      <c r="I106" s="502">
        <f>ROUND(SUMIFS('Capacity Summary'!$J:$J,'Capacity Summary'!$B:$B,E106,'Capacity Summary'!$C:$C,F106,'Capacity Summary'!$D:$D,G106),0)</f>
        <v>67</v>
      </c>
      <c r="J106" s="502">
        <f t="shared" ref="J106:J169" si="8">H106*I106</f>
        <v>134</v>
      </c>
      <c r="K106" s="513">
        <f t="shared" ref="K106:K169" si="9">J106/60</f>
        <v>2.2333333333333334</v>
      </c>
    </row>
    <row r="107" spans="1:11" x14ac:dyDescent="0.25">
      <c r="A107" s="501" t="s">
        <v>139</v>
      </c>
      <c r="B107" s="501" t="s">
        <v>141</v>
      </c>
      <c r="C107" s="502" t="s">
        <v>1606</v>
      </c>
      <c r="D107" s="502" t="s">
        <v>1534</v>
      </c>
      <c r="E107" s="502" t="s">
        <v>1535</v>
      </c>
      <c r="F107" s="511" t="s">
        <v>1403</v>
      </c>
      <c r="G107" s="556">
        <v>150</v>
      </c>
      <c r="H107" s="502">
        <v>2</v>
      </c>
      <c r="I107" s="502">
        <f>ROUND(SUMIFS('Capacity Summary'!$J:$J,'Capacity Summary'!$B:$B,E107,'Capacity Summary'!$C:$C,F107,'Capacity Summary'!$D:$D,G107),0)</f>
        <v>75</v>
      </c>
      <c r="J107" s="502">
        <f t="shared" si="8"/>
        <v>150</v>
      </c>
      <c r="K107" s="513">
        <f t="shared" si="9"/>
        <v>2.5</v>
      </c>
    </row>
    <row r="108" spans="1:11" x14ac:dyDescent="0.25">
      <c r="A108" s="501" t="s">
        <v>139</v>
      </c>
      <c r="B108" s="501" t="s">
        <v>141</v>
      </c>
      <c r="C108" s="502" t="s">
        <v>1610</v>
      </c>
      <c r="D108" s="502" t="s">
        <v>1534</v>
      </c>
      <c r="E108" s="502" t="s">
        <v>1535</v>
      </c>
      <c r="F108" s="511" t="s">
        <v>1403</v>
      </c>
      <c r="G108" s="556">
        <v>800</v>
      </c>
      <c r="H108" s="502">
        <v>3</v>
      </c>
      <c r="I108" s="502">
        <f>ROUND(SUMIFS('Capacity Summary'!$J:$J,'Capacity Summary'!$B:$B,E108,'Capacity Summary'!$C:$C,F108,'Capacity Summary'!$D:$D,G108),0)</f>
        <v>75</v>
      </c>
      <c r="J108" s="502">
        <f t="shared" si="8"/>
        <v>225</v>
      </c>
      <c r="K108" s="513">
        <f t="shared" si="9"/>
        <v>3.75</v>
      </c>
    </row>
    <row r="109" spans="1:11" x14ac:dyDescent="0.25">
      <c r="A109" s="501" t="s">
        <v>139</v>
      </c>
      <c r="B109" s="501" t="s">
        <v>141</v>
      </c>
      <c r="C109" s="502" t="s">
        <v>1611</v>
      </c>
      <c r="D109" s="502" t="s">
        <v>1534</v>
      </c>
      <c r="E109" s="502" t="s">
        <v>1535</v>
      </c>
      <c r="F109" s="511" t="s">
        <v>1403</v>
      </c>
      <c r="G109" s="556">
        <v>800</v>
      </c>
      <c r="H109" s="502">
        <v>13</v>
      </c>
      <c r="I109" s="502">
        <f>ROUND(SUMIFS('Capacity Summary'!$J:$J,'Capacity Summary'!$B:$B,E109,'Capacity Summary'!$C:$C,F109,'Capacity Summary'!$D:$D,G109),0)</f>
        <v>75</v>
      </c>
      <c r="J109" s="502">
        <f t="shared" si="8"/>
        <v>975</v>
      </c>
      <c r="K109" s="513">
        <f t="shared" si="9"/>
        <v>16.25</v>
      </c>
    </row>
    <row r="110" spans="1:11" x14ac:dyDescent="0.25">
      <c r="A110" s="501" t="s">
        <v>139</v>
      </c>
      <c r="B110" s="501" t="s">
        <v>141</v>
      </c>
      <c r="C110" s="502" t="s">
        <v>1612</v>
      </c>
      <c r="D110" s="502" t="s">
        <v>1538</v>
      </c>
      <c r="E110" s="502" t="s">
        <v>1539</v>
      </c>
      <c r="F110" s="511" t="s">
        <v>1403</v>
      </c>
      <c r="G110" s="556">
        <v>800</v>
      </c>
      <c r="H110" s="502">
        <v>3</v>
      </c>
      <c r="I110" s="502">
        <f>ROUND(SUMIFS('Capacity Summary'!$J:$J,'Capacity Summary'!$B:$B,E110,'Capacity Summary'!$C:$C,F110,'Capacity Summary'!$D:$D,G110),0)</f>
        <v>75</v>
      </c>
      <c r="J110" s="502">
        <f t="shared" si="8"/>
        <v>225</v>
      </c>
      <c r="K110" s="513">
        <f t="shared" si="9"/>
        <v>3.75</v>
      </c>
    </row>
    <row r="111" spans="1:11" x14ac:dyDescent="0.25">
      <c r="A111" s="501" t="s">
        <v>139</v>
      </c>
      <c r="B111" s="501" t="s">
        <v>141</v>
      </c>
      <c r="C111" s="502" t="s">
        <v>1613</v>
      </c>
      <c r="D111" s="502" t="s">
        <v>1547</v>
      </c>
      <c r="E111" s="502" t="s">
        <v>1549</v>
      </c>
      <c r="F111" s="511" t="s">
        <v>1403</v>
      </c>
      <c r="G111" s="556">
        <v>800</v>
      </c>
      <c r="H111" s="502">
        <v>3</v>
      </c>
      <c r="I111" s="502">
        <f>ROUND(SUMIFS('Capacity Summary'!$J:$J,'Capacity Summary'!$B:$B,E111,'Capacity Summary'!$C:$C,F111,'Capacity Summary'!$D:$D,G111),0)</f>
        <v>67</v>
      </c>
      <c r="J111" s="502">
        <f t="shared" si="8"/>
        <v>201</v>
      </c>
      <c r="K111" s="513">
        <f t="shared" si="9"/>
        <v>3.35</v>
      </c>
    </row>
    <row r="112" spans="1:11" x14ac:dyDescent="0.25">
      <c r="A112" s="501" t="s">
        <v>157</v>
      </c>
      <c r="B112" s="501" t="s">
        <v>159</v>
      </c>
      <c r="C112" s="502" t="s">
        <v>1593</v>
      </c>
      <c r="D112" s="502" t="s">
        <v>1534</v>
      </c>
      <c r="E112" s="502" t="s">
        <v>1535</v>
      </c>
      <c r="F112" s="511" t="s">
        <v>80</v>
      </c>
      <c r="G112" s="556">
        <v>150</v>
      </c>
      <c r="H112" s="502">
        <v>13</v>
      </c>
      <c r="I112" s="502">
        <f>ROUND(SUMIFS('Capacity Summary'!$J:$J,'Capacity Summary'!$B:$B,E112,'Capacity Summary'!$C:$C,F112,'Capacity Summary'!$D:$D,G112),0)</f>
        <v>395</v>
      </c>
      <c r="J112" s="502">
        <f t="shared" si="8"/>
        <v>5135</v>
      </c>
      <c r="K112" s="513">
        <f t="shared" si="9"/>
        <v>85.583333333333329</v>
      </c>
    </row>
    <row r="113" spans="1:11" x14ac:dyDescent="0.25">
      <c r="A113" s="501" t="s">
        <v>157</v>
      </c>
      <c r="B113" s="501" t="s">
        <v>159</v>
      </c>
      <c r="C113" s="502" t="s">
        <v>1615</v>
      </c>
      <c r="D113" s="502" t="s">
        <v>1534</v>
      </c>
      <c r="E113" s="502" t="s">
        <v>1535</v>
      </c>
      <c r="F113" s="511" t="s">
        <v>171</v>
      </c>
      <c r="G113" s="556">
        <v>150</v>
      </c>
      <c r="H113" s="502">
        <v>3</v>
      </c>
      <c r="I113" s="502">
        <f>ROUND(SUMIFS('Capacity Summary'!$J:$J,'Capacity Summary'!$B:$B,E113,'Capacity Summary'!$C:$C,F113,'Capacity Summary'!$D:$D,G113),0)</f>
        <v>765</v>
      </c>
      <c r="J113" s="502">
        <f t="shared" si="8"/>
        <v>2295</v>
      </c>
      <c r="K113" s="513">
        <f t="shared" si="9"/>
        <v>38.25</v>
      </c>
    </row>
    <row r="114" spans="1:11" x14ac:dyDescent="0.25">
      <c r="A114" s="501" t="s">
        <v>157</v>
      </c>
      <c r="B114" s="501" t="s">
        <v>159</v>
      </c>
      <c r="C114" s="502" t="s">
        <v>1616</v>
      </c>
      <c r="D114" s="502" t="s">
        <v>1529</v>
      </c>
      <c r="E114" s="502" t="s">
        <v>1530</v>
      </c>
      <c r="F114" s="511" t="s">
        <v>88</v>
      </c>
      <c r="G114" s="556">
        <v>800</v>
      </c>
      <c r="H114" s="502">
        <v>20</v>
      </c>
      <c r="I114" s="502">
        <f>ROUND(SUMIFS('Capacity Summary'!$J:$J,'Capacity Summary'!$B:$B,E114,'Capacity Summary'!$C:$C,F114,'Capacity Summary'!$D:$D,G114),0)</f>
        <v>80</v>
      </c>
      <c r="J114" s="502">
        <f t="shared" si="8"/>
        <v>1600</v>
      </c>
      <c r="K114" s="513">
        <f t="shared" si="9"/>
        <v>26.666666666666668</v>
      </c>
    </row>
    <row r="115" spans="1:11" x14ac:dyDescent="0.25">
      <c r="A115" s="501" t="s">
        <v>157</v>
      </c>
      <c r="B115" s="501" t="s">
        <v>159</v>
      </c>
      <c r="C115" s="502" t="s">
        <v>1617</v>
      </c>
      <c r="D115" s="502" t="s">
        <v>1534</v>
      </c>
      <c r="E115" s="502" t="s">
        <v>1535</v>
      </c>
      <c r="F115" s="511" t="s">
        <v>1403</v>
      </c>
      <c r="G115" s="556">
        <v>800</v>
      </c>
      <c r="H115" s="502">
        <v>25</v>
      </c>
      <c r="I115" s="502">
        <f>ROUND(SUMIFS('Capacity Summary'!$J:$J,'Capacity Summary'!$B:$B,E115,'Capacity Summary'!$C:$C,F115,'Capacity Summary'!$D:$D,G115),0)</f>
        <v>75</v>
      </c>
      <c r="J115" s="502">
        <f t="shared" si="8"/>
        <v>1875</v>
      </c>
      <c r="K115" s="513">
        <f t="shared" si="9"/>
        <v>31.25</v>
      </c>
    </row>
    <row r="116" spans="1:11" x14ac:dyDescent="0.25">
      <c r="A116" s="501" t="s">
        <v>157</v>
      </c>
      <c r="B116" s="501" t="s">
        <v>159</v>
      </c>
      <c r="C116" s="502" t="s">
        <v>1618</v>
      </c>
      <c r="D116" s="502" t="s">
        <v>1534</v>
      </c>
      <c r="E116" s="502" t="s">
        <v>1535</v>
      </c>
      <c r="F116" s="511" t="s">
        <v>86</v>
      </c>
      <c r="G116" s="556">
        <v>150</v>
      </c>
      <c r="H116" s="502">
        <v>23</v>
      </c>
      <c r="I116" s="502">
        <f>ROUND(SUMIFS('Capacity Summary'!$J:$J,'Capacity Summary'!$B:$B,E116,'Capacity Summary'!$C:$C,F116,'Capacity Summary'!$D:$D,G116),0)</f>
        <v>140</v>
      </c>
      <c r="J116" s="502">
        <f t="shared" si="8"/>
        <v>3220</v>
      </c>
      <c r="K116" s="513">
        <f t="shared" si="9"/>
        <v>53.666666666666664</v>
      </c>
    </row>
    <row r="117" spans="1:11" x14ac:dyDescent="0.25">
      <c r="A117" s="501" t="s">
        <v>157</v>
      </c>
      <c r="B117" s="501" t="s">
        <v>159</v>
      </c>
      <c r="C117" s="502" t="s">
        <v>1619</v>
      </c>
      <c r="D117" s="502" t="s">
        <v>1534</v>
      </c>
      <c r="E117" s="502" t="s">
        <v>1535</v>
      </c>
      <c r="F117" s="511" t="s">
        <v>85</v>
      </c>
      <c r="G117" s="556">
        <v>150</v>
      </c>
      <c r="H117" s="502">
        <v>2</v>
      </c>
      <c r="I117" s="502">
        <f>ROUND(SUMIFS('Capacity Summary'!$J:$J,'Capacity Summary'!$B:$B,E117,'Capacity Summary'!$C:$C,F117,'Capacity Summary'!$D:$D,G117),0)</f>
        <v>180</v>
      </c>
      <c r="J117" s="502">
        <f t="shared" si="8"/>
        <v>360</v>
      </c>
      <c r="K117" s="513">
        <f t="shared" si="9"/>
        <v>6</v>
      </c>
    </row>
    <row r="118" spans="1:11" x14ac:dyDescent="0.25">
      <c r="A118" s="501" t="s">
        <v>157</v>
      </c>
      <c r="B118" s="501" t="s">
        <v>159</v>
      </c>
      <c r="C118" s="502" t="s">
        <v>1620</v>
      </c>
      <c r="D118" s="502" t="s">
        <v>1534</v>
      </c>
      <c r="E118" s="502" t="s">
        <v>1535</v>
      </c>
      <c r="F118" s="511" t="s">
        <v>84</v>
      </c>
      <c r="G118" s="556">
        <v>150</v>
      </c>
      <c r="H118" s="502">
        <v>10</v>
      </c>
      <c r="I118" s="502">
        <f>ROUND(SUMIFS('Capacity Summary'!$J:$J,'Capacity Summary'!$B:$B,E118,'Capacity Summary'!$C:$C,F118,'Capacity Summary'!$D:$D,G118),0)</f>
        <v>235</v>
      </c>
      <c r="J118" s="502">
        <f t="shared" si="8"/>
        <v>2350</v>
      </c>
      <c r="K118" s="513">
        <f t="shared" si="9"/>
        <v>39.166666666666664</v>
      </c>
    </row>
    <row r="119" spans="1:11" x14ac:dyDescent="0.25">
      <c r="A119" s="501" t="s">
        <v>157</v>
      </c>
      <c r="B119" s="501" t="s">
        <v>159</v>
      </c>
      <c r="C119" s="502" t="s">
        <v>1614</v>
      </c>
      <c r="D119" s="502" t="s">
        <v>1534</v>
      </c>
      <c r="E119" s="502" t="s">
        <v>1535</v>
      </c>
      <c r="F119" s="511" t="s">
        <v>82</v>
      </c>
      <c r="G119" s="556">
        <v>150</v>
      </c>
      <c r="H119" s="502">
        <v>2</v>
      </c>
      <c r="I119" s="502">
        <f>ROUND(SUMIFS('Capacity Summary'!$J:$J,'Capacity Summary'!$B:$B,E119,'Capacity Summary'!$C:$C,F119,'Capacity Summary'!$D:$D,G119),0)</f>
        <v>285</v>
      </c>
      <c r="J119" s="502">
        <f t="shared" si="8"/>
        <v>570</v>
      </c>
      <c r="K119" s="513">
        <f t="shared" si="9"/>
        <v>9.5</v>
      </c>
    </row>
    <row r="120" spans="1:11" x14ac:dyDescent="0.25">
      <c r="A120" s="501" t="s">
        <v>157</v>
      </c>
      <c r="B120" s="501" t="s">
        <v>159</v>
      </c>
      <c r="C120" s="502" t="s">
        <v>1605</v>
      </c>
      <c r="D120" s="502" t="s">
        <v>1534</v>
      </c>
      <c r="E120" s="502" t="s">
        <v>1535</v>
      </c>
      <c r="F120" s="511" t="s">
        <v>120</v>
      </c>
      <c r="G120" s="556">
        <v>150</v>
      </c>
      <c r="H120" s="502">
        <v>1</v>
      </c>
      <c r="I120" s="502">
        <f>ROUND(SUMIFS('Capacity Summary'!$J:$J,'Capacity Summary'!$B:$B,E120,'Capacity Summary'!$C:$C,F120,'Capacity Summary'!$D:$D,G120),0)</f>
        <v>340</v>
      </c>
      <c r="J120" s="502">
        <f t="shared" si="8"/>
        <v>340</v>
      </c>
      <c r="K120" s="513">
        <f t="shared" si="9"/>
        <v>5.666666666666667</v>
      </c>
    </row>
    <row r="121" spans="1:11" x14ac:dyDescent="0.25">
      <c r="A121" s="501" t="s">
        <v>157</v>
      </c>
      <c r="B121" s="501" t="s">
        <v>159</v>
      </c>
      <c r="C121" s="502" t="s">
        <v>1593</v>
      </c>
      <c r="D121" s="502" t="s">
        <v>1534</v>
      </c>
      <c r="E121" s="502" t="s">
        <v>1535</v>
      </c>
      <c r="F121" s="511" t="s">
        <v>80</v>
      </c>
      <c r="G121" s="556">
        <v>150</v>
      </c>
      <c r="H121" s="502">
        <v>13</v>
      </c>
      <c r="I121" s="502">
        <f>ROUND(SUMIFS('Capacity Summary'!$J:$J,'Capacity Summary'!$B:$B,E121,'Capacity Summary'!$C:$C,F121,'Capacity Summary'!$D:$D,G121),0)</f>
        <v>395</v>
      </c>
      <c r="J121" s="502">
        <f t="shared" si="8"/>
        <v>5135</v>
      </c>
      <c r="K121" s="513">
        <f t="shared" si="9"/>
        <v>85.583333333333329</v>
      </c>
    </row>
    <row r="122" spans="1:11" x14ac:dyDescent="0.25">
      <c r="A122" s="501" t="s">
        <v>157</v>
      </c>
      <c r="B122" s="501" t="s">
        <v>159</v>
      </c>
      <c r="C122" s="502" t="s">
        <v>1615</v>
      </c>
      <c r="D122" s="502" t="s">
        <v>1534</v>
      </c>
      <c r="E122" s="502" t="s">
        <v>1535</v>
      </c>
      <c r="F122" s="511" t="s">
        <v>171</v>
      </c>
      <c r="G122" s="556">
        <v>150</v>
      </c>
      <c r="H122" s="502">
        <v>6</v>
      </c>
      <c r="I122" s="502">
        <f>ROUND(SUMIFS('Capacity Summary'!$J:$J,'Capacity Summary'!$B:$B,E122,'Capacity Summary'!$C:$C,F122,'Capacity Summary'!$D:$D,G122),0)</f>
        <v>765</v>
      </c>
      <c r="J122" s="502">
        <f t="shared" si="8"/>
        <v>4590</v>
      </c>
      <c r="K122" s="513">
        <f t="shared" si="9"/>
        <v>76.5</v>
      </c>
    </row>
    <row r="123" spans="1:11" x14ac:dyDescent="0.25">
      <c r="A123" s="501" t="s">
        <v>157</v>
      </c>
      <c r="B123" s="501" t="s">
        <v>159</v>
      </c>
      <c r="C123" s="502" t="s">
        <v>1621</v>
      </c>
      <c r="D123" s="502" t="s">
        <v>1538</v>
      </c>
      <c r="E123" s="502" t="s">
        <v>1539</v>
      </c>
      <c r="F123" s="511" t="s">
        <v>86</v>
      </c>
      <c r="G123" s="556">
        <v>150</v>
      </c>
      <c r="H123" s="502">
        <v>6</v>
      </c>
      <c r="I123" s="502">
        <f>ROUND(SUMIFS('Capacity Summary'!$J:$J,'Capacity Summary'!$B:$B,E123,'Capacity Summary'!$C:$C,F123,'Capacity Summary'!$D:$D,G123),0)</f>
        <v>105</v>
      </c>
      <c r="J123" s="502">
        <f t="shared" si="8"/>
        <v>630</v>
      </c>
      <c r="K123" s="513">
        <f t="shared" si="9"/>
        <v>10.5</v>
      </c>
    </row>
    <row r="124" spans="1:11" x14ac:dyDescent="0.25">
      <c r="A124" s="501" t="s">
        <v>157</v>
      </c>
      <c r="B124" s="501" t="s">
        <v>159</v>
      </c>
      <c r="C124" s="502" t="s">
        <v>1622</v>
      </c>
      <c r="D124" s="502" t="s">
        <v>1538</v>
      </c>
      <c r="E124" s="502" t="s">
        <v>1539</v>
      </c>
      <c r="F124" s="511" t="s">
        <v>82</v>
      </c>
      <c r="G124" s="556">
        <v>150</v>
      </c>
      <c r="H124" s="502">
        <v>1</v>
      </c>
      <c r="I124" s="502">
        <f>ROUND(SUMIFS('Capacity Summary'!$J:$J,'Capacity Summary'!$B:$B,E124,'Capacity Summary'!$C:$C,F124,'Capacity Summary'!$D:$D,G124),0)</f>
        <v>170</v>
      </c>
      <c r="J124" s="502">
        <f t="shared" si="8"/>
        <v>170</v>
      </c>
      <c r="K124" s="513">
        <f t="shared" si="9"/>
        <v>2.8333333333333335</v>
      </c>
    </row>
    <row r="125" spans="1:11" x14ac:dyDescent="0.25">
      <c r="A125" s="501" t="s">
        <v>157</v>
      </c>
      <c r="B125" s="501" t="s">
        <v>159</v>
      </c>
      <c r="C125" s="502" t="s">
        <v>1623</v>
      </c>
      <c r="D125" s="502" t="s">
        <v>1538</v>
      </c>
      <c r="E125" s="502" t="s">
        <v>1539</v>
      </c>
      <c r="F125" s="511" t="s">
        <v>80</v>
      </c>
      <c r="G125" s="556">
        <v>150</v>
      </c>
      <c r="H125" s="502">
        <v>1</v>
      </c>
      <c r="I125" s="502">
        <f>ROUND(SUMIFS('Capacity Summary'!$J:$J,'Capacity Summary'!$B:$B,E125,'Capacity Summary'!$C:$C,F125,'Capacity Summary'!$D:$D,G125),0)</f>
        <v>245</v>
      </c>
      <c r="J125" s="502">
        <f t="shared" si="8"/>
        <v>245</v>
      </c>
      <c r="K125" s="513">
        <f t="shared" si="9"/>
        <v>4.083333333333333</v>
      </c>
    </row>
    <row r="126" spans="1:11" x14ac:dyDescent="0.25">
      <c r="A126" s="501" t="s">
        <v>157</v>
      </c>
      <c r="B126" s="501" t="s">
        <v>159</v>
      </c>
      <c r="C126" s="502" t="s">
        <v>1624</v>
      </c>
      <c r="D126" s="502" t="s">
        <v>1529</v>
      </c>
      <c r="E126" s="502" t="s">
        <v>1530</v>
      </c>
      <c r="F126" s="511" t="s">
        <v>80</v>
      </c>
      <c r="G126" s="556">
        <v>150</v>
      </c>
      <c r="H126" s="502">
        <v>2</v>
      </c>
      <c r="I126" s="502">
        <f>ROUND(SUMIFS('Capacity Summary'!$J:$J,'Capacity Summary'!$B:$B,E126,'Capacity Summary'!$C:$C,F126,'Capacity Summary'!$D:$D,G126),0)</f>
        <v>290</v>
      </c>
      <c r="J126" s="502">
        <f t="shared" si="8"/>
        <v>580</v>
      </c>
      <c r="K126" s="513">
        <f t="shared" si="9"/>
        <v>9.6666666666666661</v>
      </c>
    </row>
    <row r="127" spans="1:11" x14ac:dyDescent="0.25">
      <c r="A127" s="501" t="s">
        <v>157</v>
      </c>
      <c r="B127" s="501" t="s">
        <v>159</v>
      </c>
      <c r="C127" s="502" t="s">
        <v>1616</v>
      </c>
      <c r="D127" s="502" t="s">
        <v>1529</v>
      </c>
      <c r="E127" s="502" t="s">
        <v>1530</v>
      </c>
      <c r="F127" s="511" t="s">
        <v>88</v>
      </c>
      <c r="G127" s="556">
        <v>800</v>
      </c>
      <c r="H127" s="502">
        <v>4</v>
      </c>
      <c r="I127" s="502">
        <f>ROUND(SUMIFS('Capacity Summary'!$J:$J,'Capacity Summary'!$B:$B,E127,'Capacity Summary'!$C:$C,F127,'Capacity Summary'!$D:$D,G127),0)</f>
        <v>80</v>
      </c>
      <c r="J127" s="502">
        <f t="shared" si="8"/>
        <v>320</v>
      </c>
      <c r="K127" s="513">
        <f t="shared" si="9"/>
        <v>5.333333333333333</v>
      </c>
    </row>
    <row r="128" spans="1:11" x14ac:dyDescent="0.25">
      <c r="A128" s="501" t="s">
        <v>157</v>
      </c>
      <c r="B128" s="501" t="s">
        <v>159</v>
      </c>
      <c r="C128" s="502" t="s">
        <v>1625</v>
      </c>
      <c r="D128" s="502" t="s">
        <v>1538</v>
      </c>
      <c r="E128" s="502" t="s">
        <v>1539</v>
      </c>
      <c r="F128" s="511" t="s">
        <v>86</v>
      </c>
      <c r="G128" s="556">
        <v>150</v>
      </c>
      <c r="H128" s="502">
        <v>3</v>
      </c>
      <c r="I128" s="502">
        <f>ROUND(SUMIFS('Capacity Summary'!$J:$J,'Capacity Summary'!$B:$B,E128,'Capacity Summary'!$C:$C,F128,'Capacity Summary'!$D:$D,G128),0)</f>
        <v>105</v>
      </c>
      <c r="J128" s="502">
        <f t="shared" si="8"/>
        <v>315</v>
      </c>
      <c r="K128" s="513">
        <f t="shared" si="9"/>
        <v>5.25</v>
      </c>
    </row>
    <row r="129" spans="1:11" x14ac:dyDescent="0.25">
      <c r="A129" s="501" t="s">
        <v>157</v>
      </c>
      <c r="B129" s="501" t="s">
        <v>159</v>
      </c>
      <c r="C129" s="502" t="s">
        <v>1626</v>
      </c>
      <c r="D129" s="502" t="s">
        <v>1529</v>
      </c>
      <c r="E129" s="502" t="s">
        <v>1530</v>
      </c>
      <c r="F129" s="511" t="s">
        <v>88</v>
      </c>
      <c r="G129" s="556">
        <v>800</v>
      </c>
      <c r="H129" s="502">
        <v>2</v>
      </c>
      <c r="I129" s="502">
        <f>ROUND(SUMIFS('Capacity Summary'!$J:$J,'Capacity Summary'!$B:$B,E129,'Capacity Summary'!$C:$C,F129,'Capacity Summary'!$D:$D,G129),0)</f>
        <v>80</v>
      </c>
      <c r="J129" s="502">
        <f t="shared" si="8"/>
        <v>160</v>
      </c>
      <c r="K129" s="513">
        <f t="shared" si="9"/>
        <v>2.6666666666666665</v>
      </c>
    </row>
    <row r="130" spans="1:11" x14ac:dyDescent="0.25">
      <c r="A130" s="501" t="s">
        <v>157</v>
      </c>
      <c r="B130" s="501" t="s">
        <v>159</v>
      </c>
      <c r="C130" s="502" t="s">
        <v>1626</v>
      </c>
      <c r="D130" s="502" t="s">
        <v>1529</v>
      </c>
      <c r="E130" s="502" t="s">
        <v>1530</v>
      </c>
      <c r="F130" s="511" t="s">
        <v>88</v>
      </c>
      <c r="G130" s="556">
        <v>800</v>
      </c>
      <c r="H130" s="502">
        <v>2</v>
      </c>
      <c r="I130" s="502">
        <f>ROUND(SUMIFS('Capacity Summary'!$J:$J,'Capacity Summary'!$B:$B,E130,'Capacity Summary'!$C:$C,F130,'Capacity Summary'!$D:$D,G130),0)</f>
        <v>80</v>
      </c>
      <c r="J130" s="502">
        <f t="shared" si="8"/>
        <v>160</v>
      </c>
      <c r="K130" s="513">
        <f t="shared" si="9"/>
        <v>2.6666666666666665</v>
      </c>
    </row>
    <row r="131" spans="1:11" x14ac:dyDescent="0.25">
      <c r="A131" s="501" t="s">
        <v>157</v>
      </c>
      <c r="B131" s="501" t="s">
        <v>159</v>
      </c>
      <c r="C131" s="502" t="s">
        <v>1627</v>
      </c>
      <c r="D131" s="502" t="s">
        <v>1529</v>
      </c>
      <c r="E131" s="502" t="s">
        <v>1530</v>
      </c>
      <c r="F131" s="511" t="s">
        <v>88</v>
      </c>
      <c r="G131" s="556">
        <v>800</v>
      </c>
      <c r="H131" s="502">
        <v>4</v>
      </c>
      <c r="I131" s="502">
        <f>ROUND(SUMIFS('Capacity Summary'!$J:$J,'Capacity Summary'!$B:$B,E131,'Capacity Summary'!$C:$C,F131,'Capacity Summary'!$D:$D,G131),0)</f>
        <v>80</v>
      </c>
      <c r="J131" s="502">
        <f t="shared" si="8"/>
        <v>320</v>
      </c>
      <c r="K131" s="513">
        <f t="shared" si="9"/>
        <v>5.333333333333333</v>
      </c>
    </row>
    <row r="132" spans="1:11" x14ac:dyDescent="0.25">
      <c r="A132" s="501" t="s">
        <v>157</v>
      </c>
      <c r="B132" s="501" t="s">
        <v>159</v>
      </c>
      <c r="C132" s="502" t="s">
        <v>1628</v>
      </c>
      <c r="D132" s="502" t="s">
        <v>1538</v>
      </c>
      <c r="E132" s="502" t="s">
        <v>1539</v>
      </c>
      <c r="F132" s="511" t="s">
        <v>80</v>
      </c>
      <c r="G132" s="556">
        <v>150</v>
      </c>
      <c r="H132" s="502">
        <v>1</v>
      </c>
      <c r="I132" s="502">
        <f>ROUND(SUMIFS('Capacity Summary'!$J:$J,'Capacity Summary'!$B:$B,E132,'Capacity Summary'!$C:$C,F132,'Capacity Summary'!$D:$D,G132),0)</f>
        <v>245</v>
      </c>
      <c r="J132" s="502">
        <f t="shared" si="8"/>
        <v>245</v>
      </c>
      <c r="K132" s="513">
        <f t="shared" si="9"/>
        <v>4.083333333333333</v>
      </c>
    </row>
    <row r="133" spans="1:11" x14ac:dyDescent="0.25">
      <c r="A133" s="501" t="s">
        <v>157</v>
      </c>
      <c r="B133" s="501" t="s">
        <v>159</v>
      </c>
      <c r="C133" s="502" t="s">
        <v>1629</v>
      </c>
      <c r="D133" s="502" t="s">
        <v>1534</v>
      </c>
      <c r="E133" s="502" t="s">
        <v>1535</v>
      </c>
      <c r="F133" s="511" t="s">
        <v>1403</v>
      </c>
      <c r="G133" s="556">
        <v>800</v>
      </c>
      <c r="H133" s="502">
        <v>2</v>
      </c>
      <c r="I133" s="502">
        <f>ROUND(SUMIFS('Capacity Summary'!$J:$J,'Capacity Summary'!$B:$B,E133,'Capacity Summary'!$C:$C,F133,'Capacity Summary'!$D:$D,G133),0)</f>
        <v>75</v>
      </c>
      <c r="J133" s="502">
        <f t="shared" si="8"/>
        <v>150</v>
      </c>
      <c r="K133" s="513">
        <f t="shared" si="9"/>
        <v>2.5</v>
      </c>
    </row>
    <row r="134" spans="1:11" x14ac:dyDescent="0.25">
      <c r="A134" s="501" t="s">
        <v>157</v>
      </c>
      <c r="B134" s="501" t="s">
        <v>159</v>
      </c>
      <c r="C134" s="502" t="s">
        <v>1630</v>
      </c>
      <c r="D134" s="502" t="s">
        <v>1534</v>
      </c>
      <c r="E134" s="502" t="s">
        <v>1535</v>
      </c>
      <c r="F134" s="511" t="s">
        <v>1403</v>
      </c>
      <c r="G134" s="556">
        <v>800</v>
      </c>
      <c r="H134" s="502">
        <v>2</v>
      </c>
      <c r="I134" s="502">
        <f>ROUND(SUMIFS('Capacity Summary'!$J:$J,'Capacity Summary'!$B:$B,E134,'Capacity Summary'!$C:$C,F134,'Capacity Summary'!$D:$D,G134),0)</f>
        <v>75</v>
      </c>
      <c r="J134" s="502">
        <f t="shared" si="8"/>
        <v>150</v>
      </c>
      <c r="K134" s="513">
        <f t="shared" si="9"/>
        <v>2.5</v>
      </c>
    </row>
    <row r="135" spans="1:11" x14ac:dyDescent="0.25">
      <c r="A135" s="501" t="s">
        <v>157</v>
      </c>
      <c r="B135" s="501" t="s">
        <v>159</v>
      </c>
      <c r="C135" s="502" t="s">
        <v>1631</v>
      </c>
      <c r="D135" s="502" t="s">
        <v>1534</v>
      </c>
      <c r="E135" s="502" t="s">
        <v>1535</v>
      </c>
      <c r="F135" s="511" t="s">
        <v>120</v>
      </c>
      <c r="G135" s="556">
        <v>150</v>
      </c>
      <c r="H135" s="502">
        <v>3</v>
      </c>
      <c r="I135" s="502">
        <f>ROUND(SUMIFS('Capacity Summary'!$J:$J,'Capacity Summary'!$B:$B,E135,'Capacity Summary'!$C:$C,F135,'Capacity Summary'!$D:$D,G135),0)</f>
        <v>340</v>
      </c>
      <c r="J135" s="502">
        <f t="shared" si="8"/>
        <v>1020</v>
      </c>
      <c r="K135" s="513">
        <f t="shared" si="9"/>
        <v>17</v>
      </c>
    </row>
    <row r="136" spans="1:11" x14ac:dyDescent="0.25">
      <c r="A136" s="501" t="s">
        <v>157</v>
      </c>
      <c r="B136" s="501" t="s">
        <v>159</v>
      </c>
      <c r="C136" s="502" t="s">
        <v>1632</v>
      </c>
      <c r="D136" s="502" t="s">
        <v>1534</v>
      </c>
      <c r="E136" s="502" t="s">
        <v>1535</v>
      </c>
      <c r="F136" s="511" t="s">
        <v>80</v>
      </c>
      <c r="G136" s="556">
        <v>150</v>
      </c>
      <c r="H136" s="502">
        <v>2</v>
      </c>
      <c r="I136" s="502">
        <f>ROUND(SUMIFS('Capacity Summary'!$J:$J,'Capacity Summary'!$B:$B,E136,'Capacity Summary'!$C:$C,F136,'Capacity Summary'!$D:$D,G136),0)</f>
        <v>395</v>
      </c>
      <c r="J136" s="502">
        <f t="shared" si="8"/>
        <v>790</v>
      </c>
      <c r="K136" s="513">
        <f t="shared" si="9"/>
        <v>13.166666666666666</v>
      </c>
    </row>
    <row r="137" spans="1:11" x14ac:dyDescent="0.25">
      <c r="A137" s="501" t="s">
        <v>157</v>
      </c>
      <c r="B137" s="501" t="s">
        <v>159</v>
      </c>
      <c r="C137" s="502" t="s">
        <v>1633</v>
      </c>
      <c r="D137" s="502" t="s">
        <v>1534</v>
      </c>
      <c r="E137" s="502" t="s">
        <v>1535</v>
      </c>
      <c r="F137" s="511" t="s">
        <v>179</v>
      </c>
      <c r="G137" s="556">
        <v>150</v>
      </c>
      <c r="H137" s="502">
        <v>1</v>
      </c>
      <c r="I137" s="502">
        <f>ROUND(SUMIFS('Capacity Summary'!$J:$J,'Capacity Summary'!$B:$B,E137,'Capacity Summary'!$C:$C,F137,'Capacity Summary'!$D:$D,G137),0)</f>
        <v>540</v>
      </c>
      <c r="J137" s="502">
        <f t="shared" si="8"/>
        <v>540</v>
      </c>
      <c r="K137" s="513">
        <f t="shared" si="9"/>
        <v>9</v>
      </c>
    </row>
    <row r="138" spans="1:11" x14ac:dyDescent="0.25">
      <c r="A138" s="501" t="s">
        <v>157</v>
      </c>
      <c r="B138" s="501" t="s">
        <v>159</v>
      </c>
      <c r="C138" s="502" t="s">
        <v>1634</v>
      </c>
      <c r="D138" s="502" t="s">
        <v>1534</v>
      </c>
      <c r="E138" s="502" t="s">
        <v>1535</v>
      </c>
      <c r="F138" s="511" t="s">
        <v>86</v>
      </c>
      <c r="G138" s="556">
        <v>150</v>
      </c>
      <c r="H138" s="502">
        <v>4</v>
      </c>
      <c r="I138" s="502">
        <f>ROUND(SUMIFS('Capacity Summary'!$J:$J,'Capacity Summary'!$B:$B,E138,'Capacity Summary'!$C:$C,F138,'Capacity Summary'!$D:$D,G138),0)</f>
        <v>140</v>
      </c>
      <c r="J138" s="502">
        <f t="shared" si="8"/>
        <v>560</v>
      </c>
      <c r="K138" s="513">
        <f t="shared" si="9"/>
        <v>9.3333333333333339</v>
      </c>
    </row>
    <row r="139" spans="1:11" x14ac:dyDescent="0.25">
      <c r="A139" s="501" t="s">
        <v>157</v>
      </c>
      <c r="B139" s="501" t="s">
        <v>159</v>
      </c>
      <c r="C139" s="502" t="s">
        <v>1635</v>
      </c>
      <c r="D139" s="502" t="s">
        <v>1534</v>
      </c>
      <c r="E139" s="502" t="s">
        <v>1535</v>
      </c>
      <c r="F139" s="511" t="s">
        <v>1403</v>
      </c>
      <c r="G139" s="556">
        <v>150</v>
      </c>
      <c r="H139" s="502">
        <v>2</v>
      </c>
      <c r="I139" s="502">
        <f>ROUND(SUMIFS('Capacity Summary'!$J:$J,'Capacity Summary'!$B:$B,E139,'Capacity Summary'!$C:$C,F139,'Capacity Summary'!$D:$D,G139),0)</f>
        <v>75</v>
      </c>
      <c r="J139" s="502">
        <f t="shared" si="8"/>
        <v>150</v>
      </c>
      <c r="K139" s="513">
        <f t="shared" si="9"/>
        <v>2.5</v>
      </c>
    </row>
    <row r="140" spans="1:11" x14ac:dyDescent="0.25">
      <c r="A140" s="501" t="s">
        <v>157</v>
      </c>
      <c r="B140" s="501" t="s">
        <v>159</v>
      </c>
      <c r="C140" s="502" t="s">
        <v>1614</v>
      </c>
      <c r="D140" s="502" t="s">
        <v>1534</v>
      </c>
      <c r="E140" s="502" t="s">
        <v>1535</v>
      </c>
      <c r="F140" s="511" t="s">
        <v>82</v>
      </c>
      <c r="G140" s="556">
        <v>150</v>
      </c>
      <c r="H140" s="502">
        <v>2</v>
      </c>
      <c r="I140" s="502">
        <f>ROUND(SUMIFS('Capacity Summary'!$J:$J,'Capacity Summary'!$B:$B,E140,'Capacity Summary'!$C:$C,F140,'Capacity Summary'!$D:$D,G140),0)</f>
        <v>285</v>
      </c>
      <c r="J140" s="502">
        <f t="shared" si="8"/>
        <v>570</v>
      </c>
      <c r="K140" s="513">
        <f t="shared" si="9"/>
        <v>9.5</v>
      </c>
    </row>
    <row r="141" spans="1:11" x14ac:dyDescent="0.25">
      <c r="A141" s="501" t="s">
        <v>186</v>
      </c>
      <c r="B141" s="501" t="s">
        <v>188</v>
      </c>
      <c r="C141" s="502" t="s">
        <v>1636</v>
      </c>
      <c r="D141" s="502" t="s">
        <v>1529</v>
      </c>
      <c r="E141" s="502" t="s">
        <v>1530</v>
      </c>
      <c r="F141" s="511" t="s">
        <v>82</v>
      </c>
      <c r="G141" s="556">
        <v>150</v>
      </c>
      <c r="H141" s="502">
        <v>1</v>
      </c>
      <c r="I141" s="502">
        <f>ROUND(SUMIFS('Capacity Summary'!$J:$J,'Capacity Summary'!$B:$B,E141,'Capacity Summary'!$C:$C,F141,'Capacity Summary'!$D:$D,G141),0)</f>
        <v>185</v>
      </c>
      <c r="J141" s="502">
        <f t="shared" si="8"/>
        <v>185</v>
      </c>
      <c r="K141" s="513">
        <f t="shared" si="9"/>
        <v>3.0833333333333335</v>
      </c>
    </row>
    <row r="142" spans="1:11" x14ac:dyDescent="0.25">
      <c r="A142" s="501" t="s">
        <v>186</v>
      </c>
      <c r="B142" s="501" t="s">
        <v>188</v>
      </c>
      <c r="C142" s="502" t="s">
        <v>1637</v>
      </c>
      <c r="D142" s="502" t="s">
        <v>1529</v>
      </c>
      <c r="E142" s="502" t="s">
        <v>1530</v>
      </c>
      <c r="F142" s="511" t="s">
        <v>118</v>
      </c>
      <c r="G142" s="556">
        <v>150</v>
      </c>
      <c r="H142" s="502">
        <v>1</v>
      </c>
      <c r="I142" s="502">
        <f>ROUND(SUMIFS('Capacity Summary'!$J:$J,'Capacity Summary'!$B:$B,E142,'Capacity Summary'!$C:$C,F142,'Capacity Summary'!$D:$D,G142),0)</f>
        <v>480</v>
      </c>
      <c r="J142" s="502">
        <f t="shared" si="8"/>
        <v>480</v>
      </c>
      <c r="K142" s="513">
        <f t="shared" si="9"/>
        <v>8</v>
      </c>
    </row>
    <row r="143" spans="1:11" x14ac:dyDescent="0.25">
      <c r="A143" s="501" t="s">
        <v>186</v>
      </c>
      <c r="B143" s="501" t="s">
        <v>188</v>
      </c>
      <c r="C143" s="502" t="s">
        <v>1605</v>
      </c>
      <c r="D143" s="502" t="s">
        <v>1534</v>
      </c>
      <c r="E143" s="502" t="s">
        <v>1535</v>
      </c>
      <c r="F143" s="511" t="s">
        <v>120</v>
      </c>
      <c r="G143" s="556">
        <v>150</v>
      </c>
      <c r="H143" s="502">
        <v>1</v>
      </c>
      <c r="I143" s="502">
        <f>ROUND(SUMIFS('Capacity Summary'!$J:$J,'Capacity Summary'!$B:$B,E143,'Capacity Summary'!$C:$C,F143,'Capacity Summary'!$D:$D,G143),0)</f>
        <v>340</v>
      </c>
      <c r="J143" s="502">
        <f t="shared" si="8"/>
        <v>340</v>
      </c>
      <c r="K143" s="513">
        <f t="shared" si="9"/>
        <v>5.666666666666667</v>
      </c>
    </row>
    <row r="144" spans="1:11" x14ac:dyDescent="0.25">
      <c r="A144" s="501" t="s">
        <v>186</v>
      </c>
      <c r="B144" s="501" t="s">
        <v>188</v>
      </c>
      <c r="C144" s="502" t="s">
        <v>1605</v>
      </c>
      <c r="D144" s="502" t="s">
        <v>1534</v>
      </c>
      <c r="E144" s="502" t="s">
        <v>1535</v>
      </c>
      <c r="F144" s="511" t="s">
        <v>120</v>
      </c>
      <c r="G144" s="556">
        <v>150</v>
      </c>
      <c r="H144" s="502">
        <v>1</v>
      </c>
      <c r="I144" s="502">
        <f>ROUND(SUMIFS('Capacity Summary'!$J:$J,'Capacity Summary'!$B:$B,E144,'Capacity Summary'!$C:$C,F144,'Capacity Summary'!$D:$D,G144),0)</f>
        <v>340</v>
      </c>
      <c r="J144" s="502">
        <f t="shared" si="8"/>
        <v>340</v>
      </c>
      <c r="K144" s="513">
        <f t="shared" si="9"/>
        <v>5.666666666666667</v>
      </c>
    </row>
    <row r="145" spans="1:11" x14ac:dyDescent="0.25">
      <c r="A145" s="501" t="s">
        <v>202</v>
      </c>
      <c r="B145" s="501" t="s">
        <v>204</v>
      </c>
      <c r="C145" s="502" t="s">
        <v>1579</v>
      </c>
      <c r="D145" s="502" t="s">
        <v>1538</v>
      </c>
      <c r="E145" s="502" t="s">
        <v>1539</v>
      </c>
      <c r="F145" s="511" t="s">
        <v>84</v>
      </c>
      <c r="G145" s="556">
        <v>150</v>
      </c>
      <c r="H145" s="502">
        <v>9</v>
      </c>
      <c r="I145" s="502">
        <f>ROUND(SUMIFS('Capacity Summary'!$J:$J,'Capacity Summary'!$B:$B,E145,'Capacity Summary'!$C:$C,F145,'Capacity Summary'!$D:$D,G145),0)</f>
        <v>125</v>
      </c>
      <c r="J145" s="502">
        <f t="shared" si="8"/>
        <v>1125</v>
      </c>
      <c r="K145" s="513">
        <f t="shared" si="9"/>
        <v>18.75</v>
      </c>
    </row>
    <row r="146" spans="1:11" x14ac:dyDescent="0.25">
      <c r="A146" s="501" t="s">
        <v>202</v>
      </c>
      <c r="B146" s="501" t="s">
        <v>204</v>
      </c>
      <c r="C146" s="502" t="s">
        <v>1578</v>
      </c>
      <c r="D146" s="502" t="s">
        <v>1538</v>
      </c>
      <c r="E146" s="502" t="s">
        <v>1539</v>
      </c>
      <c r="F146" s="511" t="s">
        <v>82</v>
      </c>
      <c r="G146" s="556">
        <v>150</v>
      </c>
      <c r="H146" s="502">
        <v>4</v>
      </c>
      <c r="I146" s="502">
        <f>ROUND(SUMIFS('Capacity Summary'!$J:$J,'Capacity Summary'!$B:$B,E146,'Capacity Summary'!$C:$C,F146,'Capacity Summary'!$D:$D,G146),0)</f>
        <v>170</v>
      </c>
      <c r="J146" s="502">
        <f t="shared" si="8"/>
        <v>680</v>
      </c>
      <c r="K146" s="513">
        <f t="shared" si="9"/>
        <v>11.333333333333334</v>
      </c>
    </row>
    <row r="147" spans="1:11" x14ac:dyDescent="0.25">
      <c r="A147" s="501" t="s">
        <v>202</v>
      </c>
      <c r="B147" s="501" t="s">
        <v>204</v>
      </c>
      <c r="C147" s="502" t="s">
        <v>1592</v>
      </c>
      <c r="D147" s="502" t="s">
        <v>1538</v>
      </c>
      <c r="E147" s="502" t="s">
        <v>1539</v>
      </c>
      <c r="F147" s="511" t="s">
        <v>80</v>
      </c>
      <c r="G147" s="556">
        <v>150</v>
      </c>
      <c r="H147" s="502">
        <v>2</v>
      </c>
      <c r="I147" s="502">
        <f>ROUND(SUMIFS('Capacity Summary'!$J:$J,'Capacity Summary'!$B:$B,E147,'Capacity Summary'!$C:$C,F147,'Capacity Summary'!$D:$D,G147),0)</f>
        <v>245</v>
      </c>
      <c r="J147" s="502">
        <f t="shared" si="8"/>
        <v>490</v>
      </c>
      <c r="K147" s="513">
        <f t="shared" si="9"/>
        <v>8.1666666666666661</v>
      </c>
    </row>
    <row r="148" spans="1:11" x14ac:dyDescent="0.25">
      <c r="A148" s="501" t="s">
        <v>202</v>
      </c>
      <c r="B148" s="501" t="s">
        <v>204</v>
      </c>
      <c r="C148" s="502" t="s">
        <v>1638</v>
      </c>
      <c r="D148" s="502" t="s">
        <v>1534</v>
      </c>
      <c r="E148" s="502" t="s">
        <v>1535</v>
      </c>
      <c r="F148" s="511" t="s">
        <v>85</v>
      </c>
      <c r="G148" s="556">
        <v>150</v>
      </c>
      <c r="H148" s="502">
        <v>2</v>
      </c>
      <c r="I148" s="502">
        <f>ROUND(SUMIFS('Capacity Summary'!$J:$J,'Capacity Summary'!$B:$B,E148,'Capacity Summary'!$C:$C,F148,'Capacity Summary'!$D:$D,G148),0)</f>
        <v>180</v>
      </c>
      <c r="J148" s="502">
        <f t="shared" si="8"/>
        <v>360</v>
      </c>
      <c r="K148" s="513">
        <f t="shared" si="9"/>
        <v>6</v>
      </c>
    </row>
    <row r="149" spans="1:11" x14ac:dyDescent="0.25">
      <c r="A149" s="501" t="s">
        <v>202</v>
      </c>
      <c r="B149" s="501" t="s">
        <v>204</v>
      </c>
      <c r="C149" s="502" t="s">
        <v>1574</v>
      </c>
      <c r="D149" s="502" t="s">
        <v>1534</v>
      </c>
      <c r="E149" s="502" t="s">
        <v>1535</v>
      </c>
      <c r="F149" s="511" t="s">
        <v>84</v>
      </c>
      <c r="G149" s="556">
        <v>150</v>
      </c>
      <c r="H149" s="502">
        <v>23</v>
      </c>
      <c r="I149" s="502">
        <f>ROUND(SUMIFS('Capacity Summary'!$J:$J,'Capacity Summary'!$B:$B,E149,'Capacity Summary'!$C:$C,F149,'Capacity Summary'!$D:$D,G149),0)</f>
        <v>235</v>
      </c>
      <c r="J149" s="502">
        <f t="shared" si="8"/>
        <v>5405</v>
      </c>
      <c r="K149" s="513">
        <f t="shared" si="9"/>
        <v>90.083333333333329</v>
      </c>
    </row>
    <row r="150" spans="1:11" x14ac:dyDescent="0.25">
      <c r="A150" s="501" t="s">
        <v>202</v>
      </c>
      <c r="B150" s="501" t="s">
        <v>204</v>
      </c>
      <c r="C150" s="502" t="s">
        <v>1573</v>
      </c>
      <c r="D150" s="502" t="s">
        <v>1534</v>
      </c>
      <c r="E150" s="502" t="s">
        <v>1535</v>
      </c>
      <c r="F150" s="511" t="s">
        <v>82</v>
      </c>
      <c r="G150" s="556">
        <v>150</v>
      </c>
      <c r="H150" s="502">
        <v>20</v>
      </c>
      <c r="I150" s="502">
        <f>ROUND(SUMIFS('Capacity Summary'!$J:$J,'Capacity Summary'!$B:$B,E150,'Capacity Summary'!$C:$C,F150,'Capacity Summary'!$D:$D,G150),0)</f>
        <v>285</v>
      </c>
      <c r="J150" s="502">
        <f t="shared" si="8"/>
        <v>5700</v>
      </c>
      <c r="K150" s="513">
        <f t="shared" si="9"/>
        <v>95</v>
      </c>
    </row>
    <row r="151" spans="1:11" x14ac:dyDescent="0.25">
      <c r="A151" s="501" t="s">
        <v>202</v>
      </c>
      <c r="B151" s="501" t="s">
        <v>204</v>
      </c>
      <c r="C151" s="502" t="s">
        <v>1593</v>
      </c>
      <c r="D151" s="502" t="s">
        <v>1534</v>
      </c>
      <c r="E151" s="502" t="s">
        <v>1535</v>
      </c>
      <c r="F151" s="511" t="s">
        <v>80</v>
      </c>
      <c r="G151" s="556">
        <v>150</v>
      </c>
      <c r="H151" s="502">
        <v>6</v>
      </c>
      <c r="I151" s="502">
        <f>ROUND(SUMIFS('Capacity Summary'!$J:$J,'Capacity Summary'!$B:$B,E151,'Capacity Summary'!$C:$C,F151,'Capacity Summary'!$D:$D,G151),0)</f>
        <v>395</v>
      </c>
      <c r="J151" s="502">
        <f t="shared" si="8"/>
        <v>2370</v>
      </c>
      <c r="K151" s="513">
        <f t="shared" si="9"/>
        <v>39.5</v>
      </c>
    </row>
    <row r="152" spans="1:11" x14ac:dyDescent="0.25">
      <c r="A152" s="501" t="s">
        <v>202</v>
      </c>
      <c r="B152" s="501" t="s">
        <v>204</v>
      </c>
      <c r="C152" s="502" t="s">
        <v>1639</v>
      </c>
      <c r="D152" s="502" t="s">
        <v>1536</v>
      </c>
      <c r="E152" s="502" t="s">
        <v>1537</v>
      </c>
      <c r="F152" s="511" t="s">
        <v>85</v>
      </c>
      <c r="G152" s="556">
        <v>150</v>
      </c>
      <c r="H152" s="502">
        <v>1</v>
      </c>
      <c r="I152" s="502">
        <f>ROUND(SUMIFS('Capacity Summary'!$J:$J,'Capacity Summary'!$B:$B,E152,'Capacity Summary'!$C:$C,F152,'Capacity Summary'!$D:$D,G152),0)</f>
        <v>175</v>
      </c>
      <c r="J152" s="502">
        <f t="shared" si="8"/>
        <v>175</v>
      </c>
      <c r="K152" s="513">
        <f t="shared" si="9"/>
        <v>2.9166666666666665</v>
      </c>
    </row>
    <row r="153" spans="1:11" x14ac:dyDescent="0.25">
      <c r="A153" s="501" t="s">
        <v>202</v>
      </c>
      <c r="B153" s="501" t="s">
        <v>204</v>
      </c>
      <c r="C153" s="502" t="s">
        <v>1576</v>
      </c>
      <c r="D153" s="502" t="s">
        <v>1536</v>
      </c>
      <c r="E153" s="502" t="s">
        <v>1537</v>
      </c>
      <c r="F153" s="511" t="s">
        <v>82</v>
      </c>
      <c r="G153" s="556">
        <v>150</v>
      </c>
      <c r="H153" s="502">
        <v>1</v>
      </c>
      <c r="I153" s="502">
        <f>ROUND(SUMIFS('Capacity Summary'!$J:$J,'Capacity Summary'!$B:$B,E153,'Capacity Summary'!$C:$C,F153,'Capacity Summary'!$D:$D,G153),0)</f>
        <v>270</v>
      </c>
      <c r="J153" s="502">
        <f t="shared" si="8"/>
        <v>270</v>
      </c>
      <c r="K153" s="513">
        <f t="shared" si="9"/>
        <v>4.5</v>
      </c>
    </row>
    <row r="154" spans="1:11" x14ac:dyDescent="0.25">
      <c r="A154" s="501" t="s">
        <v>202</v>
      </c>
      <c r="B154" s="501" t="s">
        <v>204</v>
      </c>
      <c r="C154" s="502" t="s">
        <v>1640</v>
      </c>
      <c r="D154" s="502" t="s">
        <v>1534</v>
      </c>
      <c r="E154" s="502" t="s">
        <v>1535</v>
      </c>
      <c r="F154" s="511" t="s">
        <v>1403</v>
      </c>
      <c r="G154" s="556">
        <v>150</v>
      </c>
      <c r="H154" s="502">
        <v>1</v>
      </c>
      <c r="I154" s="502">
        <f>ROUND(SUMIFS('Capacity Summary'!$J:$J,'Capacity Summary'!$B:$B,E154,'Capacity Summary'!$C:$C,F154,'Capacity Summary'!$D:$D,G154),0)</f>
        <v>75</v>
      </c>
      <c r="J154" s="502">
        <f t="shared" si="8"/>
        <v>75</v>
      </c>
      <c r="K154" s="513">
        <f t="shared" si="9"/>
        <v>1.25</v>
      </c>
    </row>
    <row r="155" spans="1:11" x14ac:dyDescent="0.25">
      <c r="A155" s="501" t="s">
        <v>202</v>
      </c>
      <c r="B155" s="501" t="s">
        <v>204</v>
      </c>
      <c r="C155" s="502" t="s">
        <v>1641</v>
      </c>
      <c r="D155" s="502" t="s">
        <v>1534</v>
      </c>
      <c r="E155" s="502" t="s">
        <v>1535</v>
      </c>
      <c r="F155" s="511" t="s">
        <v>1403</v>
      </c>
      <c r="G155" s="556">
        <v>150</v>
      </c>
      <c r="H155" s="502">
        <v>2</v>
      </c>
      <c r="I155" s="502">
        <f>ROUND(SUMIFS('Capacity Summary'!$J:$J,'Capacity Summary'!$B:$B,E155,'Capacity Summary'!$C:$C,F155,'Capacity Summary'!$D:$D,G155),0)</f>
        <v>75</v>
      </c>
      <c r="J155" s="502">
        <f t="shared" si="8"/>
        <v>150</v>
      </c>
      <c r="K155" s="513">
        <f t="shared" si="9"/>
        <v>2.5</v>
      </c>
    </row>
    <row r="156" spans="1:11" x14ac:dyDescent="0.25">
      <c r="A156" s="501" t="s">
        <v>202</v>
      </c>
      <c r="B156" s="501" t="s">
        <v>204</v>
      </c>
      <c r="C156" s="502" t="s">
        <v>1642</v>
      </c>
      <c r="D156" s="502" t="s">
        <v>1534</v>
      </c>
      <c r="E156" s="502" t="s">
        <v>1535</v>
      </c>
      <c r="F156" s="511" t="s">
        <v>1404</v>
      </c>
      <c r="G156" s="556">
        <v>150</v>
      </c>
      <c r="H156" s="502">
        <v>2</v>
      </c>
      <c r="I156" s="502">
        <f>ROUND(SUMIFS('Capacity Summary'!$J:$J,'Capacity Summary'!$B:$B,E156,'Capacity Summary'!$C:$C,F156,'Capacity Summary'!$D:$D,G156),0)</f>
        <v>110</v>
      </c>
      <c r="J156" s="502">
        <f t="shared" si="8"/>
        <v>220</v>
      </c>
      <c r="K156" s="513">
        <f t="shared" si="9"/>
        <v>3.6666666666666665</v>
      </c>
    </row>
    <row r="157" spans="1:11" x14ac:dyDescent="0.25">
      <c r="A157" s="501" t="s">
        <v>202</v>
      </c>
      <c r="B157" s="501" t="s">
        <v>204</v>
      </c>
      <c r="C157" s="502" t="s">
        <v>1643</v>
      </c>
      <c r="D157" s="502" t="s">
        <v>1534</v>
      </c>
      <c r="E157" s="502" t="s">
        <v>1535</v>
      </c>
      <c r="F157" s="511" t="s">
        <v>86</v>
      </c>
      <c r="G157" s="556">
        <v>150</v>
      </c>
      <c r="H157" s="502">
        <v>1</v>
      </c>
      <c r="I157" s="502">
        <f>ROUND(SUMIFS('Capacity Summary'!$J:$J,'Capacity Summary'!$B:$B,E157,'Capacity Summary'!$C:$C,F157,'Capacity Summary'!$D:$D,G157),0)</f>
        <v>140</v>
      </c>
      <c r="J157" s="502">
        <f t="shared" si="8"/>
        <v>140</v>
      </c>
      <c r="K157" s="513">
        <f t="shared" si="9"/>
        <v>2.3333333333333335</v>
      </c>
    </row>
    <row r="158" spans="1:11" x14ac:dyDescent="0.25">
      <c r="A158" s="501" t="s">
        <v>202</v>
      </c>
      <c r="B158" s="501" t="s">
        <v>204</v>
      </c>
      <c r="C158" s="502" t="s">
        <v>1644</v>
      </c>
      <c r="D158" s="502" t="s">
        <v>1541</v>
      </c>
      <c r="E158" s="502" t="s">
        <v>1542</v>
      </c>
      <c r="F158" s="511" t="s">
        <v>84</v>
      </c>
      <c r="G158" s="556">
        <v>150</v>
      </c>
      <c r="H158" s="502">
        <v>2</v>
      </c>
      <c r="I158" s="502">
        <f>ROUND(SUMIFS('Capacity Summary'!$J:$J,'Capacity Summary'!$B:$B,E158,'Capacity Summary'!$C:$C,F158,'Capacity Summary'!$D:$D,G158),0)</f>
        <v>102</v>
      </c>
      <c r="J158" s="502">
        <f t="shared" si="8"/>
        <v>204</v>
      </c>
      <c r="K158" s="513">
        <f t="shared" si="9"/>
        <v>3.4</v>
      </c>
    </row>
    <row r="159" spans="1:11" x14ac:dyDescent="0.25">
      <c r="A159" s="501" t="s">
        <v>196</v>
      </c>
      <c r="B159" s="501" t="s">
        <v>198</v>
      </c>
      <c r="C159" s="502" t="s">
        <v>1645</v>
      </c>
      <c r="D159" s="502" t="s">
        <v>1529</v>
      </c>
      <c r="E159" s="502" t="s">
        <v>1530</v>
      </c>
      <c r="F159" s="511" t="s">
        <v>195</v>
      </c>
      <c r="G159" s="556">
        <v>150</v>
      </c>
      <c r="H159" s="502">
        <v>2</v>
      </c>
      <c r="I159" s="502">
        <f>ROUND(SUMIFS('Capacity Summary'!$J:$J,'Capacity Summary'!$B:$B,E159,'Capacity Summary'!$C:$C,F159,'Capacity Summary'!$D:$D,G159),0)</f>
        <v>705</v>
      </c>
      <c r="J159" s="502">
        <f t="shared" si="8"/>
        <v>1410</v>
      </c>
      <c r="K159" s="513">
        <f t="shared" si="9"/>
        <v>23.5</v>
      </c>
    </row>
    <row r="160" spans="1:11" x14ac:dyDescent="0.25">
      <c r="A160" s="501" t="s">
        <v>206</v>
      </c>
      <c r="B160" s="501" t="s">
        <v>208</v>
      </c>
      <c r="C160" s="502" t="s">
        <v>1595</v>
      </c>
      <c r="D160" s="502" t="s">
        <v>1534</v>
      </c>
      <c r="E160" s="502" t="s">
        <v>1535</v>
      </c>
      <c r="F160" s="511" t="s">
        <v>118</v>
      </c>
      <c r="G160" s="556">
        <v>150</v>
      </c>
      <c r="H160" s="502">
        <v>1</v>
      </c>
      <c r="I160" s="502">
        <f>ROUND(SUMIFS('Capacity Summary'!$J:$J,'Capacity Summary'!$B:$B,E160,'Capacity Summary'!$C:$C,F160,'Capacity Summary'!$D:$D,G160),0)</f>
        <v>605</v>
      </c>
      <c r="J160" s="502">
        <f t="shared" si="8"/>
        <v>605</v>
      </c>
      <c r="K160" s="513">
        <f t="shared" si="9"/>
        <v>10.083333333333334</v>
      </c>
    </row>
    <row r="161" spans="1:11" x14ac:dyDescent="0.25">
      <c r="A161" s="501" t="s">
        <v>206</v>
      </c>
      <c r="B161" s="501" t="s">
        <v>208</v>
      </c>
      <c r="C161" s="502" t="s">
        <v>1593</v>
      </c>
      <c r="D161" s="502" t="s">
        <v>1534</v>
      </c>
      <c r="E161" s="502" t="s">
        <v>1535</v>
      </c>
      <c r="F161" s="511" t="s">
        <v>80</v>
      </c>
      <c r="G161" s="556">
        <v>150</v>
      </c>
      <c r="H161" s="502">
        <v>1</v>
      </c>
      <c r="I161" s="502">
        <f>ROUND(SUMIFS('Capacity Summary'!$J:$J,'Capacity Summary'!$B:$B,E161,'Capacity Summary'!$C:$C,F161,'Capacity Summary'!$D:$D,G161),0)</f>
        <v>395</v>
      </c>
      <c r="J161" s="502">
        <f t="shared" si="8"/>
        <v>395</v>
      </c>
      <c r="K161" s="513">
        <f t="shared" si="9"/>
        <v>6.583333333333333</v>
      </c>
    </row>
    <row r="162" spans="1:11" x14ac:dyDescent="0.25">
      <c r="A162" s="501" t="s">
        <v>206</v>
      </c>
      <c r="B162" s="501" t="s">
        <v>208</v>
      </c>
      <c r="C162" s="502" t="s">
        <v>1574</v>
      </c>
      <c r="D162" s="502" t="s">
        <v>1534</v>
      </c>
      <c r="E162" s="502" t="s">
        <v>1535</v>
      </c>
      <c r="F162" s="511" t="s">
        <v>84</v>
      </c>
      <c r="G162" s="556">
        <v>150</v>
      </c>
      <c r="H162" s="502">
        <v>1</v>
      </c>
      <c r="I162" s="502">
        <f>ROUND(SUMIFS('Capacity Summary'!$J:$J,'Capacity Summary'!$B:$B,E162,'Capacity Summary'!$C:$C,F162,'Capacity Summary'!$D:$D,G162),0)</f>
        <v>235</v>
      </c>
      <c r="J162" s="502">
        <f t="shared" si="8"/>
        <v>235</v>
      </c>
      <c r="K162" s="513">
        <f t="shared" si="9"/>
        <v>3.9166666666666665</v>
      </c>
    </row>
    <row r="163" spans="1:11" x14ac:dyDescent="0.25">
      <c r="A163" s="501" t="s">
        <v>206</v>
      </c>
      <c r="B163" s="501" t="s">
        <v>208</v>
      </c>
      <c r="C163" s="502" t="s">
        <v>1574</v>
      </c>
      <c r="D163" s="502" t="s">
        <v>1534</v>
      </c>
      <c r="E163" s="502" t="s">
        <v>1535</v>
      </c>
      <c r="F163" s="511" t="s">
        <v>84</v>
      </c>
      <c r="G163" s="556">
        <v>150</v>
      </c>
      <c r="H163" s="502">
        <v>1</v>
      </c>
      <c r="I163" s="502">
        <f>ROUND(SUMIFS('Capacity Summary'!$J:$J,'Capacity Summary'!$B:$B,E163,'Capacity Summary'!$C:$C,F163,'Capacity Summary'!$D:$D,G163),0)</f>
        <v>235</v>
      </c>
      <c r="J163" s="502">
        <f t="shared" si="8"/>
        <v>235</v>
      </c>
      <c r="K163" s="513">
        <f t="shared" si="9"/>
        <v>3.9166666666666665</v>
      </c>
    </row>
    <row r="164" spans="1:11" x14ac:dyDescent="0.25">
      <c r="A164" s="501" t="s">
        <v>206</v>
      </c>
      <c r="B164" s="501" t="s">
        <v>208</v>
      </c>
      <c r="C164" s="502" t="s">
        <v>1575</v>
      </c>
      <c r="D164" s="502" t="s">
        <v>1534</v>
      </c>
      <c r="E164" s="502" t="s">
        <v>1535</v>
      </c>
      <c r="F164" s="511" t="s">
        <v>86</v>
      </c>
      <c r="G164" s="556">
        <v>150</v>
      </c>
      <c r="H164" s="502">
        <v>4</v>
      </c>
      <c r="I164" s="502">
        <f>ROUND(SUMIFS('Capacity Summary'!$J:$J,'Capacity Summary'!$B:$B,E164,'Capacity Summary'!$C:$C,F164,'Capacity Summary'!$D:$D,G164),0)</f>
        <v>140</v>
      </c>
      <c r="J164" s="502">
        <f t="shared" si="8"/>
        <v>560</v>
      </c>
      <c r="K164" s="513">
        <f t="shared" si="9"/>
        <v>9.3333333333333339</v>
      </c>
    </row>
    <row r="165" spans="1:11" x14ac:dyDescent="0.25">
      <c r="A165" s="501" t="s">
        <v>206</v>
      </c>
      <c r="B165" s="501" t="s">
        <v>208</v>
      </c>
      <c r="C165" s="502" t="s">
        <v>1573</v>
      </c>
      <c r="D165" s="502" t="s">
        <v>1534</v>
      </c>
      <c r="E165" s="502" t="s">
        <v>1535</v>
      </c>
      <c r="F165" s="511" t="s">
        <v>82</v>
      </c>
      <c r="G165" s="556">
        <v>150</v>
      </c>
      <c r="H165" s="502">
        <v>2</v>
      </c>
      <c r="I165" s="502">
        <f>ROUND(SUMIFS('Capacity Summary'!$J:$J,'Capacity Summary'!$B:$B,E165,'Capacity Summary'!$C:$C,F165,'Capacity Summary'!$D:$D,G165),0)</f>
        <v>285</v>
      </c>
      <c r="J165" s="502">
        <f t="shared" si="8"/>
        <v>570</v>
      </c>
      <c r="K165" s="513">
        <f t="shared" si="9"/>
        <v>9.5</v>
      </c>
    </row>
    <row r="166" spans="1:11" x14ac:dyDescent="0.25">
      <c r="A166" s="501" t="s">
        <v>206</v>
      </c>
      <c r="B166" s="501" t="s">
        <v>208</v>
      </c>
      <c r="C166" s="502" t="s">
        <v>1605</v>
      </c>
      <c r="D166" s="502" t="s">
        <v>1534</v>
      </c>
      <c r="E166" s="502" t="s">
        <v>1535</v>
      </c>
      <c r="F166" s="511" t="s">
        <v>120</v>
      </c>
      <c r="G166" s="556">
        <v>150</v>
      </c>
      <c r="H166" s="502">
        <v>1</v>
      </c>
      <c r="I166" s="502">
        <f>ROUND(SUMIFS('Capacity Summary'!$J:$J,'Capacity Summary'!$B:$B,E166,'Capacity Summary'!$C:$C,F166,'Capacity Summary'!$D:$D,G166),0)</f>
        <v>340</v>
      </c>
      <c r="J166" s="502">
        <f t="shared" si="8"/>
        <v>340</v>
      </c>
      <c r="K166" s="513">
        <f t="shared" si="9"/>
        <v>5.666666666666667</v>
      </c>
    </row>
    <row r="167" spans="1:11" x14ac:dyDescent="0.25">
      <c r="A167" s="501" t="s">
        <v>206</v>
      </c>
      <c r="B167" s="501" t="s">
        <v>208</v>
      </c>
      <c r="C167" s="502" t="s">
        <v>1646</v>
      </c>
      <c r="D167" s="502" t="s">
        <v>1529</v>
      </c>
      <c r="E167" s="502" t="s">
        <v>1530</v>
      </c>
      <c r="F167" s="511" t="s">
        <v>1404</v>
      </c>
      <c r="G167" s="556">
        <v>150</v>
      </c>
      <c r="H167" s="502">
        <v>2</v>
      </c>
      <c r="I167" s="502">
        <f>ROUND(SUMIFS('Capacity Summary'!$J:$J,'Capacity Summary'!$B:$B,E167,'Capacity Summary'!$C:$C,F167,'Capacity Summary'!$D:$D,G167),0)</f>
        <v>85</v>
      </c>
      <c r="J167" s="502">
        <f t="shared" si="8"/>
        <v>170</v>
      </c>
      <c r="K167" s="513">
        <f t="shared" si="9"/>
        <v>2.8333333333333335</v>
      </c>
    </row>
    <row r="168" spans="1:11" x14ac:dyDescent="0.25">
      <c r="A168" s="501" t="s">
        <v>206</v>
      </c>
      <c r="B168" s="501" t="s">
        <v>208</v>
      </c>
      <c r="C168" s="502" t="s">
        <v>1647</v>
      </c>
      <c r="D168" s="502" t="s">
        <v>1529</v>
      </c>
      <c r="E168" s="502" t="s">
        <v>1530</v>
      </c>
      <c r="F168" s="511" t="s">
        <v>86</v>
      </c>
      <c r="G168" s="556">
        <v>150</v>
      </c>
      <c r="H168" s="502">
        <v>3</v>
      </c>
      <c r="I168" s="502">
        <f>ROUND(SUMIFS('Capacity Summary'!$J:$J,'Capacity Summary'!$B:$B,E168,'Capacity Summary'!$C:$C,F168,'Capacity Summary'!$D:$D,G168),0)</f>
        <v>115</v>
      </c>
      <c r="J168" s="502">
        <f t="shared" si="8"/>
        <v>345</v>
      </c>
      <c r="K168" s="513">
        <f t="shared" si="9"/>
        <v>5.75</v>
      </c>
    </row>
    <row r="169" spans="1:11" x14ac:dyDescent="0.25">
      <c r="A169" s="501" t="s">
        <v>206</v>
      </c>
      <c r="B169" s="501" t="s">
        <v>208</v>
      </c>
      <c r="C169" s="502" t="s">
        <v>1648</v>
      </c>
      <c r="D169" s="502" t="s">
        <v>1529</v>
      </c>
      <c r="E169" s="502" t="s">
        <v>1530</v>
      </c>
      <c r="F169" s="511" t="s">
        <v>89</v>
      </c>
      <c r="G169" s="556">
        <v>800</v>
      </c>
      <c r="H169" s="502">
        <v>2</v>
      </c>
      <c r="I169" s="502">
        <f>ROUND(SUMIFS('Capacity Summary'!$J:$J,'Capacity Summary'!$B:$B,E169,'Capacity Summary'!$C:$C,F169,'Capacity Summary'!$D:$D,G169),0)</f>
        <v>80</v>
      </c>
      <c r="J169" s="502">
        <f t="shared" si="8"/>
        <v>160</v>
      </c>
      <c r="K169" s="513">
        <f t="shared" si="9"/>
        <v>2.6666666666666665</v>
      </c>
    </row>
    <row r="170" spans="1:11" x14ac:dyDescent="0.25">
      <c r="A170" s="501" t="s">
        <v>206</v>
      </c>
      <c r="B170" s="501" t="s">
        <v>208</v>
      </c>
      <c r="C170" s="502" t="s">
        <v>1648</v>
      </c>
      <c r="D170" s="502" t="s">
        <v>1529</v>
      </c>
      <c r="E170" s="502" t="s">
        <v>1530</v>
      </c>
      <c r="F170" s="511" t="s">
        <v>89</v>
      </c>
      <c r="G170" s="556">
        <v>800</v>
      </c>
      <c r="H170" s="502">
        <v>3</v>
      </c>
      <c r="I170" s="502">
        <f>ROUND(SUMIFS('Capacity Summary'!$J:$J,'Capacity Summary'!$B:$B,E170,'Capacity Summary'!$C:$C,F170,'Capacity Summary'!$D:$D,G170),0)</f>
        <v>80</v>
      </c>
      <c r="J170" s="502">
        <f t="shared" ref="J170:J233" si="10">H170*I170</f>
        <v>240</v>
      </c>
      <c r="K170" s="513">
        <f t="shared" ref="K170:K233" si="11">J170/60</f>
        <v>4</v>
      </c>
    </row>
    <row r="171" spans="1:11" x14ac:dyDescent="0.25">
      <c r="A171" s="501" t="s">
        <v>206</v>
      </c>
      <c r="B171" s="501" t="s">
        <v>208</v>
      </c>
      <c r="C171" s="502" t="s">
        <v>1649</v>
      </c>
      <c r="D171" s="502" t="s">
        <v>1547</v>
      </c>
      <c r="E171" s="502" t="s">
        <v>1549</v>
      </c>
      <c r="F171" s="511" t="s">
        <v>84</v>
      </c>
      <c r="G171" s="556">
        <v>150</v>
      </c>
      <c r="H171" s="502">
        <v>2</v>
      </c>
      <c r="I171" s="502">
        <f>ROUND(SUMIFS('Capacity Summary'!$J:$J,'Capacity Summary'!$B:$B,E171,'Capacity Summary'!$C:$C,F171,'Capacity Summary'!$D:$D,G171),0)</f>
        <v>97</v>
      </c>
      <c r="J171" s="502">
        <f t="shared" si="10"/>
        <v>194</v>
      </c>
      <c r="K171" s="513">
        <f t="shared" si="11"/>
        <v>3.2333333333333334</v>
      </c>
    </row>
    <row r="172" spans="1:11" x14ac:dyDescent="0.25">
      <c r="A172" s="501" t="s">
        <v>206</v>
      </c>
      <c r="B172" s="501" t="s">
        <v>208</v>
      </c>
      <c r="C172" s="502" t="s">
        <v>1650</v>
      </c>
      <c r="D172" s="502" t="s">
        <v>1547</v>
      </c>
      <c r="E172" s="502" t="s">
        <v>1549</v>
      </c>
      <c r="F172" s="511" t="s">
        <v>82</v>
      </c>
      <c r="G172" s="556">
        <v>150</v>
      </c>
      <c r="H172" s="502">
        <v>2</v>
      </c>
      <c r="I172" s="502">
        <f>ROUND(SUMIFS('Capacity Summary'!$J:$J,'Capacity Summary'!$B:$B,E172,'Capacity Summary'!$C:$C,F172,'Capacity Summary'!$D:$D,G172),0)</f>
        <v>140</v>
      </c>
      <c r="J172" s="502">
        <f t="shared" si="10"/>
        <v>280</v>
      </c>
      <c r="K172" s="513">
        <f t="shared" si="11"/>
        <v>4.666666666666667</v>
      </c>
    </row>
    <row r="173" spans="1:11" x14ac:dyDescent="0.25">
      <c r="A173" s="501" t="s">
        <v>210</v>
      </c>
      <c r="B173" s="501" t="s">
        <v>212</v>
      </c>
      <c r="C173" s="502" t="s">
        <v>1651</v>
      </c>
      <c r="D173" s="502" t="s">
        <v>1529</v>
      </c>
      <c r="E173" s="502" t="s">
        <v>1530</v>
      </c>
      <c r="F173" s="511" t="s">
        <v>120</v>
      </c>
      <c r="G173" s="556">
        <v>150</v>
      </c>
      <c r="H173" s="502">
        <v>4</v>
      </c>
      <c r="I173" s="502">
        <f>ROUND(SUMIFS('Capacity Summary'!$J:$J,'Capacity Summary'!$B:$B,E173,'Capacity Summary'!$C:$C,F173,'Capacity Summary'!$D:$D,G173),0)</f>
        <v>220</v>
      </c>
      <c r="J173" s="502">
        <f t="shared" si="10"/>
        <v>880</v>
      </c>
      <c r="K173" s="513">
        <f t="shared" si="11"/>
        <v>14.666666666666666</v>
      </c>
    </row>
    <row r="174" spans="1:11" x14ac:dyDescent="0.25">
      <c r="A174" s="501" t="s">
        <v>210</v>
      </c>
      <c r="B174" s="501" t="s">
        <v>212</v>
      </c>
      <c r="C174" s="502" t="s">
        <v>1636</v>
      </c>
      <c r="D174" s="502" t="s">
        <v>1529</v>
      </c>
      <c r="E174" s="502" t="s">
        <v>1530</v>
      </c>
      <c r="F174" s="511" t="s">
        <v>82</v>
      </c>
      <c r="G174" s="556">
        <v>150</v>
      </c>
      <c r="H174" s="502">
        <v>4</v>
      </c>
      <c r="I174" s="502">
        <f>ROUND(SUMIFS('Capacity Summary'!$J:$J,'Capacity Summary'!$B:$B,E174,'Capacity Summary'!$C:$C,F174,'Capacity Summary'!$D:$D,G174),0)</f>
        <v>185</v>
      </c>
      <c r="J174" s="502">
        <f t="shared" si="10"/>
        <v>740</v>
      </c>
      <c r="K174" s="513">
        <f t="shared" si="11"/>
        <v>12.333333333333334</v>
      </c>
    </row>
    <row r="175" spans="1:11" x14ac:dyDescent="0.25">
      <c r="A175" s="501" t="s">
        <v>210</v>
      </c>
      <c r="B175" s="501" t="s">
        <v>212</v>
      </c>
      <c r="C175" s="502" t="s">
        <v>1652</v>
      </c>
      <c r="D175" s="502" t="s">
        <v>1529</v>
      </c>
      <c r="E175" s="502" t="s">
        <v>1530</v>
      </c>
      <c r="F175" s="511" t="s">
        <v>84</v>
      </c>
      <c r="G175" s="556">
        <v>150</v>
      </c>
      <c r="H175" s="502">
        <v>3</v>
      </c>
      <c r="I175" s="502">
        <f>ROUND(SUMIFS('Capacity Summary'!$J:$J,'Capacity Summary'!$B:$B,E175,'Capacity Summary'!$C:$C,F175,'Capacity Summary'!$D:$D,G175),0)</f>
        <v>130</v>
      </c>
      <c r="J175" s="502">
        <f t="shared" si="10"/>
        <v>390</v>
      </c>
      <c r="K175" s="513">
        <f t="shared" si="11"/>
        <v>6.5</v>
      </c>
    </row>
    <row r="176" spans="1:11" x14ac:dyDescent="0.25">
      <c r="A176" s="501" t="s">
        <v>224</v>
      </c>
      <c r="B176" s="501" t="s">
        <v>212</v>
      </c>
      <c r="C176" s="502" t="s">
        <v>1653</v>
      </c>
      <c r="D176" s="502" t="s">
        <v>1529</v>
      </c>
      <c r="E176" s="502" t="s">
        <v>1530</v>
      </c>
      <c r="F176" s="511" t="s">
        <v>84</v>
      </c>
      <c r="G176" s="556">
        <v>600</v>
      </c>
      <c r="H176" s="502">
        <v>3</v>
      </c>
      <c r="I176" s="502">
        <f>ROUND(SUMIFS('Capacity Summary'!$J:$J,'Capacity Summary'!$B:$B,E176,'Capacity Summary'!$C:$C,F176,'Capacity Summary'!$D:$D,G176),0)</f>
        <v>160</v>
      </c>
      <c r="J176" s="502">
        <f t="shared" si="10"/>
        <v>480</v>
      </c>
      <c r="K176" s="513">
        <f t="shared" si="11"/>
        <v>8</v>
      </c>
    </row>
    <row r="177" spans="1:11" x14ac:dyDescent="0.25">
      <c r="A177" s="501" t="s">
        <v>224</v>
      </c>
      <c r="B177" s="501" t="s">
        <v>212</v>
      </c>
      <c r="C177" s="502" t="s">
        <v>1654</v>
      </c>
      <c r="D177" s="502" t="s">
        <v>1529</v>
      </c>
      <c r="E177" s="502" t="s">
        <v>1530</v>
      </c>
      <c r="F177" s="511" t="s">
        <v>84</v>
      </c>
      <c r="G177" s="556">
        <v>900</v>
      </c>
      <c r="H177" s="502">
        <v>2</v>
      </c>
      <c r="I177" s="502">
        <f>ROUND(SUMIFS('Capacity Summary'!$J:$J,'Capacity Summary'!$B:$B,E177,'Capacity Summary'!$C:$C,F177,'Capacity Summary'!$D:$D,G177),0)</f>
        <v>180</v>
      </c>
      <c r="J177" s="502">
        <f t="shared" si="10"/>
        <v>360</v>
      </c>
      <c r="K177" s="513">
        <f t="shared" si="11"/>
        <v>6</v>
      </c>
    </row>
    <row r="178" spans="1:11" x14ac:dyDescent="0.25">
      <c r="A178" s="501" t="s">
        <v>224</v>
      </c>
      <c r="B178" s="501" t="s">
        <v>212</v>
      </c>
      <c r="C178" s="502" t="s">
        <v>1655</v>
      </c>
      <c r="D178" s="502" t="s">
        <v>1529</v>
      </c>
      <c r="E178" s="502" t="s">
        <v>1530</v>
      </c>
      <c r="F178" s="511" t="s">
        <v>84</v>
      </c>
      <c r="G178" s="556">
        <v>1500</v>
      </c>
      <c r="H178" s="502">
        <v>3</v>
      </c>
      <c r="I178" s="502">
        <f>ROUND(SUMIFS('Capacity Summary'!$J:$J,'Capacity Summary'!$B:$B,E178,'Capacity Summary'!$C:$C,F178,'Capacity Summary'!$D:$D,G178),0)</f>
        <v>220</v>
      </c>
      <c r="J178" s="502">
        <f t="shared" si="10"/>
        <v>660</v>
      </c>
      <c r="K178" s="513">
        <f t="shared" si="11"/>
        <v>11</v>
      </c>
    </row>
    <row r="179" spans="1:11" x14ac:dyDescent="0.25">
      <c r="A179" s="501" t="s">
        <v>229</v>
      </c>
      <c r="B179" s="501" t="s">
        <v>212</v>
      </c>
      <c r="C179" s="502" t="s">
        <v>1656</v>
      </c>
      <c r="D179" s="502" t="s">
        <v>1529</v>
      </c>
      <c r="E179" s="502" t="s">
        <v>1530</v>
      </c>
      <c r="F179" s="511" t="s">
        <v>1405</v>
      </c>
      <c r="G179" s="556">
        <v>900</v>
      </c>
      <c r="H179" s="502">
        <v>5</v>
      </c>
      <c r="I179" s="502">
        <f>ROUND(SUMIFS('Capacity Summary'!$J:$J,'Capacity Summary'!$B:$B,E179,'Capacity Summary'!$C:$C,F179,'Capacity Summary'!$D:$D,G179),0)</f>
        <v>122</v>
      </c>
      <c r="J179" s="502">
        <f t="shared" si="10"/>
        <v>610</v>
      </c>
      <c r="K179" s="513">
        <f t="shared" si="11"/>
        <v>10.166666666666666</v>
      </c>
    </row>
    <row r="180" spans="1:11" x14ac:dyDescent="0.25">
      <c r="A180" s="501" t="s">
        <v>229</v>
      </c>
      <c r="B180" s="501" t="s">
        <v>212</v>
      </c>
      <c r="C180" s="502" t="s">
        <v>1657</v>
      </c>
      <c r="D180" s="502" t="s">
        <v>1529</v>
      </c>
      <c r="E180" s="502" t="s">
        <v>1530</v>
      </c>
      <c r="F180" s="511" t="s">
        <v>84</v>
      </c>
      <c r="G180" s="556">
        <v>1500</v>
      </c>
      <c r="H180" s="502">
        <v>1</v>
      </c>
      <c r="I180" s="502">
        <f>ROUND(SUMIFS('Capacity Summary'!$J:$J,'Capacity Summary'!$B:$B,E180,'Capacity Summary'!$C:$C,F180,'Capacity Summary'!$D:$D,G180),0)</f>
        <v>220</v>
      </c>
      <c r="J180" s="502">
        <f t="shared" si="10"/>
        <v>220</v>
      </c>
      <c r="K180" s="513">
        <f t="shared" si="11"/>
        <v>3.6666666666666665</v>
      </c>
    </row>
    <row r="181" spans="1:11" x14ac:dyDescent="0.25">
      <c r="A181" s="501" t="s">
        <v>229</v>
      </c>
      <c r="B181" s="501" t="s">
        <v>212</v>
      </c>
      <c r="C181" s="502" t="s">
        <v>1658</v>
      </c>
      <c r="D181" s="502" t="s">
        <v>1529</v>
      </c>
      <c r="E181" s="502" t="s">
        <v>1530</v>
      </c>
      <c r="F181" s="511" t="s">
        <v>120</v>
      </c>
      <c r="G181" s="556">
        <v>600</v>
      </c>
      <c r="H181" s="502">
        <v>1</v>
      </c>
      <c r="I181" s="502">
        <f>ROUND(SUMIFS('Capacity Summary'!$J:$J,'Capacity Summary'!$B:$B,E181,'Capacity Summary'!$C:$C,F181,'Capacity Summary'!$D:$D,G181),0)</f>
        <v>295</v>
      </c>
      <c r="J181" s="502">
        <f t="shared" si="10"/>
        <v>295</v>
      </c>
      <c r="K181" s="513">
        <f t="shared" si="11"/>
        <v>4.916666666666667</v>
      </c>
    </row>
    <row r="182" spans="1:11" x14ac:dyDescent="0.25">
      <c r="A182" s="501" t="s">
        <v>217</v>
      </c>
      <c r="B182" s="501" t="s">
        <v>219</v>
      </c>
      <c r="C182" s="502" t="s">
        <v>1659</v>
      </c>
      <c r="D182" s="502" t="s">
        <v>1534</v>
      </c>
      <c r="E182" s="502" t="s">
        <v>1535</v>
      </c>
      <c r="F182" s="511" t="s">
        <v>1403</v>
      </c>
      <c r="G182" s="556">
        <v>1500</v>
      </c>
      <c r="H182" s="502">
        <v>2</v>
      </c>
      <c r="I182" s="502">
        <f>ROUND(SUMIFS('Capacity Summary'!$J:$J,'Capacity Summary'!$B:$B,E182,'Capacity Summary'!$C:$C,F182,'Capacity Summary'!$D:$D,G182),0)</f>
        <v>105</v>
      </c>
      <c r="J182" s="502">
        <f t="shared" si="10"/>
        <v>210</v>
      </c>
      <c r="K182" s="513">
        <f t="shared" si="11"/>
        <v>3.5</v>
      </c>
    </row>
    <row r="183" spans="1:11" x14ac:dyDescent="0.25">
      <c r="A183" s="501" t="s">
        <v>217</v>
      </c>
      <c r="B183" s="501" t="s">
        <v>219</v>
      </c>
      <c r="C183" s="502" t="s">
        <v>1660</v>
      </c>
      <c r="D183" s="502" t="s">
        <v>1534</v>
      </c>
      <c r="E183" s="502" t="s">
        <v>1535</v>
      </c>
      <c r="F183" s="511" t="s">
        <v>1403</v>
      </c>
      <c r="G183" s="556">
        <v>300</v>
      </c>
      <c r="H183" s="502">
        <v>20</v>
      </c>
      <c r="I183" s="502">
        <f>ROUND(SUMIFS('Capacity Summary'!$J:$J,'Capacity Summary'!$B:$B,E183,'Capacity Summary'!$C:$C,F183,'Capacity Summary'!$D:$D,G183),0)</f>
        <v>105</v>
      </c>
      <c r="J183" s="502">
        <f t="shared" si="10"/>
        <v>2100</v>
      </c>
      <c r="K183" s="513">
        <f t="shared" si="11"/>
        <v>35</v>
      </c>
    </row>
    <row r="184" spans="1:11" x14ac:dyDescent="0.25">
      <c r="A184" s="501" t="s">
        <v>217</v>
      </c>
      <c r="B184" s="501" t="s">
        <v>219</v>
      </c>
      <c r="C184" s="502" t="s">
        <v>1661</v>
      </c>
      <c r="D184" s="502" t="s">
        <v>1534</v>
      </c>
      <c r="E184" s="502" t="s">
        <v>1535</v>
      </c>
      <c r="F184" s="511" t="s">
        <v>1403</v>
      </c>
      <c r="G184" s="556">
        <v>600</v>
      </c>
      <c r="H184" s="502">
        <v>4</v>
      </c>
      <c r="I184" s="502">
        <f>ROUND(SUMIFS('Capacity Summary'!$J:$J,'Capacity Summary'!$B:$B,E184,'Capacity Summary'!$C:$C,F184,'Capacity Summary'!$D:$D,G184),0)</f>
        <v>87</v>
      </c>
      <c r="J184" s="502">
        <f t="shared" si="10"/>
        <v>348</v>
      </c>
      <c r="K184" s="513">
        <f t="shared" si="11"/>
        <v>5.8</v>
      </c>
    </row>
    <row r="185" spans="1:11" x14ac:dyDescent="0.25">
      <c r="A185" s="501" t="s">
        <v>871</v>
      </c>
      <c r="B185" s="501" t="s">
        <v>872</v>
      </c>
      <c r="C185" s="502" t="s">
        <v>1662</v>
      </c>
      <c r="D185" s="502" t="s">
        <v>1529</v>
      </c>
      <c r="E185" s="502" t="s">
        <v>1530</v>
      </c>
      <c r="F185" s="511" t="s">
        <v>86</v>
      </c>
      <c r="G185" s="556">
        <v>900</v>
      </c>
      <c r="H185" s="502">
        <v>1</v>
      </c>
      <c r="I185" s="502">
        <f>ROUND(SUMIFS('Capacity Summary'!$J:$J,'Capacity Summary'!$B:$B,E185,'Capacity Summary'!$C:$C,F185,'Capacity Summary'!$D:$D,G185),0)</f>
        <v>117</v>
      </c>
      <c r="J185" s="502">
        <f t="shared" si="10"/>
        <v>117</v>
      </c>
      <c r="K185" s="513">
        <f t="shared" si="11"/>
        <v>1.95</v>
      </c>
    </row>
    <row r="186" spans="1:11" x14ac:dyDescent="0.25">
      <c r="A186" s="501" t="s">
        <v>871</v>
      </c>
      <c r="B186" s="501" t="s">
        <v>872</v>
      </c>
      <c r="C186" s="502" t="s">
        <v>1663</v>
      </c>
      <c r="D186" s="502" t="s">
        <v>1529</v>
      </c>
      <c r="E186" s="502" t="s">
        <v>1530</v>
      </c>
      <c r="F186" s="511" t="s">
        <v>86</v>
      </c>
      <c r="G186" s="556">
        <v>900</v>
      </c>
      <c r="H186" s="502">
        <v>2</v>
      </c>
      <c r="I186" s="502">
        <f>ROUND(SUMIFS('Capacity Summary'!$J:$J,'Capacity Summary'!$B:$B,E186,'Capacity Summary'!$C:$C,F186,'Capacity Summary'!$D:$D,G186),0)</f>
        <v>117</v>
      </c>
      <c r="J186" s="502">
        <f t="shared" si="10"/>
        <v>234</v>
      </c>
      <c r="K186" s="513">
        <f t="shared" si="11"/>
        <v>3.9</v>
      </c>
    </row>
    <row r="187" spans="1:11" x14ac:dyDescent="0.25">
      <c r="A187" s="501" t="s">
        <v>1113</v>
      </c>
      <c r="B187" s="501" t="s">
        <v>872</v>
      </c>
      <c r="C187" s="502" t="s">
        <v>1662</v>
      </c>
      <c r="D187" s="502" t="s">
        <v>1529</v>
      </c>
      <c r="E187" s="502" t="s">
        <v>1530</v>
      </c>
      <c r="F187" s="511" t="s">
        <v>86</v>
      </c>
      <c r="G187" s="556">
        <v>900</v>
      </c>
      <c r="H187" s="502">
        <v>7</v>
      </c>
      <c r="I187" s="502">
        <f>ROUND(SUMIFS('Capacity Summary'!$J:$J,'Capacity Summary'!$B:$B,E187,'Capacity Summary'!$C:$C,F187,'Capacity Summary'!$D:$D,G187),0)</f>
        <v>117</v>
      </c>
      <c r="J187" s="502">
        <f t="shared" si="10"/>
        <v>819</v>
      </c>
      <c r="K187" s="513">
        <f t="shared" si="11"/>
        <v>13.65</v>
      </c>
    </row>
    <row r="188" spans="1:11" x14ac:dyDescent="0.25">
      <c r="A188" s="501" t="s">
        <v>1113</v>
      </c>
      <c r="B188" s="501" t="s">
        <v>872</v>
      </c>
      <c r="C188" s="502" t="s">
        <v>1827</v>
      </c>
      <c r="D188" s="502" t="s">
        <v>1529</v>
      </c>
      <c r="E188" s="502" t="s">
        <v>1530</v>
      </c>
      <c r="F188" s="511" t="s">
        <v>84</v>
      </c>
      <c r="G188" s="556">
        <v>900</v>
      </c>
      <c r="H188" s="502">
        <v>5</v>
      </c>
      <c r="I188" s="502">
        <f>ROUND(SUMIFS('Capacity Summary'!$J:$J,'Capacity Summary'!$B:$B,E188,'Capacity Summary'!$C:$C,F188,'Capacity Summary'!$D:$D,G188),0)</f>
        <v>180</v>
      </c>
      <c r="J188" s="502">
        <f t="shared" si="10"/>
        <v>900</v>
      </c>
      <c r="K188" s="513">
        <f t="shared" si="11"/>
        <v>15</v>
      </c>
    </row>
    <row r="189" spans="1:11" x14ac:dyDescent="0.25">
      <c r="A189" s="501" t="s">
        <v>1113</v>
      </c>
      <c r="B189" s="501" t="s">
        <v>872</v>
      </c>
      <c r="C189" s="502" t="s">
        <v>1828</v>
      </c>
      <c r="D189" s="502" t="s">
        <v>1529</v>
      </c>
      <c r="E189" s="502" t="s">
        <v>1530</v>
      </c>
      <c r="F189" s="511" t="s">
        <v>120</v>
      </c>
      <c r="G189" s="556">
        <v>900</v>
      </c>
      <c r="H189" s="502">
        <v>2</v>
      </c>
      <c r="I189" s="502">
        <f>ROUND(SUMIFS('Capacity Summary'!$J:$J,'Capacity Summary'!$B:$B,E189,'Capacity Summary'!$C:$C,F189,'Capacity Summary'!$D:$D,G189),0)</f>
        <v>345</v>
      </c>
      <c r="J189" s="502">
        <f t="shared" si="10"/>
        <v>690</v>
      </c>
      <c r="K189" s="513">
        <f t="shared" si="11"/>
        <v>11.5</v>
      </c>
    </row>
    <row r="190" spans="1:11" x14ac:dyDescent="0.25">
      <c r="A190" s="501" t="s">
        <v>1113</v>
      </c>
      <c r="B190" s="501" t="s">
        <v>872</v>
      </c>
      <c r="C190" s="502" t="s">
        <v>1829</v>
      </c>
      <c r="D190" s="502" t="s">
        <v>1529</v>
      </c>
      <c r="E190" s="502" t="s">
        <v>1530</v>
      </c>
      <c r="F190" s="511" t="s">
        <v>119</v>
      </c>
      <c r="G190" s="556">
        <v>900</v>
      </c>
      <c r="H190" s="502">
        <v>12</v>
      </c>
      <c r="I190" s="502">
        <f>ROUND(SUMIFS('Capacity Summary'!$J:$J,'Capacity Summary'!$B:$B,E190,'Capacity Summary'!$C:$C,F190,'Capacity Summary'!$D:$D,G190),0)</f>
        <v>570</v>
      </c>
      <c r="J190" s="502">
        <f t="shared" si="10"/>
        <v>6840</v>
      </c>
      <c r="K190" s="513">
        <f t="shared" si="11"/>
        <v>114</v>
      </c>
    </row>
    <row r="191" spans="1:11" x14ac:dyDescent="0.25">
      <c r="A191" s="501" t="s">
        <v>1113</v>
      </c>
      <c r="B191" s="501" t="s">
        <v>872</v>
      </c>
      <c r="C191" s="502" t="s">
        <v>1830</v>
      </c>
      <c r="D191" s="502" t="s">
        <v>1529</v>
      </c>
      <c r="E191" s="502" t="s">
        <v>1530</v>
      </c>
      <c r="F191" s="511" t="s">
        <v>118</v>
      </c>
      <c r="G191" s="556">
        <v>900</v>
      </c>
      <c r="H191" s="502">
        <v>4</v>
      </c>
      <c r="I191" s="502">
        <f>ROUND(SUMIFS('Capacity Summary'!$J:$J,'Capacity Summary'!$B:$B,E191,'Capacity Summary'!$C:$C,F191,'Capacity Summary'!$D:$D,G191),0)</f>
        <v>780</v>
      </c>
      <c r="J191" s="502">
        <f t="shared" si="10"/>
        <v>3120</v>
      </c>
      <c r="K191" s="513">
        <f t="shared" si="11"/>
        <v>52</v>
      </c>
    </row>
    <row r="192" spans="1:11" x14ac:dyDescent="0.25">
      <c r="A192" s="501" t="s">
        <v>1113</v>
      </c>
      <c r="B192" s="501" t="s">
        <v>872</v>
      </c>
      <c r="C192" s="502" t="s">
        <v>1663</v>
      </c>
      <c r="D192" s="502" t="s">
        <v>1529</v>
      </c>
      <c r="E192" s="502" t="s">
        <v>1530</v>
      </c>
      <c r="F192" s="511" t="s">
        <v>86</v>
      </c>
      <c r="G192" s="556">
        <v>900</v>
      </c>
      <c r="H192" s="502">
        <v>2</v>
      </c>
      <c r="I192" s="502">
        <f>ROUND(SUMIFS('Capacity Summary'!$J:$J,'Capacity Summary'!$B:$B,E192,'Capacity Summary'!$C:$C,F192,'Capacity Summary'!$D:$D,G192),0)</f>
        <v>117</v>
      </c>
      <c r="J192" s="502">
        <f t="shared" si="10"/>
        <v>234</v>
      </c>
      <c r="K192" s="513">
        <f t="shared" si="11"/>
        <v>3.9</v>
      </c>
    </row>
    <row r="193" spans="1:11" x14ac:dyDescent="0.25">
      <c r="A193" s="501" t="s">
        <v>1113</v>
      </c>
      <c r="B193" s="501" t="s">
        <v>872</v>
      </c>
      <c r="C193" s="502" t="s">
        <v>1664</v>
      </c>
      <c r="D193" s="502" t="s">
        <v>1529</v>
      </c>
      <c r="E193" s="502" t="s">
        <v>1530</v>
      </c>
      <c r="F193" s="511" t="s">
        <v>1405</v>
      </c>
      <c r="G193" s="556">
        <v>900</v>
      </c>
      <c r="H193" s="502">
        <v>1</v>
      </c>
      <c r="I193" s="502">
        <f>ROUND(SUMIFS('Capacity Summary'!$J:$J,'Capacity Summary'!$B:$B,E193,'Capacity Summary'!$C:$C,F193,'Capacity Summary'!$D:$D,G193),0)</f>
        <v>122</v>
      </c>
      <c r="J193" s="502">
        <f t="shared" si="10"/>
        <v>122</v>
      </c>
      <c r="K193" s="513">
        <f t="shared" si="11"/>
        <v>2.0333333333333332</v>
      </c>
    </row>
    <row r="194" spans="1:11" x14ac:dyDescent="0.25">
      <c r="A194" s="501" t="s">
        <v>1153</v>
      </c>
      <c r="B194" s="501" t="s">
        <v>1155</v>
      </c>
      <c r="C194" s="502" t="s">
        <v>1665</v>
      </c>
      <c r="D194" s="502" t="s">
        <v>1529</v>
      </c>
      <c r="E194" s="502" t="s">
        <v>1530</v>
      </c>
      <c r="F194" s="511" t="s">
        <v>120</v>
      </c>
      <c r="G194" s="556">
        <v>300</v>
      </c>
      <c r="H194" s="502">
        <v>2</v>
      </c>
      <c r="I194" s="502">
        <f>ROUND(SUMIFS('Capacity Summary'!$J:$J,'Capacity Summary'!$B:$B,E194,'Capacity Summary'!$C:$C,F194,'Capacity Summary'!$D:$D,G194),0)</f>
        <v>245</v>
      </c>
      <c r="J194" s="502">
        <f t="shared" si="10"/>
        <v>490</v>
      </c>
      <c r="K194" s="513">
        <f t="shared" si="11"/>
        <v>8.1666666666666661</v>
      </c>
    </row>
    <row r="195" spans="1:11" x14ac:dyDescent="0.25">
      <c r="A195" s="501" t="s">
        <v>1153</v>
      </c>
      <c r="B195" s="501" t="s">
        <v>1155</v>
      </c>
      <c r="C195" s="502" t="s">
        <v>1666</v>
      </c>
      <c r="D195" s="502" t="s">
        <v>1529</v>
      </c>
      <c r="E195" s="502" t="s">
        <v>1530</v>
      </c>
      <c r="F195" s="511" t="s">
        <v>120</v>
      </c>
      <c r="G195" s="556">
        <v>600</v>
      </c>
      <c r="H195" s="502">
        <v>2</v>
      </c>
      <c r="I195" s="502">
        <f>ROUND(SUMIFS('Capacity Summary'!$J:$J,'Capacity Summary'!$B:$B,E195,'Capacity Summary'!$C:$C,F195,'Capacity Summary'!$D:$D,G195),0)</f>
        <v>295</v>
      </c>
      <c r="J195" s="502">
        <f t="shared" si="10"/>
        <v>590</v>
      </c>
      <c r="K195" s="513">
        <f t="shared" si="11"/>
        <v>9.8333333333333339</v>
      </c>
    </row>
    <row r="196" spans="1:11" x14ac:dyDescent="0.25">
      <c r="A196" s="501" t="s">
        <v>1219</v>
      </c>
      <c r="B196" s="501" t="s">
        <v>121</v>
      </c>
      <c r="C196" s="502" t="s">
        <v>1667</v>
      </c>
      <c r="D196" s="502" t="s">
        <v>1529</v>
      </c>
      <c r="E196" s="502" t="s">
        <v>1530</v>
      </c>
      <c r="F196" s="511" t="s">
        <v>88</v>
      </c>
      <c r="G196" s="556">
        <v>800</v>
      </c>
      <c r="H196" s="502">
        <v>1</v>
      </c>
      <c r="I196" s="502">
        <f>ROUND(SUMIFS('Capacity Summary'!$J:$J,'Capacity Summary'!$B:$B,E196,'Capacity Summary'!$C:$C,F196,'Capacity Summary'!$D:$D,G196),0)</f>
        <v>80</v>
      </c>
      <c r="J196" s="502">
        <f t="shared" si="10"/>
        <v>80</v>
      </c>
      <c r="K196" s="513">
        <f t="shared" si="11"/>
        <v>1.3333333333333333</v>
      </c>
    </row>
    <row r="197" spans="1:11" x14ac:dyDescent="0.25">
      <c r="A197" s="501" t="s">
        <v>1219</v>
      </c>
      <c r="B197" s="501" t="s">
        <v>121</v>
      </c>
      <c r="C197" s="502" t="s">
        <v>1667</v>
      </c>
      <c r="D197" s="502" t="s">
        <v>1529</v>
      </c>
      <c r="E197" s="502" t="s">
        <v>1530</v>
      </c>
      <c r="F197" s="511" t="s">
        <v>88</v>
      </c>
      <c r="G197" s="556">
        <v>800</v>
      </c>
      <c r="H197" s="502">
        <v>1</v>
      </c>
      <c r="I197" s="502">
        <f>ROUND(SUMIFS('Capacity Summary'!$J:$J,'Capacity Summary'!$B:$B,E197,'Capacity Summary'!$C:$C,F197,'Capacity Summary'!$D:$D,G197),0)</f>
        <v>80</v>
      </c>
      <c r="J197" s="502">
        <f t="shared" si="10"/>
        <v>80</v>
      </c>
      <c r="K197" s="513">
        <f t="shared" si="11"/>
        <v>1.3333333333333333</v>
      </c>
    </row>
    <row r="198" spans="1:11" x14ac:dyDescent="0.25">
      <c r="A198" s="501" t="s">
        <v>1219</v>
      </c>
      <c r="B198" s="501" t="s">
        <v>121</v>
      </c>
      <c r="C198" s="502" t="s">
        <v>1668</v>
      </c>
      <c r="D198" s="502" t="s">
        <v>1529</v>
      </c>
      <c r="E198" s="502" t="s">
        <v>1530</v>
      </c>
      <c r="F198" s="511" t="s">
        <v>117</v>
      </c>
      <c r="G198" s="556">
        <v>800</v>
      </c>
      <c r="H198" s="502">
        <v>1</v>
      </c>
      <c r="I198" s="502">
        <f>ROUND(SUMIFS('Capacity Summary'!$J:$J,'Capacity Summary'!$B:$B,E198,'Capacity Summary'!$C:$C,F198,'Capacity Summary'!$D:$D,G198),0)</f>
        <v>80</v>
      </c>
      <c r="J198" s="502">
        <f t="shared" si="10"/>
        <v>80</v>
      </c>
      <c r="K198" s="513">
        <f t="shared" si="11"/>
        <v>1.3333333333333333</v>
      </c>
    </row>
    <row r="199" spans="1:11" x14ac:dyDescent="0.25">
      <c r="A199" s="501" t="s">
        <v>1219</v>
      </c>
      <c r="B199" s="501" t="s">
        <v>121</v>
      </c>
      <c r="C199" s="502" t="s">
        <v>1587</v>
      </c>
      <c r="D199" s="502" t="s">
        <v>1529</v>
      </c>
      <c r="E199" s="502" t="s">
        <v>1530</v>
      </c>
      <c r="F199" s="511" t="s">
        <v>86</v>
      </c>
      <c r="G199" s="556">
        <v>300</v>
      </c>
      <c r="H199" s="502">
        <v>1</v>
      </c>
      <c r="I199" s="502">
        <f>ROUND(SUMIFS('Capacity Summary'!$J:$J,'Capacity Summary'!$B:$B,E199,'Capacity Summary'!$C:$C,F199,'Capacity Summary'!$D:$D,G199),0)</f>
        <v>120</v>
      </c>
      <c r="J199" s="502">
        <f t="shared" si="10"/>
        <v>120</v>
      </c>
      <c r="K199" s="513">
        <f t="shared" si="11"/>
        <v>2</v>
      </c>
    </row>
    <row r="200" spans="1:11" x14ac:dyDescent="0.25">
      <c r="A200" s="501" t="s">
        <v>1219</v>
      </c>
      <c r="B200" s="501" t="s">
        <v>121</v>
      </c>
      <c r="C200" s="502" t="s">
        <v>1667</v>
      </c>
      <c r="D200" s="502" t="s">
        <v>1529</v>
      </c>
      <c r="E200" s="502" t="s">
        <v>1530</v>
      </c>
      <c r="F200" s="511" t="s">
        <v>88</v>
      </c>
      <c r="G200" s="556">
        <v>800</v>
      </c>
      <c r="H200" s="502">
        <v>2</v>
      </c>
      <c r="I200" s="502">
        <f>ROUND(SUMIFS('Capacity Summary'!$J:$J,'Capacity Summary'!$B:$B,E200,'Capacity Summary'!$C:$C,F200,'Capacity Summary'!$D:$D,G200),0)</f>
        <v>80</v>
      </c>
      <c r="J200" s="502">
        <f t="shared" si="10"/>
        <v>160</v>
      </c>
      <c r="K200" s="513">
        <f t="shared" si="11"/>
        <v>2.6666666666666665</v>
      </c>
    </row>
    <row r="201" spans="1:11" x14ac:dyDescent="0.25">
      <c r="A201" s="501" t="s">
        <v>1219</v>
      </c>
      <c r="B201" s="501" t="s">
        <v>121</v>
      </c>
      <c r="C201" s="502" t="s">
        <v>1574</v>
      </c>
      <c r="D201" s="502" t="s">
        <v>1534</v>
      </c>
      <c r="E201" s="502" t="s">
        <v>1535</v>
      </c>
      <c r="F201" s="511" t="s">
        <v>84</v>
      </c>
      <c r="G201" s="556">
        <v>150</v>
      </c>
      <c r="H201" s="502">
        <v>1</v>
      </c>
      <c r="I201" s="502">
        <f>ROUND(SUMIFS('Capacity Summary'!$J:$J,'Capacity Summary'!$B:$B,E201,'Capacity Summary'!$C:$C,F201,'Capacity Summary'!$D:$D,G201),0)</f>
        <v>235</v>
      </c>
      <c r="J201" s="502">
        <f t="shared" si="10"/>
        <v>235</v>
      </c>
      <c r="K201" s="513">
        <f t="shared" si="11"/>
        <v>3.9166666666666665</v>
      </c>
    </row>
    <row r="202" spans="1:11" x14ac:dyDescent="0.25">
      <c r="A202" s="501" t="s">
        <v>1216</v>
      </c>
      <c r="B202" s="501" t="s">
        <v>121</v>
      </c>
      <c r="C202" s="502" t="s">
        <v>1669</v>
      </c>
      <c r="D202" s="502" t="s">
        <v>1547</v>
      </c>
      <c r="E202" s="502" t="s">
        <v>1549</v>
      </c>
      <c r="F202" s="511" t="s">
        <v>1404</v>
      </c>
      <c r="G202" s="556">
        <v>150</v>
      </c>
      <c r="H202" s="502">
        <v>1</v>
      </c>
      <c r="I202" s="502">
        <f>ROUND(SUMIFS('Capacity Summary'!$J:$J,'Capacity Summary'!$B:$B,E202,'Capacity Summary'!$C:$C,F202,'Capacity Summary'!$D:$D,G202),0)</f>
        <v>68</v>
      </c>
      <c r="J202" s="502">
        <f t="shared" si="10"/>
        <v>68</v>
      </c>
      <c r="K202" s="513">
        <f t="shared" si="11"/>
        <v>1.1333333333333333</v>
      </c>
    </row>
    <row r="203" spans="1:11" x14ac:dyDescent="0.25">
      <c r="A203" s="501" t="s">
        <v>1216</v>
      </c>
      <c r="B203" s="501" t="s">
        <v>121</v>
      </c>
      <c r="C203" s="502" t="s">
        <v>1669</v>
      </c>
      <c r="D203" s="502" t="s">
        <v>1547</v>
      </c>
      <c r="E203" s="502" t="s">
        <v>1549</v>
      </c>
      <c r="F203" s="511" t="s">
        <v>1404</v>
      </c>
      <c r="G203" s="556">
        <v>150</v>
      </c>
      <c r="H203" s="502">
        <v>1</v>
      </c>
      <c r="I203" s="502">
        <f>ROUND(SUMIFS('Capacity Summary'!$J:$J,'Capacity Summary'!$B:$B,E203,'Capacity Summary'!$C:$C,F203,'Capacity Summary'!$D:$D,G203),0)</f>
        <v>68</v>
      </c>
      <c r="J203" s="502">
        <f t="shared" si="10"/>
        <v>68</v>
      </c>
      <c r="K203" s="513">
        <f t="shared" si="11"/>
        <v>1.1333333333333333</v>
      </c>
    </row>
    <row r="204" spans="1:11" x14ac:dyDescent="0.25">
      <c r="A204" s="501" t="s">
        <v>1216</v>
      </c>
      <c r="B204" s="501" t="s">
        <v>121</v>
      </c>
      <c r="C204" s="502" t="s">
        <v>1670</v>
      </c>
      <c r="D204" s="502" t="s">
        <v>1547</v>
      </c>
      <c r="E204" s="502" t="s">
        <v>1549</v>
      </c>
      <c r="F204" s="511" t="s">
        <v>80</v>
      </c>
      <c r="G204" s="556">
        <v>300</v>
      </c>
      <c r="H204" s="502">
        <v>1</v>
      </c>
      <c r="I204" s="502">
        <f>ROUND(SUMIFS('Capacity Summary'!$J:$J,'Capacity Summary'!$B:$B,E204,'Capacity Summary'!$C:$C,F204,'Capacity Summary'!$D:$D,G204),0)</f>
        <v>235</v>
      </c>
      <c r="J204" s="502">
        <f t="shared" si="10"/>
        <v>235</v>
      </c>
      <c r="K204" s="513">
        <f t="shared" si="11"/>
        <v>3.9166666666666665</v>
      </c>
    </row>
    <row r="205" spans="1:11" x14ac:dyDescent="0.25">
      <c r="A205" s="501" t="s">
        <v>1216</v>
      </c>
      <c r="B205" s="501" t="s">
        <v>121</v>
      </c>
      <c r="C205" s="502" t="s">
        <v>1670</v>
      </c>
      <c r="D205" s="502" t="s">
        <v>1547</v>
      </c>
      <c r="E205" s="502" t="s">
        <v>1549</v>
      </c>
      <c r="F205" s="511" t="s">
        <v>80</v>
      </c>
      <c r="G205" s="556">
        <v>300</v>
      </c>
      <c r="H205" s="502">
        <v>1</v>
      </c>
      <c r="I205" s="502">
        <f>ROUND(SUMIFS('Capacity Summary'!$J:$J,'Capacity Summary'!$B:$B,E205,'Capacity Summary'!$C:$C,F205,'Capacity Summary'!$D:$D,G205),0)</f>
        <v>235</v>
      </c>
      <c r="J205" s="502">
        <f t="shared" si="10"/>
        <v>235</v>
      </c>
      <c r="K205" s="513">
        <f t="shared" si="11"/>
        <v>3.9166666666666665</v>
      </c>
    </row>
    <row r="206" spans="1:11" x14ac:dyDescent="0.25">
      <c r="A206" s="501" t="s">
        <v>1216</v>
      </c>
      <c r="B206" s="501" t="s">
        <v>121</v>
      </c>
      <c r="C206" s="502" t="s">
        <v>1671</v>
      </c>
      <c r="D206" s="502" t="s">
        <v>1547</v>
      </c>
      <c r="E206" s="502" t="s">
        <v>1549</v>
      </c>
      <c r="F206" s="511" t="s">
        <v>84</v>
      </c>
      <c r="G206" s="556">
        <v>300</v>
      </c>
      <c r="H206" s="502">
        <v>1</v>
      </c>
      <c r="I206" s="502">
        <f>ROUND(SUMIFS('Capacity Summary'!$J:$J,'Capacity Summary'!$B:$B,E206,'Capacity Summary'!$C:$C,F206,'Capacity Summary'!$D:$D,G206),0)</f>
        <v>132</v>
      </c>
      <c r="J206" s="502">
        <f t="shared" si="10"/>
        <v>132</v>
      </c>
      <c r="K206" s="513">
        <f t="shared" si="11"/>
        <v>2.2000000000000002</v>
      </c>
    </row>
    <row r="207" spans="1:11" x14ac:dyDescent="0.25">
      <c r="A207" s="501" t="s">
        <v>1216</v>
      </c>
      <c r="B207" s="501" t="s">
        <v>121</v>
      </c>
      <c r="C207" s="502" t="s">
        <v>1671</v>
      </c>
      <c r="D207" s="502" t="s">
        <v>1547</v>
      </c>
      <c r="E207" s="502" t="s">
        <v>1549</v>
      </c>
      <c r="F207" s="511" t="s">
        <v>84</v>
      </c>
      <c r="G207" s="556">
        <v>300</v>
      </c>
      <c r="H207" s="502">
        <v>1</v>
      </c>
      <c r="I207" s="502">
        <f>ROUND(SUMIFS('Capacity Summary'!$J:$J,'Capacity Summary'!$B:$B,E207,'Capacity Summary'!$C:$C,F207,'Capacity Summary'!$D:$D,G207),0)</f>
        <v>132</v>
      </c>
      <c r="J207" s="502">
        <f t="shared" si="10"/>
        <v>132</v>
      </c>
      <c r="K207" s="513">
        <f t="shared" si="11"/>
        <v>2.2000000000000002</v>
      </c>
    </row>
    <row r="208" spans="1:11" x14ac:dyDescent="0.25">
      <c r="A208" s="501" t="s">
        <v>1216</v>
      </c>
      <c r="B208" s="501" t="s">
        <v>121</v>
      </c>
      <c r="C208" s="502" t="s">
        <v>1671</v>
      </c>
      <c r="D208" s="502" t="s">
        <v>1547</v>
      </c>
      <c r="E208" s="502" t="s">
        <v>1549</v>
      </c>
      <c r="F208" s="511" t="s">
        <v>84</v>
      </c>
      <c r="G208" s="556">
        <v>300</v>
      </c>
      <c r="H208" s="502">
        <v>1</v>
      </c>
      <c r="I208" s="502">
        <f>ROUND(SUMIFS('Capacity Summary'!$J:$J,'Capacity Summary'!$B:$B,E208,'Capacity Summary'!$C:$C,F208,'Capacity Summary'!$D:$D,G208),0)</f>
        <v>132</v>
      </c>
      <c r="J208" s="502">
        <f t="shared" si="10"/>
        <v>132</v>
      </c>
      <c r="K208" s="513">
        <f t="shared" si="11"/>
        <v>2.2000000000000002</v>
      </c>
    </row>
    <row r="209" spans="1:11" x14ac:dyDescent="0.25">
      <c r="A209" s="501" t="s">
        <v>1216</v>
      </c>
      <c r="B209" s="501" t="s">
        <v>121</v>
      </c>
      <c r="C209" s="502" t="s">
        <v>1672</v>
      </c>
      <c r="D209" s="502" t="s">
        <v>1547</v>
      </c>
      <c r="E209" s="502" t="s">
        <v>1549</v>
      </c>
      <c r="F209" s="511" t="s">
        <v>85</v>
      </c>
      <c r="G209" s="556">
        <v>150</v>
      </c>
      <c r="H209" s="502">
        <v>1</v>
      </c>
      <c r="I209" s="502">
        <f>ROUND(SUMIFS('Capacity Summary'!$J:$J,'Capacity Summary'!$B:$B,E209,'Capacity Summary'!$C:$C,F209,'Capacity Summary'!$D:$D,G209),0)</f>
        <v>95</v>
      </c>
      <c r="J209" s="502">
        <f t="shared" si="10"/>
        <v>95</v>
      </c>
      <c r="K209" s="513">
        <f t="shared" si="11"/>
        <v>1.5833333333333333</v>
      </c>
    </row>
    <row r="210" spans="1:11" x14ac:dyDescent="0.25">
      <c r="A210" s="501" t="s">
        <v>1216</v>
      </c>
      <c r="B210" s="501" t="s">
        <v>121</v>
      </c>
      <c r="C210" s="502" t="s">
        <v>1672</v>
      </c>
      <c r="D210" s="502" t="s">
        <v>1547</v>
      </c>
      <c r="E210" s="502" t="s">
        <v>1549</v>
      </c>
      <c r="F210" s="511" t="s">
        <v>85</v>
      </c>
      <c r="G210" s="556">
        <v>150</v>
      </c>
      <c r="H210" s="502">
        <v>1</v>
      </c>
      <c r="I210" s="502">
        <f>ROUND(SUMIFS('Capacity Summary'!$J:$J,'Capacity Summary'!$B:$B,E210,'Capacity Summary'!$C:$C,F210,'Capacity Summary'!$D:$D,G210),0)</f>
        <v>95</v>
      </c>
      <c r="J210" s="502">
        <f t="shared" si="10"/>
        <v>95</v>
      </c>
      <c r="K210" s="513">
        <f t="shared" si="11"/>
        <v>1.5833333333333333</v>
      </c>
    </row>
    <row r="211" spans="1:11" x14ac:dyDescent="0.25">
      <c r="A211" s="501" t="s">
        <v>1216</v>
      </c>
      <c r="B211" s="501" t="s">
        <v>121</v>
      </c>
      <c r="C211" s="502" t="s">
        <v>1581</v>
      </c>
      <c r="D211" s="502" t="s">
        <v>1547</v>
      </c>
      <c r="E211" s="502" t="s">
        <v>1549</v>
      </c>
      <c r="F211" s="511" t="s">
        <v>84</v>
      </c>
      <c r="G211" s="556">
        <v>150</v>
      </c>
      <c r="H211" s="502">
        <v>1</v>
      </c>
      <c r="I211" s="502">
        <f>ROUND(SUMIFS('Capacity Summary'!$J:$J,'Capacity Summary'!$B:$B,E211,'Capacity Summary'!$C:$C,F211,'Capacity Summary'!$D:$D,G211),0)</f>
        <v>97</v>
      </c>
      <c r="J211" s="502">
        <f t="shared" si="10"/>
        <v>97</v>
      </c>
      <c r="K211" s="513">
        <f t="shared" si="11"/>
        <v>1.6166666666666667</v>
      </c>
    </row>
    <row r="212" spans="1:11" x14ac:dyDescent="0.25">
      <c r="A212" s="501" t="s">
        <v>1216</v>
      </c>
      <c r="B212" s="501" t="s">
        <v>121</v>
      </c>
      <c r="C212" s="502" t="s">
        <v>1581</v>
      </c>
      <c r="D212" s="502" t="s">
        <v>1547</v>
      </c>
      <c r="E212" s="502" t="s">
        <v>1549</v>
      </c>
      <c r="F212" s="511" t="s">
        <v>84</v>
      </c>
      <c r="G212" s="556">
        <v>150</v>
      </c>
      <c r="H212" s="502">
        <v>1</v>
      </c>
      <c r="I212" s="502">
        <f>ROUND(SUMIFS('Capacity Summary'!$J:$J,'Capacity Summary'!$B:$B,E212,'Capacity Summary'!$C:$C,F212,'Capacity Summary'!$D:$D,G212),0)</f>
        <v>97</v>
      </c>
      <c r="J212" s="502">
        <f t="shared" si="10"/>
        <v>97</v>
      </c>
      <c r="K212" s="513">
        <f t="shared" si="11"/>
        <v>1.6166666666666667</v>
      </c>
    </row>
    <row r="213" spans="1:11" x14ac:dyDescent="0.25">
      <c r="A213" s="501" t="s">
        <v>1216</v>
      </c>
      <c r="B213" s="501" t="s">
        <v>121</v>
      </c>
      <c r="C213" s="502" t="s">
        <v>1581</v>
      </c>
      <c r="D213" s="502" t="s">
        <v>1547</v>
      </c>
      <c r="E213" s="502" t="s">
        <v>1549</v>
      </c>
      <c r="F213" s="511" t="s">
        <v>84</v>
      </c>
      <c r="G213" s="556">
        <v>150</v>
      </c>
      <c r="H213" s="502">
        <v>1</v>
      </c>
      <c r="I213" s="502">
        <f>ROUND(SUMIFS('Capacity Summary'!$J:$J,'Capacity Summary'!$B:$B,E213,'Capacity Summary'!$C:$C,F213,'Capacity Summary'!$D:$D,G213),0)</f>
        <v>97</v>
      </c>
      <c r="J213" s="502">
        <f t="shared" si="10"/>
        <v>97</v>
      </c>
      <c r="K213" s="513">
        <f t="shared" si="11"/>
        <v>1.6166666666666667</v>
      </c>
    </row>
    <row r="214" spans="1:11" x14ac:dyDescent="0.25">
      <c r="A214" s="501" t="s">
        <v>1216</v>
      </c>
      <c r="B214" s="501" t="s">
        <v>121</v>
      </c>
      <c r="C214" s="502" t="s">
        <v>1831</v>
      </c>
      <c r="D214" s="502" t="s">
        <v>1547</v>
      </c>
      <c r="E214" s="502" t="s">
        <v>1548</v>
      </c>
      <c r="F214" s="511" t="s">
        <v>85</v>
      </c>
      <c r="G214" s="556">
        <v>300</v>
      </c>
      <c r="H214" s="502">
        <v>1</v>
      </c>
      <c r="I214" s="502">
        <f>ROUND(SUMIFS('Capacity Summary'!$J:$J,'Capacity Summary'!$B:$B,E214,'Capacity Summary'!$C:$C,F214,'Capacity Summary'!$D:$D,G214),0)</f>
        <v>115</v>
      </c>
      <c r="J214" s="502">
        <f t="shared" si="10"/>
        <v>115</v>
      </c>
      <c r="K214" s="513">
        <f t="shared" si="11"/>
        <v>1.9166666666666667</v>
      </c>
    </row>
    <row r="215" spans="1:11" x14ac:dyDescent="0.25">
      <c r="A215" s="501" t="s">
        <v>1216</v>
      </c>
      <c r="B215" s="501" t="s">
        <v>121</v>
      </c>
      <c r="C215" s="502" t="s">
        <v>1832</v>
      </c>
      <c r="D215" s="502" t="s">
        <v>1547</v>
      </c>
      <c r="E215" s="502" t="s">
        <v>1548</v>
      </c>
      <c r="F215" s="511" t="s">
        <v>119</v>
      </c>
      <c r="G215" s="556">
        <v>150</v>
      </c>
      <c r="H215" s="502">
        <v>1</v>
      </c>
      <c r="I215" s="502">
        <f>ROUND(SUMIFS('Capacity Summary'!$J:$J,'Capacity Summary'!$B:$B,E215,'Capacity Summary'!$C:$C,F215,'Capacity Summary'!$D:$D,G215),0)</f>
        <v>265</v>
      </c>
      <c r="J215" s="502">
        <f t="shared" si="10"/>
        <v>265</v>
      </c>
      <c r="K215" s="513">
        <f t="shared" si="11"/>
        <v>4.416666666666667</v>
      </c>
    </row>
    <row r="216" spans="1:11" x14ac:dyDescent="0.25">
      <c r="A216" s="501" t="s">
        <v>1216</v>
      </c>
      <c r="B216" s="501" t="s">
        <v>121</v>
      </c>
      <c r="C216" s="502" t="s">
        <v>1832</v>
      </c>
      <c r="D216" s="502" t="s">
        <v>1547</v>
      </c>
      <c r="E216" s="502" t="s">
        <v>1548</v>
      </c>
      <c r="F216" s="511" t="s">
        <v>119</v>
      </c>
      <c r="G216" s="556">
        <v>150</v>
      </c>
      <c r="H216" s="502">
        <v>1</v>
      </c>
      <c r="I216" s="502">
        <f>ROUND(SUMIFS('Capacity Summary'!$J:$J,'Capacity Summary'!$B:$B,E216,'Capacity Summary'!$C:$C,F216,'Capacity Summary'!$D:$D,G216),0)</f>
        <v>265</v>
      </c>
      <c r="J216" s="502">
        <f t="shared" si="10"/>
        <v>265</v>
      </c>
      <c r="K216" s="513">
        <f t="shared" si="11"/>
        <v>4.416666666666667</v>
      </c>
    </row>
    <row r="217" spans="1:11" x14ac:dyDescent="0.25">
      <c r="A217" s="501" t="s">
        <v>1216</v>
      </c>
      <c r="B217" s="501" t="s">
        <v>121</v>
      </c>
      <c r="C217" s="502" t="s">
        <v>1831</v>
      </c>
      <c r="D217" s="502" t="s">
        <v>1547</v>
      </c>
      <c r="E217" s="502" t="s">
        <v>1548</v>
      </c>
      <c r="F217" s="511" t="s">
        <v>85</v>
      </c>
      <c r="G217" s="556">
        <v>300</v>
      </c>
      <c r="H217" s="502">
        <v>1</v>
      </c>
      <c r="I217" s="502">
        <f>ROUND(SUMIFS('Capacity Summary'!$J:$J,'Capacity Summary'!$B:$B,E217,'Capacity Summary'!$C:$C,F217,'Capacity Summary'!$D:$D,G217),0)</f>
        <v>115</v>
      </c>
      <c r="J217" s="502">
        <f t="shared" si="10"/>
        <v>115</v>
      </c>
      <c r="K217" s="513">
        <f t="shared" si="11"/>
        <v>1.9166666666666667</v>
      </c>
    </row>
    <row r="218" spans="1:11" x14ac:dyDescent="0.25">
      <c r="A218" s="501" t="s">
        <v>1216</v>
      </c>
      <c r="B218" s="501" t="s">
        <v>121</v>
      </c>
      <c r="C218" s="502" t="s">
        <v>1833</v>
      </c>
      <c r="D218" s="502" t="s">
        <v>1547</v>
      </c>
      <c r="E218" s="502" t="s">
        <v>1549</v>
      </c>
      <c r="F218" s="511" t="s">
        <v>80</v>
      </c>
      <c r="G218" s="556">
        <v>150</v>
      </c>
      <c r="H218" s="502">
        <v>1</v>
      </c>
      <c r="I218" s="502">
        <f>ROUND(SUMIFS('Capacity Summary'!$J:$J,'Capacity Summary'!$B:$B,E218,'Capacity Summary'!$C:$C,F218,'Capacity Summary'!$D:$D,G218),0)</f>
        <v>215</v>
      </c>
      <c r="J218" s="502">
        <f t="shared" si="10"/>
        <v>215</v>
      </c>
      <c r="K218" s="513">
        <f t="shared" si="11"/>
        <v>3.5833333333333335</v>
      </c>
    </row>
    <row r="219" spans="1:11" x14ac:dyDescent="0.25">
      <c r="A219" s="501" t="s">
        <v>1216</v>
      </c>
      <c r="B219" s="501" t="s">
        <v>121</v>
      </c>
      <c r="C219" s="502" t="s">
        <v>1833</v>
      </c>
      <c r="D219" s="502" t="s">
        <v>1547</v>
      </c>
      <c r="E219" s="502" t="s">
        <v>1549</v>
      </c>
      <c r="F219" s="511" t="s">
        <v>80</v>
      </c>
      <c r="G219" s="556">
        <v>150</v>
      </c>
      <c r="H219" s="502">
        <v>1</v>
      </c>
      <c r="I219" s="502">
        <f>ROUND(SUMIFS('Capacity Summary'!$J:$J,'Capacity Summary'!$B:$B,E219,'Capacity Summary'!$C:$C,F219,'Capacity Summary'!$D:$D,G219),0)</f>
        <v>215</v>
      </c>
      <c r="J219" s="502">
        <f t="shared" si="10"/>
        <v>215</v>
      </c>
      <c r="K219" s="513">
        <f t="shared" si="11"/>
        <v>3.5833333333333335</v>
      </c>
    </row>
    <row r="220" spans="1:11" x14ac:dyDescent="0.25">
      <c r="A220" s="501" t="s">
        <v>1216</v>
      </c>
      <c r="B220" s="501" t="s">
        <v>121</v>
      </c>
      <c r="C220" s="502" t="s">
        <v>1833</v>
      </c>
      <c r="D220" s="502" t="s">
        <v>1547</v>
      </c>
      <c r="E220" s="502" t="s">
        <v>1549</v>
      </c>
      <c r="F220" s="511" t="s">
        <v>80</v>
      </c>
      <c r="G220" s="556">
        <v>150</v>
      </c>
      <c r="H220" s="502">
        <v>1</v>
      </c>
      <c r="I220" s="502">
        <f>ROUND(SUMIFS('Capacity Summary'!$J:$J,'Capacity Summary'!$B:$B,E220,'Capacity Summary'!$C:$C,F220,'Capacity Summary'!$D:$D,G220),0)</f>
        <v>215</v>
      </c>
      <c r="J220" s="502">
        <f t="shared" si="10"/>
        <v>215</v>
      </c>
      <c r="K220" s="513">
        <f t="shared" si="11"/>
        <v>3.5833333333333335</v>
      </c>
    </row>
    <row r="221" spans="1:11" x14ac:dyDescent="0.25">
      <c r="A221" s="501" t="s">
        <v>1216</v>
      </c>
      <c r="B221" s="501" t="s">
        <v>121</v>
      </c>
      <c r="C221" s="502" t="s">
        <v>1833</v>
      </c>
      <c r="D221" s="502" t="s">
        <v>1547</v>
      </c>
      <c r="E221" s="502" t="s">
        <v>1549</v>
      </c>
      <c r="F221" s="511" t="s">
        <v>80</v>
      </c>
      <c r="G221" s="556">
        <v>150</v>
      </c>
      <c r="H221" s="502">
        <v>1</v>
      </c>
      <c r="I221" s="502">
        <f>ROUND(SUMIFS('Capacity Summary'!$J:$J,'Capacity Summary'!$B:$B,E221,'Capacity Summary'!$C:$C,F221,'Capacity Summary'!$D:$D,G221),0)</f>
        <v>215</v>
      </c>
      <c r="J221" s="502">
        <f t="shared" si="10"/>
        <v>215</v>
      </c>
      <c r="K221" s="513">
        <f t="shared" si="11"/>
        <v>3.5833333333333335</v>
      </c>
    </row>
    <row r="222" spans="1:11" x14ac:dyDescent="0.25">
      <c r="A222" s="501" t="s">
        <v>1216</v>
      </c>
      <c r="B222" s="501" t="s">
        <v>121</v>
      </c>
      <c r="C222" s="502" t="s">
        <v>1833</v>
      </c>
      <c r="D222" s="502" t="s">
        <v>1547</v>
      </c>
      <c r="E222" s="502" t="s">
        <v>1549</v>
      </c>
      <c r="F222" s="511" t="s">
        <v>80</v>
      </c>
      <c r="G222" s="556">
        <v>150</v>
      </c>
      <c r="H222" s="502">
        <v>1</v>
      </c>
      <c r="I222" s="502">
        <f>ROUND(SUMIFS('Capacity Summary'!$J:$J,'Capacity Summary'!$B:$B,E222,'Capacity Summary'!$C:$C,F222,'Capacity Summary'!$D:$D,G222),0)</f>
        <v>215</v>
      </c>
      <c r="J222" s="502">
        <f t="shared" si="10"/>
        <v>215</v>
      </c>
      <c r="K222" s="513">
        <f t="shared" si="11"/>
        <v>3.5833333333333335</v>
      </c>
    </row>
    <row r="223" spans="1:11" x14ac:dyDescent="0.25">
      <c r="A223" s="501" t="s">
        <v>1216</v>
      </c>
      <c r="B223" s="501" t="s">
        <v>121</v>
      </c>
      <c r="C223" s="502" t="s">
        <v>1834</v>
      </c>
      <c r="D223" s="502" t="s">
        <v>1547</v>
      </c>
      <c r="E223" s="502" t="s">
        <v>1549</v>
      </c>
      <c r="F223" s="511" t="s">
        <v>195</v>
      </c>
      <c r="G223" s="556">
        <v>150</v>
      </c>
      <c r="H223" s="502">
        <v>1</v>
      </c>
      <c r="I223" s="502">
        <f>ROUND(SUMIFS('Capacity Summary'!$J:$J,'Capacity Summary'!$B:$B,E223,'Capacity Summary'!$C:$C,F223,'Capacity Summary'!$D:$D,G223),0)</f>
        <v>115</v>
      </c>
      <c r="J223" s="502">
        <f t="shared" si="10"/>
        <v>115</v>
      </c>
      <c r="K223" s="513">
        <f t="shared" si="11"/>
        <v>1.9166666666666667</v>
      </c>
    </row>
    <row r="224" spans="1:11" x14ac:dyDescent="0.25">
      <c r="A224" s="501" t="s">
        <v>1216</v>
      </c>
      <c r="B224" s="501" t="s">
        <v>121</v>
      </c>
      <c r="C224" s="502" t="s">
        <v>1834</v>
      </c>
      <c r="D224" s="502" t="s">
        <v>1547</v>
      </c>
      <c r="E224" s="502" t="s">
        <v>1549</v>
      </c>
      <c r="F224" s="511" t="s">
        <v>195</v>
      </c>
      <c r="G224" s="556">
        <v>150</v>
      </c>
      <c r="H224" s="502">
        <v>1</v>
      </c>
      <c r="I224" s="502">
        <f>ROUND(SUMIFS('Capacity Summary'!$J:$J,'Capacity Summary'!$B:$B,E224,'Capacity Summary'!$C:$C,F224,'Capacity Summary'!$D:$D,G224),0)</f>
        <v>115</v>
      </c>
      <c r="J224" s="502">
        <f t="shared" si="10"/>
        <v>115</v>
      </c>
      <c r="K224" s="513">
        <f t="shared" si="11"/>
        <v>1.9166666666666667</v>
      </c>
    </row>
    <row r="225" spans="1:11" x14ac:dyDescent="0.25">
      <c r="A225" s="501" t="s">
        <v>1216</v>
      </c>
      <c r="B225" s="501" t="s">
        <v>121</v>
      </c>
      <c r="C225" s="502" t="s">
        <v>1835</v>
      </c>
      <c r="D225" s="502" t="s">
        <v>1547</v>
      </c>
      <c r="E225" s="502" t="s">
        <v>1549</v>
      </c>
      <c r="F225" s="511" t="s">
        <v>118</v>
      </c>
      <c r="G225" s="556">
        <v>150</v>
      </c>
      <c r="H225" s="502">
        <v>1</v>
      </c>
      <c r="I225" s="502">
        <f>ROUND(SUMIFS('Capacity Summary'!$J:$J,'Capacity Summary'!$B:$B,E225,'Capacity Summary'!$C:$C,F225,'Capacity Summary'!$D:$D,G225),0)</f>
        <v>365</v>
      </c>
      <c r="J225" s="502">
        <f t="shared" si="10"/>
        <v>365</v>
      </c>
      <c r="K225" s="513">
        <f t="shared" si="11"/>
        <v>6.083333333333333</v>
      </c>
    </row>
    <row r="226" spans="1:11" x14ac:dyDescent="0.25">
      <c r="A226" s="501" t="s">
        <v>1216</v>
      </c>
      <c r="B226" s="501" t="s">
        <v>121</v>
      </c>
      <c r="C226" s="502" t="s">
        <v>1835</v>
      </c>
      <c r="D226" s="502" t="s">
        <v>1547</v>
      </c>
      <c r="E226" s="502" t="s">
        <v>1549</v>
      </c>
      <c r="F226" s="511" t="s">
        <v>118</v>
      </c>
      <c r="G226" s="556">
        <v>150</v>
      </c>
      <c r="H226" s="502">
        <v>1</v>
      </c>
      <c r="I226" s="502">
        <f>ROUND(SUMIFS('Capacity Summary'!$J:$J,'Capacity Summary'!$B:$B,E226,'Capacity Summary'!$C:$C,F226,'Capacity Summary'!$D:$D,G226),0)</f>
        <v>365</v>
      </c>
      <c r="J226" s="502">
        <f t="shared" si="10"/>
        <v>365</v>
      </c>
      <c r="K226" s="513">
        <f t="shared" si="11"/>
        <v>6.083333333333333</v>
      </c>
    </row>
    <row r="227" spans="1:11" x14ac:dyDescent="0.25">
      <c r="A227" s="501" t="s">
        <v>1216</v>
      </c>
      <c r="B227" s="501" t="s">
        <v>121</v>
      </c>
      <c r="C227" s="502" t="s">
        <v>1834</v>
      </c>
      <c r="D227" s="502" t="s">
        <v>1547</v>
      </c>
      <c r="E227" s="502" t="s">
        <v>1549</v>
      </c>
      <c r="F227" s="511" t="s">
        <v>195</v>
      </c>
      <c r="G227" s="556">
        <v>150</v>
      </c>
      <c r="H227" s="502">
        <v>1</v>
      </c>
      <c r="I227" s="502">
        <f>ROUND(SUMIFS('Capacity Summary'!$J:$J,'Capacity Summary'!$B:$B,E227,'Capacity Summary'!$C:$C,F227,'Capacity Summary'!$D:$D,G227),0)</f>
        <v>115</v>
      </c>
      <c r="J227" s="502">
        <f t="shared" si="10"/>
        <v>115</v>
      </c>
      <c r="K227" s="513">
        <f t="shared" si="11"/>
        <v>1.9166666666666667</v>
      </c>
    </row>
    <row r="228" spans="1:11" x14ac:dyDescent="0.25">
      <c r="A228" s="501" t="s">
        <v>1216</v>
      </c>
      <c r="B228" s="501" t="s">
        <v>121</v>
      </c>
      <c r="C228" s="502" t="s">
        <v>1834</v>
      </c>
      <c r="D228" s="502" t="s">
        <v>1547</v>
      </c>
      <c r="E228" s="502" t="s">
        <v>1549</v>
      </c>
      <c r="F228" s="511" t="s">
        <v>195</v>
      </c>
      <c r="G228" s="556">
        <v>150</v>
      </c>
      <c r="H228" s="502">
        <v>1</v>
      </c>
      <c r="I228" s="502">
        <f>ROUND(SUMIFS('Capacity Summary'!$J:$J,'Capacity Summary'!$B:$B,E228,'Capacity Summary'!$C:$C,F228,'Capacity Summary'!$D:$D,G228),0)</f>
        <v>115</v>
      </c>
      <c r="J228" s="502">
        <f t="shared" si="10"/>
        <v>115</v>
      </c>
      <c r="K228" s="513">
        <f t="shared" si="11"/>
        <v>1.9166666666666667</v>
      </c>
    </row>
    <row r="229" spans="1:11" x14ac:dyDescent="0.25">
      <c r="A229" s="501" t="s">
        <v>1216</v>
      </c>
      <c r="B229" s="501" t="s">
        <v>121</v>
      </c>
      <c r="C229" s="502" t="s">
        <v>1836</v>
      </c>
      <c r="D229" s="502" t="s">
        <v>1547</v>
      </c>
      <c r="E229" s="502" t="s">
        <v>1549</v>
      </c>
      <c r="F229" s="511" t="s">
        <v>80</v>
      </c>
      <c r="G229" s="556">
        <v>150</v>
      </c>
      <c r="H229" s="502">
        <v>1</v>
      </c>
      <c r="I229" s="502">
        <f>ROUND(SUMIFS('Capacity Summary'!$J:$J,'Capacity Summary'!$B:$B,E229,'Capacity Summary'!$C:$C,F229,'Capacity Summary'!$D:$D,G229),0)</f>
        <v>215</v>
      </c>
      <c r="J229" s="502">
        <f t="shared" si="10"/>
        <v>215</v>
      </c>
      <c r="K229" s="513">
        <f t="shared" si="11"/>
        <v>3.5833333333333335</v>
      </c>
    </row>
    <row r="230" spans="1:11" x14ac:dyDescent="0.25">
      <c r="A230" s="501" t="s">
        <v>1216</v>
      </c>
      <c r="B230" s="501" t="s">
        <v>121</v>
      </c>
      <c r="C230" s="502" t="s">
        <v>1836</v>
      </c>
      <c r="D230" s="502" t="s">
        <v>1547</v>
      </c>
      <c r="E230" s="502" t="s">
        <v>1549</v>
      </c>
      <c r="F230" s="511" t="s">
        <v>80</v>
      </c>
      <c r="G230" s="556">
        <v>150</v>
      </c>
      <c r="H230" s="502">
        <v>1</v>
      </c>
      <c r="I230" s="502">
        <f>ROUND(SUMIFS('Capacity Summary'!$J:$J,'Capacity Summary'!$B:$B,E230,'Capacity Summary'!$C:$C,F230,'Capacity Summary'!$D:$D,G230),0)</f>
        <v>215</v>
      </c>
      <c r="J230" s="502">
        <f t="shared" si="10"/>
        <v>215</v>
      </c>
      <c r="K230" s="513">
        <f t="shared" si="11"/>
        <v>3.5833333333333335</v>
      </c>
    </row>
    <row r="231" spans="1:11" x14ac:dyDescent="0.25">
      <c r="A231" s="501" t="s">
        <v>1216</v>
      </c>
      <c r="B231" s="501" t="s">
        <v>121</v>
      </c>
      <c r="C231" s="502" t="s">
        <v>1836</v>
      </c>
      <c r="D231" s="502" t="s">
        <v>1547</v>
      </c>
      <c r="E231" s="502" t="s">
        <v>1549</v>
      </c>
      <c r="F231" s="511" t="s">
        <v>80</v>
      </c>
      <c r="G231" s="556">
        <v>150</v>
      </c>
      <c r="H231" s="502">
        <v>1</v>
      </c>
      <c r="I231" s="502">
        <f>ROUND(SUMIFS('Capacity Summary'!$J:$J,'Capacity Summary'!$B:$B,E231,'Capacity Summary'!$C:$C,F231,'Capacity Summary'!$D:$D,G231),0)</f>
        <v>215</v>
      </c>
      <c r="J231" s="502">
        <f t="shared" si="10"/>
        <v>215</v>
      </c>
      <c r="K231" s="513">
        <f t="shared" si="11"/>
        <v>3.5833333333333335</v>
      </c>
    </row>
    <row r="232" spans="1:11" x14ac:dyDescent="0.25">
      <c r="A232" s="501" t="s">
        <v>1216</v>
      </c>
      <c r="B232" s="501" t="s">
        <v>121</v>
      </c>
      <c r="C232" s="502" t="s">
        <v>1836</v>
      </c>
      <c r="D232" s="502" t="s">
        <v>1547</v>
      </c>
      <c r="E232" s="502" t="s">
        <v>1549</v>
      </c>
      <c r="F232" s="511" t="s">
        <v>80</v>
      </c>
      <c r="G232" s="556">
        <v>150</v>
      </c>
      <c r="H232" s="502">
        <v>1</v>
      </c>
      <c r="I232" s="502">
        <f>ROUND(SUMIFS('Capacity Summary'!$J:$J,'Capacity Summary'!$B:$B,E232,'Capacity Summary'!$C:$C,F232,'Capacity Summary'!$D:$D,G232),0)</f>
        <v>215</v>
      </c>
      <c r="J232" s="502">
        <f t="shared" si="10"/>
        <v>215</v>
      </c>
      <c r="K232" s="513">
        <f t="shared" si="11"/>
        <v>3.5833333333333335</v>
      </c>
    </row>
    <row r="233" spans="1:11" x14ac:dyDescent="0.25">
      <c r="A233" s="501" t="s">
        <v>1216</v>
      </c>
      <c r="B233" s="501" t="s">
        <v>121</v>
      </c>
      <c r="C233" s="502" t="s">
        <v>1836</v>
      </c>
      <c r="D233" s="502" t="s">
        <v>1547</v>
      </c>
      <c r="E233" s="502" t="s">
        <v>1549</v>
      </c>
      <c r="F233" s="511" t="s">
        <v>80</v>
      </c>
      <c r="G233" s="556">
        <v>150</v>
      </c>
      <c r="H233" s="502">
        <v>1</v>
      </c>
      <c r="I233" s="502">
        <f>ROUND(SUMIFS('Capacity Summary'!$J:$J,'Capacity Summary'!$B:$B,E233,'Capacity Summary'!$C:$C,F233,'Capacity Summary'!$D:$D,G233),0)</f>
        <v>215</v>
      </c>
      <c r="J233" s="502">
        <f t="shared" si="10"/>
        <v>215</v>
      </c>
      <c r="K233" s="513">
        <f t="shared" si="11"/>
        <v>3.5833333333333335</v>
      </c>
    </row>
    <row r="234" spans="1:11" x14ac:dyDescent="0.25">
      <c r="A234" s="501" t="s">
        <v>1216</v>
      </c>
      <c r="B234" s="501" t="s">
        <v>121</v>
      </c>
      <c r="C234" s="502" t="s">
        <v>1837</v>
      </c>
      <c r="D234" s="502" t="s">
        <v>1547</v>
      </c>
      <c r="E234" s="502" t="s">
        <v>1549</v>
      </c>
      <c r="F234" s="511" t="s">
        <v>118</v>
      </c>
      <c r="G234" s="556">
        <v>150</v>
      </c>
      <c r="H234" s="502">
        <v>1</v>
      </c>
      <c r="I234" s="502">
        <f>ROUND(SUMIFS('Capacity Summary'!$J:$J,'Capacity Summary'!$B:$B,E234,'Capacity Summary'!$C:$C,F234,'Capacity Summary'!$D:$D,G234),0)</f>
        <v>365</v>
      </c>
      <c r="J234" s="502">
        <f t="shared" ref="J234:J297" si="12">H234*I234</f>
        <v>365</v>
      </c>
      <c r="K234" s="513">
        <f t="shared" ref="K234:K297" si="13">J234/60</f>
        <v>6.083333333333333</v>
      </c>
    </row>
    <row r="235" spans="1:11" x14ac:dyDescent="0.25">
      <c r="A235" s="501" t="s">
        <v>1216</v>
      </c>
      <c r="B235" s="501" t="s">
        <v>121</v>
      </c>
      <c r="C235" s="502" t="s">
        <v>1837</v>
      </c>
      <c r="D235" s="502" t="s">
        <v>1547</v>
      </c>
      <c r="E235" s="502" t="s">
        <v>1549</v>
      </c>
      <c r="F235" s="511" t="s">
        <v>118</v>
      </c>
      <c r="G235" s="556">
        <v>150</v>
      </c>
      <c r="H235" s="502">
        <v>1</v>
      </c>
      <c r="I235" s="502">
        <f>ROUND(SUMIFS('Capacity Summary'!$J:$J,'Capacity Summary'!$B:$B,E235,'Capacity Summary'!$C:$C,F235,'Capacity Summary'!$D:$D,G235),0)</f>
        <v>365</v>
      </c>
      <c r="J235" s="502">
        <f t="shared" si="12"/>
        <v>365</v>
      </c>
      <c r="K235" s="513">
        <f t="shared" si="13"/>
        <v>6.083333333333333</v>
      </c>
    </row>
    <row r="236" spans="1:11" x14ac:dyDescent="0.25">
      <c r="A236" s="501" t="s">
        <v>1216</v>
      </c>
      <c r="B236" s="501" t="s">
        <v>121</v>
      </c>
      <c r="C236" s="502" t="s">
        <v>1838</v>
      </c>
      <c r="D236" s="502" t="s">
        <v>1547</v>
      </c>
      <c r="E236" s="502" t="s">
        <v>1549</v>
      </c>
      <c r="F236" s="511" t="s">
        <v>195</v>
      </c>
      <c r="G236" s="556">
        <v>150</v>
      </c>
      <c r="H236" s="502">
        <v>1</v>
      </c>
      <c r="I236" s="502">
        <f>ROUND(SUMIFS('Capacity Summary'!$J:$J,'Capacity Summary'!$B:$B,E236,'Capacity Summary'!$C:$C,F236,'Capacity Summary'!$D:$D,G236),0)</f>
        <v>115</v>
      </c>
      <c r="J236" s="502">
        <f t="shared" si="12"/>
        <v>115</v>
      </c>
      <c r="K236" s="513">
        <f t="shared" si="13"/>
        <v>1.9166666666666667</v>
      </c>
    </row>
    <row r="237" spans="1:11" x14ac:dyDescent="0.25">
      <c r="A237" s="501" t="s">
        <v>1216</v>
      </c>
      <c r="B237" s="501" t="s">
        <v>121</v>
      </c>
      <c r="C237" s="502" t="s">
        <v>1838</v>
      </c>
      <c r="D237" s="502" t="s">
        <v>1547</v>
      </c>
      <c r="E237" s="502" t="s">
        <v>1549</v>
      </c>
      <c r="F237" s="511" t="s">
        <v>195</v>
      </c>
      <c r="G237" s="556">
        <v>150</v>
      </c>
      <c r="H237" s="502">
        <v>1</v>
      </c>
      <c r="I237" s="502">
        <f>ROUND(SUMIFS('Capacity Summary'!$J:$J,'Capacity Summary'!$B:$B,E237,'Capacity Summary'!$C:$C,F237,'Capacity Summary'!$D:$D,G237),0)</f>
        <v>115</v>
      </c>
      <c r="J237" s="502">
        <f t="shared" si="12"/>
        <v>115</v>
      </c>
      <c r="K237" s="513">
        <f t="shared" si="13"/>
        <v>1.9166666666666667</v>
      </c>
    </row>
    <row r="238" spans="1:11" x14ac:dyDescent="0.25">
      <c r="A238" s="501" t="s">
        <v>1216</v>
      </c>
      <c r="B238" s="501" t="s">
        <v>121</v>
      </c>
      <c r="C238" s="502" t="s">
        <v>1838</v>
      </c>
      <c r="D238" s="502" t="s">
        <v>1547</v>
      </c>
      <c r="E238" s="502" t="s">
        <v>1549</v>
      </c>
      <c r="F238" s="511" t="s">
        <v>195</v>
      </c>
      <c r="G238" s="556">
        <v>150</v>
      </c>
      <c r="H238" s="502">
        <v>1</v>
      </c>
      <c r="I238" s="502">
        <f>ROUND(SUMIFS('Capacity Summary'!$J:$J,'Capacity Summary'!$B:$B,E238,'Capacity Summary'!$C:$C,F238,'Capacity Summary'!$D:$D,G238),0)</f>
        <v>115</v>
      </c>
      <c r="J238" s="502">
        <f t="shared" si="12"/>
        <v>115</v>
      </c>
      <c r="K238" s="513">
        <f t="shared" si="13"/>
        <v>1.9166666666666667</v>
      </c>
    </row>
    <row r="239" spans="1:11" x14ac:dyDescent="0.25">
      <c r="A239" s="501" t="s">
        <v>1216</v>
      </c>
      <c r="B239" s="501" t="s">
        <v>121</v>
      </c>
      <c r="C239" s="502" t="s">
        <v>1838</v>
      </c>
      <c r="D239" s="502" t="s">
        <v>1547</v>
      </c>
      <c r="E239" s="502" t="s">
        <v>1549</v>
      </c>
      <c r="F239" s="511" t="s">
        <v>195</v>
      </c>
      <c r="G239" s="556">
        <v>150</v>
      </c>
      <c r="H239" s="502">
        <v>1</v>
      </c>
      <c r="I239" s="502">
        <f>ROUND(SUMIFS('Capacity Summary'!$J:$J,'Capacity Summary'!$B:$B,E239,'Capacity Summary'!$C:$C,F239,'Capacity Summary'!$D:$D,G239),0)</f>
        <v>115</v>
      </c>
      <c r="J239" s="502">
        <f t="shared" si="12"/>
        <v>115</v>
      </c>
      <c r="K239" s="513">
        <f t="shared" si="13"/>
        <v>1.9166666666666667</v>
      </c>
    </row>
    <row r="240" spans="1:11" x14ac:dyDescent="0.25">
      <c r="A240" s="501" t="s">
        <v>1216</v>
      </c>
      <c r="B240" s="501" t="s">
        <v>121</v>
      </c>
      <c r="C240" s="502" t="s">
        <v>1839</v>
      </c>
      <c r="D240" s="502" t="s">
        <v>1547</v>
      </c>
      <c r="E240" s="502" t="s">
        <v>1549</v>
      </c>
      <c r="F240" s="511" t="s">
        <v>118</v>
      </c>
      <c r="G240" s="556">
        <v>300</v>
      </c>
      <c r="H240" s="502">
        <v>1</v>
      </c>
      <c r="I240" s="502">
        <f>ROUND(SUMIFS('Capacity Summary'!$J:$J,'Capacity Summary'!$B:$B,E240,'Capacity Summary'!$C:$C,F240,'Capacity Summary'!$D:$D,G240),0)</f>
        <v>415</v>
      </c>
      <c r="J240" s="502">
        <f t="shared" si="12"/>
        <v>415</v>
      </c>
      <c r="K240" s="513">
        <f t="shared" si="13"/>
        <v>6.916666666666667</v>
      </c>
    </row>
    <row r="241" spans="1:11" x14ac:dyDescent="0.25">
      <c r="A241" s="501" t="s">
        <v>1216</v>
      </c>
      <c r="B241" s="501" t="s">
        <v>121</v>
      </c>
      <c r="C241" s="502" t="s">
        <v>1839</v>
      </c>
      <c r="D241" s="502" t="s">
        <v>1547</v>
      </c>
      <c r="E241" s="502" t="s">
        <v>1549</v>
      </c>
      <c r="F241" s="511" t="s">
        <v>118</v>
      </c>
      <c r="G241" s="556">
        <v>300</v>
      </c>
      <c r="H241" s="502">
        <v>1</v>
      </c>
      <c r="I241" s="502">
        <f>ROUND(SUMIFS('Capacity Summary'!$J:$J,'Capacity Summary'!$B:$B,E241,'Capacity Summary'!$C:$C,F241,'Capacity Summary'!$D:$D,G241),0)</f>
        <v>415</v>
      </c>
      <c r="J241" s="502">
        <f t="shared" si="12"/>
        <v>415</v>
      </c>
      <c r="K241" s="513">
        <f t="shared" si="13"/>
        <v>6.916666666666667</v>
      </c>
    </row>
    <row r="242" spans="1:11" x14ac:dyDescent="0.25">
      <c r="A242" s="501" t="s">
        <v>1216</v>
      </c>
      <c r="B242" s="501" t="s">
        <v>121</v>
      </c>
      <c r="C242" s="502" t="s">
        <v>1840</v>
      </c>
      <c r="D242" s="502" t="s">
        <v>1547</v>
      </c>
      <c r="E242" s="502" t="s">
        <v>1549</v>
      </c>
      <c r="F242" s="511" t="s">
        <v>119</v>
      </c>
      <c r="G242" s="556">
        <v>300</v>
      </c>
      <c r="H242" s="502">
        <v>1</v>
      </c>
      <c r="I242" s="502">
        <f>ROUND(SUMIFS('Capacity Summary'!$J:$J,'Capacity Summary'!$B:$B,E242,'Capacity Summary'!$C:$C,F242,'Capacity Summary'!$D:$D,G242),0)</f>
        <v>280</v>
      </c>
      <c r="J242" s="502">
        <f t="shared" si="12"/>
        <v>280</v>
      </c>
      <c r="K242" s="513">
        <f t="shared" si="13"/>
        <v>4.666666666666667</v>
      </c>
    </row>
    <row r="243" spans="1:11" x14ac:dyDescent="0.25">
      <c r="A243" s="501" t="s">
        <v>1216</v>
      </c>
      <c r="B243" s="501" t="s">
        <v>121</v>
      </c>
      <c r="C243" s="502" t="s">
        <v>1840</v>
      </c>
      <c r="D243" s="502" t="s">
        <v>1547</v>
      </c>
      <c r="E243" s="502" t="s">
        <v>1549</v>
      </c>
      <c r="F243" s="511" t="s">
        <v>119</v>
      </c>
      <c r="G243" s="556">
        <v>300</v>
      </c>
      <c r="H243" s="502">
        <v>1</v>
      </c>
      <c r="I243" s="502">
        <f>ROUND(SUMIFS('Capacity Summary'!$J:$J,'Capacity Summary'!$B:$B,E243,'Capacity Summary'!$C:$C,F243,'Capacity Summary'!$D:$D,G243),0)</f>
        <v>280</v>
      </c>
      <c r="J243" s="502">
        <f t="shared" si="12"/>
        <v>280</v>
      </c>
      <c r="K243" s="513">
        <f t="shared" si="13"/>
        <v>4.666666666666667</v>
      </c>
    </row>
    <row r="244" spans="1:11" x14ac:dyDescent="0.25">
      <c r="A244" s="501" t="s">
        <v>1216</v>
      </c>
      <c r="B244" s="501" t="s">
        <v>121</v>
      </c>
      <c r="C244" s="502" t="s">
        <v>1840</v>
      </c>
      <c r="D244" s="502" t="s">
        <v>1547</v>
      </c>
      <c r="E244" s="502" t="s">
        <v>1549</v>
      </c>
      <c r="F244" s="511" t="s">
        <v>119</v>
      </c>
      <c r="G244" s="556">
        <v>300</v>
      </c>
      <c r="H244" s="502">
        <v>1</v>
      </c>
      <c r="I244" s="502">
        <f>ROUND(SUMIFS('Capacity Summary'!$J:$J,'Capacity Summary'!$B:$B,E244,'Capacity Summary'!$C:$C,F244,'Capacity Summary'!$D:$D,G244),0)</f>
        <v>280</v>
      </c>
      <c r="J244" s="502">
        <f t="shared" si="12"/>
        <v>280</v>
      </c>
      <c r="K244" s="513">
        <f t="shared" si="13"/>
        <v>4.666666666666667</v>
      </c>
    </row>
    <row r="245" spans="1:11" x14ac:dyDescent="0.25">
      <c r="A245" s="501" t="s">
        <v>1216</v>
      </c>
      <c r="B245" s="501" t="s">
        <v>121</v>
      </c>
      <c r="C245" s="502" t="s">
        <v>1840</v>
      </c>
      <c r="D245" s="502" t="s">
        <v>1547</v>
      </c>
      <c r="E245" s="502" t="s">
        <v>1549</v>
      </c>
      <c r="F245" s="511" t="s">
        <v>119</v>
      </c>
      <c r="G245" s="556">
        <v>300</v>
      </c>
      <c r="H245" s="502">
        <v>1</v>
      </c>
      <c r="I245" s="502">
        <f>ROUND(SUMIFS('Capacity Summary'!$J:$J,'Capacity Summary'!$B:$B,E245,'Capacity Summary'!$C:$C,F245,'Capacity Summary'!$D:$D,G245),0)</f>
        <v>280</v>
      </c>
      <c r="J245" s="502">
        <f t="shared" si="12"/>
        <v>280</v>
      </c>
      <c r="K245" s="513">
        <f t="shared" si="13"/>
        <v>4.666666666666667</v>
      </c>
    </row>
    <row r="246" spans="1:11" x14ac:dyDescent="0.25">
      <c r="A246" s="501" t="s">
        <v>1216</v>
      </c>
      <c r="B246" s="501" t="s">
        <v>121</v>
      </c>
      <c r="C246" s="502" t="s">
        <v>1650</v>
      </c>
      <c r="D246" s="502" t="s">
        <v>1547</v>
      </c>
      <c r="E246" s="502" t="s">
        <v>1549</v>
      </c>
      <c r="F246" s="511" t="s">
        <v>82</v>
      </c>
      <c r="G246" s="556">
        <v>150</v>
      </c>
      <c r="H246" s="502">
        <v>1</v>
      </c>
      <c r="I246" s="502">
        <f>ROUND(SUMIFS('Capacity Summary'!$J:$J,'Capacity Summary'!$B:$B,E246,'Capacity Summary'!$C:$C,F246,'Capacity Summary'!$D:$D,G246),0)</f>
        <v>140</v>
      </c>
      <c r="J246" s="502">
        <f t="shared" si="12"/>
        <v>140</v>
      </c>
      <c r="K246" s="513">
        <f t="shared" si="13"/>
        <v>2.3333333333333335</v>
      </c>
    </row>
    <row r="247" spans="1:11" x14ac:dyDescent="0.25">
      <c r="A247" s="501" t="s">
        <v>1216</v>
      </c>
      <c r="B247" s="501" t="s">
        <v>121</v>
      </c>
      <c r="C247" s="502" t="s">
        <v>1649</v>
      </c>
      <c r="D247" s="502" t="s">
        <v>1547</v>
      </c>
      <c r="E247" s="502" t="s">
        <v>1549</v>
      </c>
      <c r="F247" s="511" t="s">
        <v>84</v>
      </c>
      <c r="G247" s="556">
        <v>150</v>
      </c>
      <c r="H247" s="502">
        <v>1</v>
      </c>
      <c r="I247" s="502">
        <f>ROUND(SUMIFS('Capacity Summary'!$J:$J,'Capacity Summary'!$B:$B,E247,'Capacity Summary'!$C:$C,F247,'Capacity Summary'!$D:$D,G247),0)</f>
        <v>97</v>
      </c>
      <c r="J247" s="502">
        <f t="shared" si="12"/>
        <v>97</v>
      </c>
      <c r="K247" s="513">
        <f t="shared" si="13"/>
        <v>1.6166666666666667</v>
      </c>
    </row>
    <row r="248" spans="1:11" x14ac:dyDescent="0.25">
      <c r="A248" s="501" t="s">
        <v>1216</v>
      </c>
      <c r="B248" s="501" t="s">
        <v>121</v>
      </c>
      <c r="C248" s="502" t="s">
        <v>1841</v>
      </c>
      <c r="D248" s="502" t="s">
        <v>1547</v>
      </c>
      <c r="E248" s="502" t="s">
        <v>1548</v>
      </c>
      <c r="F248" s="511" t="s">
        <v>82</v>
      </c>
      <c r="G248" s="556">
        <v>150</v>
      </c>
      <c r="H248" s="502">
        <v>1</v>
      </c>
      <c r="I248" s="502">
        <f>ROUND(SUMIFS('Capacity Summary'!$J:$J,'Capacity Summary'!$B:$B,E248,'Capacity Summary'!$C:$C,F248,'Capacity Summary'!$D:$D,G248),0)</f>
        <v>160</v>
      </c>
      <c r="J248" s="502">
        <f t="shared" si="12"/>
        <v>160</v>
      </c>
      <c r="K248" s="513">
        <f t="shared" si="13"/>
        <v>2.6666666666666665</v>
      </c>
    </row>
    <row r="249" spans="1:11" x14ac:dyDescent="0.25">
      <c r="A249" s="501" t="s">
        <v>1216</v>
      </c>
      <c r="B249" s="501" t="s">
        <v>121</v>
      </c>
      <c r="C249" s="502" t="s">
        <v>1841</v>
      </c>
      <c r="D249" s="502" t="s">
        <v>1547</v>
      </c>
      <c r="E249" s="502" t="s">
        <v>1548</v>
      </c>
      <c r="F249" s="511" t="s">
        <v>82</v>
      </c>
      <c r="G249" s="556">
        <v>150</v>
      </c>
      <c r="H249" s="502">
        <v>1</v>
      </c>
      <c r="I249" s="502">
        <f>ROUND(SUMIFS('Capacity Summary'!$J:$J,'Capacity Summary'!$B:$B,E249,'Capacity Summary'!$C:$C,F249,'Capacity Summary'!$D:$D,G249),0)</f>
        <v>160</v>
      </c>
      <c r="J249" s="502">
        <f t="shared" si="12"/>
        <v>160</v>
      </c>
      <c r="K249" s="513">
        <f t="shared" si="13"/>
        <v>2.6666666666666665</v>
      </c>
    </row>
    <row r="250" spans="1:11" x14ac:dyDescent="0.25">
      <c r="A250" s="501" t="s">
        <v>1216</v>
      </c>
      <c r="B250" s="501" t="s">
        <v>121</v>
      </c>
      <c r="C250" s="502" t="s">
        <v>1650</v>
      </c>
      <c r="D250" s="502" t="s">
        <v>1547</v>
      </c>
      <c r="E250" s="502" t="s">
        <v>1549</v>
      </c>
      <c r="F250" s="511" t="s">
        <v>82</v>
      </c>
      <c r="G250" s="556">
        <v>150</v>
      </c>
      <c r="H250" s="502">
        <v>1</v>
      </c>
      <c r="I250" s="502">
        <f>ROUND(SUMIFS('Capacity Summary'!$J:$J,'Capacity Summary'!$B:$B,E250,'Capacity Summary'!$C:$C,F250,'Capacity Summary'!$D:$D,G250),0)</f>
        <v>140</v>
      </c>
      <c r="J250" s="502">
        <f t="shared" si="12"/>
        <v>140</v>
      </c>
      <c r="K250" s="513">
        <f t="shared" si="13"/>
        <v>2.3333333333333335</v>
      </c>
    </row>
    <row r="251" spans="1:11" x14ac:dyDescent="0.25">
      <c r="A251" s="501" t="s">
        <v>1216</v>
      </c>
      <c r="B251" s="501" t="s">
        <v>121</v>
      </c>
      <c r="C251" s="502" t="s">
        <v>1841</v>
      </c>
      <c r="D251" s="502" t="s">
        <v>1547</v>
      </c>
      <c r="E251" s="502" t="s">
        <v>1548</v>
      </c>
      <c r="F251" s="511" t="s">
        <v>82</v>
      </c>
      <c r="G251" s="556">
        <v>150</v>
      </c>
      <c r="H251" s="502">
        <v>1</v>
      </c>
      <c r="I251" s="502">
        <f>ROUND(SUMIFS('Capacity Summary'!$J:$J,'Capacity Summary'!$B:$B,E251,'Capacity Summary'!$C:$C,F251,'Capacity Summary'!$D:$D,G251),0)</f>
        <v>160</v>
      </c>
      <c r="J251" s="502">
        <f t="shared" si="12"/>
        <v>160</v>
      </c>
      <c r="K251" s="513">
        <f t="shared" si="13"/>
        <v>2.6666666666666665</v>
      </c>
    </row>
    <row r="252" spans="1:11" x14ac:dyDescent="0.25">
      <c r="A252" s="501" t="s">
        <v>1216</v>
      </c>
      <c r="B252" s="501" t="s">
        <v>121</v>
      </c>
      <c r="C252" s="502" t="s">
        <v>1841</v>
      </c>
      <c r="D252" s="502" t="s">
        <v>1547</v>
      </c>
      <c r="E252" s="502" t="s">
        <v>1548</v>
      </c>
      <c r="F252" s="511" t="s">
        <v>82</v>
      </c>
      <c r="G252" s="556">
        <v>150</v>
      </c>
      <c r="H252" s="502">
        <v>1</v>
      </c>
      <c r="I252" s="502">
        <f>ROUND(SUMIFS('Capacity Summary'!$J:$J,'Capacity Summary'!$B:$B,E252,'Capacity Summary'!$C:$C,F252,'Capacity Summary'!$D:$D,G252),0)</f>
        <v>160</v>
      </c>
      <c r="J252" s="502">
        <f t="shared" si="12"/>
        <v>160</v>
      </c>
      <c r="K252" s="513">
        <f t="shared" si="13"/>
        <v>2.6666666666666665</v>
      </c>
    </row>
    <row r="253" spans="1:11" x14ac:dyDescent="0.25">
      <c r="A253" s="501" t="s">
        <v>1216</v>
      </c>
      <c r="B253" s="501" t="s">
        <v>121</v>
      </c>
      <c r="C253" s="502" t="s">
        <v>1841</v>
      </c>
      <c r="D253" s="502" t="s">
        <v>1547</v>
      </c>
      <c r="E253" s="502" t="s">
        <v>1548</v>
      </c>
      <c r="F253" s="511" t="s">
        <v>82</v>
      </c>
      <c r="G253" s="556">
        <v>150</v>
      </c>
      <c r="H253" s="502">
        <v>1</v>
      </c>
      <c r="I253" s="502">
        <f>ROUND(SUMIFS('Capacity Summary'!$J:$J,'Capacity Summary'!$B:$B,E253,'Capacity Summary'!$C:$C,F253,'Capacity Summary'!$D:$D,G253),0)</f>
        <v>160</v>
      </c>
      <c r="J253" s="502">
        <f t="shared" si="12"/>
        <v>160</v>
      </c>
      <c r="K253" s="513">
        <f t="shared" si="13"/>
        <v>2.6666666666666665</v>
      </c>
    </row>
    <row r="254" spans="1:11" x14ac:dyDescent="0.25">
      <c r="A254" s="501" t="s">
        <v>1216</v>
      </c>
      <c r="B254" s="501" t="s">
        <v>121</v>
      </c>
      <c r="C254" s="502" t="s">
        <v>1841</v>
      </c>
      <c r="D254" s="502" t="s">
        <v>1547</v>
      </c>
      <c r="E254" s="502" t="s">
        <v>1548</v>
      </c>
      <c r="F254" s="511" t="s">
        <v>82</v>
      </c>
      <c r="G254" s="556">
        <v>150</v>
      </c>
      <c r="H254" s="502">
        <v>1</v>
      </c>
      <c r="I254" s="502">
        <f>ROUND(SUMIFS('Capacity Summary'!$J:$J,'Capacity Summary'!$B:$B,E254,'Capacity Summary'!$C:$C,F254,'Capacity Summary'!$D:$D,G254),0)</f>
        <v>160</v>
      </c>
      <c r="J254" s="502">
        <f t="shared" si="12"/>
        <v>160</v>
      </c>
      <c r="K254" s="513">
        <f t="shared" si="13"/>
        <v>2.6666666666666665</v>
      </c>
    </row>
    <row r="255" spans="1:11" x14ac:dyDescent="0.25">
      <c r="A255" s="501" t="s">
        <v>1216</v>
      </c>
      <c r="B255" s="501" t="s">
        <v>121</v>
      </c>
      <c r="C255" s="502" t="s">
        <v>1832</v>
      </c>
      <c r="D255" s="502" t="s">
        <v>1547</v>
      </c>
      <c r="E255" s="502" t="s">
        <v>1548</v>
      </c>
      <c r="F255" s="511" t="s">
        <v>119</v>
      </c>
      <c r="G255" s="556">
        <v>150</v>
      </c>
      <c r="H255" s="502">
        <v>1</v>
      </c>
      <c r="I255" s="502">
        <f>ROUND(SUMIFS('Capacity Summary'!$J:$J,'Capacity Summary'!$B:$B,E255,'Capacity Summary'!$C:$C,F255,'Capacity Summary'!$D:$D,G255),0)</f>
        <v>265</v>
      </c>
      <c r="J255" s="502">
        <f t="shared" si="12"/>
        <v>265</v>
      </c>
      <c r="K255" s="513">
        <f t="shared" si="13"/>
        <v>4.416666666666667</v>
      </c>
    </row>
    <row r="256" spans="1:11" x14ac:dyDescent="0.25">
      <c r="A256" s="501" t="s">
        <v>1216</v>
      </c>
      <c r="B256" s="501" t="s">
        <v>121</v>
      </c>
      <c r="C256" s="502" t="s">
        <v>1832</v>
      </c>
      <c r="D256" s="502" t="s">
        <v>1547</v>
      </c>
      <c r="E256" s="502" t="s">
        <v>1548</v>
      </c>
      <c r="F256" s="511" t="s">
        <v>119</v>
      </c>
      <c r="G256" s="556">
        <v>150</v>
      </c>
      <c r="H256" s="502">
        <v>1</v>
      </c>
      <c r="I256" s="502">
        <f>ROUND(SUMIFS('Capacity Summary'!$J:$J,'Capacity Summary'!$B:$B,E256,'Capacity Summary'!$C:$C,F256,'Capacity Summary'!$D:$D,G256),0)</f>
        <v>265</v>
      </c>
      <c r="J256" s="502">
        <f t="shared" si="12"/>
        <v>265</v>
      </c>
      <c r="K256" s="513">
        <f t="shared" si="13"/>
        <v>4.416666666666667</v>
      </c>
    </row>
    <row r="257" spans="1:11" x14ac:dyDescent="0.25">
      <c r="A257" s="501" t="s">
        <v>1216</v>
      </c>
      <c r="B257" s="501" t="s">
        <v>121</v>
      </c>
      <c r="C257" s="502" t="s">
        <v>1842</v>
      </c>
      <c r="D257" s="502" t="s">
        <v>1547</v>
      </c>
      <c r="E257" s="502" t="s">
        <v>1548</v>
      </c>
      <c r="F257" s="511" t="s">
        <v>80</v>
      </c>
      <c r="G257" s="556">
        <v>150</v>
      </c>
      <c r="H257" s="502">
        <v>1</v>
      </c>
      <c r="I257" s="502">
        <f>ROUND(SUMIFS('Capacity Summary'!$J:$J,'Capacity Summary'!$B:$B,E257,'Capacity Summary'!$C:$C,F257,'Capacity Summary'!$D:$D,G257),0)</f>
        <v>230</v>
      </c>
      <c r="J257" s="502">
        <f t="shared" si="12"/>
        <v>230</v>
      </c>
      <c r="K257" s="513">
        <f t="shared" si="13"/>
        <v>3.8333333333333335</v>
      </c>
    </row>
    <row r="258" spans="1:11" x14ac:dyDescent="0.25">
      <c r="A258" s="501" t="s">
        <v>1216</v>
      </c>
      <c r="B258" s="501" t="s">
        <v>121</v>
      </c>
      <c r="C258" s="502" t="s">
        <v>1842</v>
      </c>
      <c r="D258" s="502" t="s">
        <v>1547</v>
      </c>
      <c r="E258" s="502" t="s">
        <v>1548</v>
      </c>
      <c r="F258" s="511" t="s">
        <v>80</v>
      </c>
      <c r="G258" s="556">
        <v>150</v>
      </c>
      <c r="H258" s="502">
        <v>1</v>
      </c>
      <c r="I258" s="502">
        <f>ROUND(SUMIFS('Capacity Summary'!$J:$J,'Capacity Summary'!$B:$B,E258,'Capacity Summary'!$C:$C,F258,'Capacity Summary'!$D:$D,G258),0)</f>
        <v>230</v>
      </c>
      <c r="J258" s="502">
        <f t="shared" si="12"/>
        <v>230</v>
      </c>
      <c r="K258" s="513">
        <f t="shared" si="13"/>
        <v>3.8333333333333335</v>
      </c>
    </row>
    <row r="259" spans="1:11" x14ac:dyDescent="0.25">
      <c r="A259" s="501" t="s">
        <v>1216</v>
      </c>
      <c r="B259" s="501" t="s">
        <v>121</v>
      </c>
      <c r="C259" s="502" t="s">
        <v>1832</v>
      </c>
      <c r="D259" s="502" t="s">
        <v>1547</v>
      </c>
      <c r="E259" s="502" t="s">
        <v>1548</v>
      </c>
      <c r="F259" s="511" t="s">
        <v>119</v>
      </c>
      <c r="G259" s="556">
        <v>150</v>
      </c>
      <c r="H259" s="502">
        <v>1</v>
      </c>
      <c r="I259" s="502">
        <f>ROUND(SUMIFS('Capacity Summary'!$J:$J,'Capacity Summary'!$B:$B,E259,'Capacity Summary'!$C:$C,F259,'Capacity Summary'!$D:$D,G259),0)</f>
        <v>265</v>
      </c>
      <c r="J259" s="502">
        <f t="shared" si="12"/>
        <v>265</v>
      </c>
      <c r="K259" s="513">
        <f t="shared" si="13"/>
        <v>4.416666666666667</v>
      </c>
    </row>
    <row r="260" spans="1:11" x14ac:dyDescent="0.25">
      <c r="A260" s="501" t="s">
        <v>1216</v>
      </c>
      <c r="B260" s="501" t="s">
        <v>121</v>
      </c>
      <c r="C260" s="502" t="s">
        <v>1832</v>
      </c>
      <c r="D260" s="502" t="s">
        <v>1547</v>
      </c>
      <c r="E260" s="502" t="s">
        <v>1548</v>
      </c>
      <c r="F260" s="511" t="s">
        <v>119</v>
      </c>
      <c r="G260" s="556">
        <v>150</v>
      </c>
      <c r="H260" s="502">
        <v>1</v>
      </c>
      <c r="I260" s="502">
        <f>ROUND(SUMIFS('Capacity Summary'!$J:$J,'Capacity Summary'!$B:$B,E260,'Capacity Summary'!$C:$C,F260,'Capacity Summary'!$D:$D,G260),0)</f>
        <v>265</v>
      </c>
      <c r="J260" s="502">
        <f t="shared" si="12"/>
        <v>265</v>
      </c>
      <c r="K260" s="513">
        <f t="shared" si="13"/>
        <v>4.416666666666667</v>
      </c>
    </row>
    <row r="261" spans="1:11" x14ac:dyDescent="0.25">
      <c r="A261" s="501" t="s">
        <v>1216</v>
      </c>
      <c r="B261" s="501" t="s">
        <v>121</v>
      </c>
      <c r="C261" s="502" t="s">
        <v>1842</v>
      </c>
      <c r="D261" s="502" t="s">
        <v>1547</v>
      </c>
      <c r="E261" s="502" t="s">
        <v>1548</v>
      </c>
      <c r="F261" s="511" t="s">
        <v>80</v>
      </c>
      <c r="G261" s="556">
        <v>150</v>
      </c>
      <c r="H261" s="502">
        <v>1</v>
      </c>
      <c r="I261" s="502">
        <f>ROUND(SUMIFS('Capacity Summary'!$J:$J,'Capacity Summary'!$B:$B,E261,'Capacity Summary'!$C:$C,F261,'Capacity Summary'!$D:$D,G261),0)</f>
        <v>230</v>
      </c>
      <c r="J261" s="502">
        <f t="shared" si="12"/>
        <v>230</v>
      </c>
      <c r="K261" s="513">
        <f t="shared" si="13"/>
        <v>3.8333333333333335</v>
      </c>
    </row>
    <row r="262" spans="1:11" x14ac:dyDescent="0.25">
      <c r="A262" s="501" t="s">
        <v>1216</v>
      </c>
      <c r="B262" s="501" t="s">
        <v>121</v>
      </c>
      <c r="C262" s="502" t="s">
        <v>1842</v>
      </c>
      <c r="D262" s="502" t="s">
        <v>1547</v>
      </c>
      <c r="E262" s="502" t="s">
        <v>1548</v>
      </c>
      <c r="F262" s="511" t="s">
        <v>80</v>
      </c>
      <c r="G262" s="556">
        <v>150</v>
      </c>
      <c r="H262" s="502">
        <v>1</v>
      </c>
      <c r="I262" s="502">
        <f>ROUND(SUMIFS('Capacity Summary'!$J:$J,'Capacity Summary'!$B:$B,E262,'Capacity Summary'!$C:$C,F262,'Capacity Summary'!$D:$D,G262),0)</f>
        <v>230</v>
      </c>
      <c r="J262" s="502">
        <f t="shared" si="12"/>
        <v>230</v>
      </c>
      <c r="K262" s="513">
        <f t="shared" si="13"/>
        <v>3.8333333333333335</v>
      </c>
    </row>
    <row r="263" spans="1:11" x14ac:dyDescent="0.25">
      <c r="A263" s="501" t="s">
        <v>1216</v>
      </c>
      <c r="B263" s="501" t="s">
        <v>121</v>
      </c>
      <c r="C263" s="502" t="s">
        <v>1843</v>
      </c>
      <c r="D263" s="502" t="s">
        <v>1547</v>
      </c>
      <c r="E263" s="502" t="s">
        <v>1548</v>
      </c>
      <c r="F263" s="511" t="s">
        <v>688</v>
      </c>
      <c r="G263" s="556">
        <v>150</v>
      </c>
      <c r="H263" s="502">
        <v>1</v>
      </c>
      <c r="I263" s="502">
        <f>ROUND(SUMIFS('Capacity Summary'!$J:$J,'Capacity Summary'!$B:$B,E263,'Capacity Summary'!$C:$C,F263,'Capacity Summary'!$D:$D,G263),0)</f>
        <v>440</v>
      </c>
      <c r="J263" s="502">
        <f t="shared" si="12"/>
        <v>440</v>
      </c>
      <c r="K263" s="513">
        <f t="shared" si="13"/>
        <v>7.333333333333333</v>
      </c>
    </row>
    <row r="264" spans="1:11" x14ac:dyDescent="0.25">
      <c r="A264" s="501" t="s">
        <v>1216</v>
      </c>
      <c r="B264" s="501" t="s">
        <v>121</v>
      </c>
      <c r="C264" s="502" t="s">
        <v>1843</v>
      </c>
      <c r="D264" s="502" t="s">
        <v>1547</v>
      </c>
      <c r="E264" s="502" t="s">
        <v>1548</v>
      </c>
      <c r="F264" s="511" t="s">
        <v>688</v>
      </c>
      <c r="G264" s="556">
        <v>150</v>
      </c>
      <c r="H264" s="502">
        <v>1</v>
      </c>
      <c r="I264" s="502">
        <f>ROUND(SUMIFS('Capacity Summary'!$J:$J,'Capacity Summary'!$B:$B,E264,'Capacity Summary'!$C:$C,F264,'Capacity Summary'!$D:$D,G264),0)</f>
        <v>440</v>
      </c>
      <c r="J264" s="502">
        <f t="shared" si="12"/>
        <v>440</v>
      </c>
      <c r="K264" s="513">
        <f t="shared" si="13"/>
        <v>7.333333333333333</v>
      </c>
    </row>
    <row r="265" spans="1:11" x14ac:dyDescent="0.25">
      <c r="A265" s="501" t="s">
        <v>1216</v>
      </c>
      <c r="B265" s="501" t="s">
        <v>121</v>
      </c>
      <c r="C265" s="502" t="s">
        <v>1843</v>
      </c>
      <c r="D265" s="502" t="s">
        <v>1547</v>
      </c>
      <c r="E265" s="502" t="s">
        <v>1548</v>
      </c>
      <c r="F265" s="511" t="s">
        <v>688</v>
      </c>
      <c r="G265" s="556">
        <v>150</v>
      </c>
      <c r="H265" s="502">
        <v>1</v>
      </c>
      <c r="I265" s="502">
        <f>ROUND(SUMIFS('Capacity Summary'!$J:$J,'Capacity Summary'!$B:$B,E265,'Capacity Summary'!$C:$C,F265,'Capacity Summary'!$D:$D,G265),0)</f>
        <v>440</v>
      </c>
      <c r="J265" s="502">
        <f t="shared" si="12"/>
        <v>440</v>
      </c>
      <c r="K265" s="513">
        <f t="shared" si="13"/>
        <v>7.333333333333333</v>
      </c>
    </row>
    <row r="266" spans="1:11" x14ac:dyDescent="0.25">
      <c r="A266" s="501" t="s">
        <v>1216</v>
      </c>
      <c r="B266" s="501" t="s">
        <v>121</v>
      </c>
      <c r="C266" s="502" t="s">
        <v>1843</v>
      </c>
      <c r="D266" s="502" t="s">
        <v>1547</v>
      </c>
      <c r="E266" s="502" t="s">
        <v>1548</v>
      </c>
      <c r="F266" s="511" t="s">
        <v>688</v>
      </c>
      <c r="G266" s="556">
        <v>150</v>
      </c>
      <c r="H266" s="502">
        <v>1</v>
      </c>
      <c r="I266" s="502">
        <f>ROUND(SUMIFS('Capacity Summary'!$J:$J,'Capacity Summary'!$B:$B,E266,'Capacity Summary'!$C:$C,F266,'Capacity Summary'!$D:$D,G266),0)</f>
        <v>440</v>
      </c>
      <c r="J266" s="502">
        <f t="shared" si="12"/>
        <v>440</v>
      </c>
      <c r="K266" s="513">
        <f t="shared" si="13"/>
        <v>7.333333333333333</v>
      </c>
    </row>
    <row r="267" spans="1:11" x14ac:dyDescent="0.25">
      <c r="A267" s="501" t="s">
        <v>1216</v>
      </c>
      <c r="B267" s="501" t="s">
        <v>121</v>
      </c>
      <c r="C267" s="502" t="s">
        <v>1842</v>
      </c>
      <c r="D267" s="502" t="s">
        <v>1547</v>
      </c>
      <c r="E267" s="502" t="s">
        <v>1548</v>
      </c>
      <c r="F267" s="511" t="s">
        <v>80</v>
      </c>
      <c r="G267" s="556">
        <v>150</v>
      </c>
      <c r="H267" s="502">
        <v>1</v>
      </c>
      <c r="I267" s="502">
        <f>ROUND(SUMIFS('Capacity Summary'!$J:$J,'Capacity Summary'!$B:$B,E267,'Capacity Summary'!$C:$C,F267,'Capacity Summary'!$D:$D,G267),0)</f>
        <v>230</v>
      </c>
      <c r="J267" s="502">
        <f t="shared" si="12"/>
        <v>230</v>
      </c>
      <c r="K267" s="513">
        <f t="shared" si="13"/>
        <v>3.8333333333333335</v>
      </c>
    </row>
    <row r="268" spans="1:11" x14ac:dyDescent="0.25">
      <c r="A268" s="501" t="s">
        <v>1216</v>
      </c>
      <c r="B268" s="501" t="s">
        <v>121</v>
      </c>
      <c r="C268" s="502" t="s">
        <v>1842</v>
      </c>
      <c r="D268" s="502" t="s">
        <v>1547</v>
      </c>
      <c r="E268" s="502" t="s">
        <v>1548</v>
      </c>
      <c r="F268" s="511" t="s">
        <v>80</v>
      </c>
      <c r="G268" s="556">
        <v>150</v>
      </c>
      <c r="H268" s="502">
        <v>1</v>
      </c>
      <c r="I268" s="502">
        <f>ROUND(SUMIFS('Capacity Summary'!$J:$J,'Capacity Summary'!$B:$B,E268,'Capacity Summary'!$C:$C,F268,'Capacity Summary'!$D:$D,G268),0)</f>
        <v>230</v>
      </c>
      <c r="J268" s="502">
        <f t="shared" si="12"/>
        <v>230</v>
      </c>
      <c r="K268" s="513">
        <f t="shared" si="13"/>
        <v>3.8333333333333335</v>
      </c>
    </row>
    <row r="269" spans="1:11" x14ac:dyDescent="0.25">
      <c r="A269" s="501" t="s">
        <v>1216</v>
      </c>
      <c r="B269" s="501" t="s">
        <v>121</v>
      </c>
      <c r="C269" s="502" t="s">
        <v>1842</v>
      </c>
      <c r="D269" s="502" t="s">
        <v>1547</v>
      </c>
      <c r="E269" s="502" t="s">
        <v>1548</v>
      </c>
      <c r="F269" s="511" t="s">
        <v>80</v>
      </c>
      <c r="G269" s="556">
        <v>150</v>
      </c>
      <c r="H269" s="502">
        <v>1</v>
      </c>
      <c r="I269" s="502">
        <f>ROUND(SUMIFS('Capacity Summary'!$J:$J,'Capacity Summary'!$B:$B,E269,'Capacity Summary'!$C:$C,F269,'Capacity Summary'!$D:$D,G269),0)</f>
        <v>230</v>
      </c>
      <c r="J269" s="502">
        <f t="shared" si="12"/>
        <v>230</v>
      </c>
      <c r="K269" s="513">
        <f t="shared" si="13"/>
        <v>3.8333333333333335</v>
      </c>
    </row>
    <row r="270" spans="1:11" x14ac:dyDescent="0.25">
      <c r="A270" s="501" t="s">
        <v>1216</v>
      </c>
      <c r="B270" s="501" t="s">
        <v>121</v>
      </c>
      <c r="C270" s="502" t="s">
        <v>1844</v>
      </c>
      <c r="D270" s="502" t="s">
        <v>1547</v>
      </c>
      <c r="E270" s="502" t="s">
        <v>1548</v>
      </c>
      <c r="F270" s="511" t="s">
        <v>118</v>
      </c>
      <c r="G270" s="556">
        <v>300</v>
      </c>
      <c r="H270" s="502">
        <v>1</v>
      </c>
      <c r="I270" s="502">
        <f>ROUND(SUMIFS('Capacity Summary'!$J:$J,'Capacity Summary'!$B:$B,E270,'Capacity Summary'!$C:$C,F270,'Capacity Summary'!$D:$D,G270),0)</f>
        <v>455</v>
      </c>
      <c r="J270" s="502">
        <f t="shared" si="12"/>
        <v>455</v>
      </c>
      <c r="K270" s="513">
        <f t="shared" si="13"/>
        <v>7.583333333333333</v>
      </c>
    </row>
    <row r="271" spans="1:11" x14ac:dyDescent="0.25">
      <c r="A271" s="501" t="s">
        <v>1216</v>
      </c>
      <c r="B271" s="501" t="s">
        <v>121</v>
      </c>
      <c r="C271" s="502" t="s">
        <v>1844</v>
      </c>
      <c r="D271" s="502" t="s">
        <v>1547</v>
      </c>
      <c r="E271" s="502" t="s">
        <v>1548</v>
      </c>
      <c r="F271" s="511" t="s">
        <v>118</v>
      </c>
      <c r="G271" s="556">
        <v>300</v>
      </c>
      <c r="H271" s="502">
        <v>1</v>
      </c>
      <c r="I271" s="502">
        <f>ROUND(SUMIFS('Capacity Summary'!$J:$J,'Capacity Summary'!$B:$B,E271,'Capacity Summary'!$C:$C,F271,'Capacity Summary'!$D:$D,G271),0)</f>
        <v>455</v>
      </c>
      <c r="J271" s="502">
        <f t="shared" si="12"/>
        <v>455</v>
      </c>
      <c r="K271" s="513">
        <f t="shared" si="13"/>
        <v>7.583333333333333</v>
      </c>
    </row>
    <row r="272" spans="1:11" x14ac:dyDescent="0.25">
      <c r="A272" s="501" t="s">
        <v>1216</v>
      </c>
      <c r="B272" s="501" t="s">
        <v>121</v>
      </c>
      <c r="C272" s="502" t="s">
        <v>1845</v>
      </c>
      <c r="D272" s="502" t="s">
        <v>1547</v>
      </c>
      <c r="E272" s="502" t="s">
        <v>1548</v>
      </c>
      <c r="F272" s="511" t="s">
        <v>86</v>
      </c>
      <c r="G272" s="556">
        <v>150</v>
      </c>
      <c r="H272" s="502">
        <v>1</v>
      </c>
      <c r="I272" s="502">
        <f>ROUND(SUMIFS('Capacity Summary'!$J:$J,'Capacity Summary'!$B:$B,E272,'Capacity Summary'!$C:$C,F272,'Capacity Summary'!$D:$D,G272),0)</f>
        <v>103</v>
      </c>
      <c r="J272" s="502">
        <f t="shared" si="12"/>
        <v>103</v>
      </c>
      <c r="K272" s="513">
        <f t="shared" si="13"/>
        <v>1.7166666666666666</v>
      </c>
    </row>
    <row r="273" spans="1:11" x14ac:dyDescent="0.25">
      <c r="A273" s="501" t="s">
        <v>1216</v>
      </c>
      <c r="B273" s="501" t="s">
        <v>121</v>
      </c>
      <c r="C273" s="502" t="s">
        <v>1845</v>
      </c>
      <c r="D273" s="502" t="s">
        <v>1547</v>
      </c>
      <c r="E273" s="502" t="s">
        <v>1548</v>
      </c>
      <c r="F273" s="511" t="s">
        <v>86</v>
      </c>
      <c r="G273" s="556">
        <v>150</v>
      </c>
      <c r="H273" s="502">
        <v>1</v>
      </c>
      <c r="I273" s="502">
        <f>ROUND(SUMIFS('Capacity Summary'!$J:$J,'Capacity Summary'!$B:$B,E273,'Capacity Summary'!$C:$C,F273,'Capacity Summary'!$D:$D,G273),0)</f>
        <v>103</v>
      </c>
      <c r="J273" s="502">
        <f t="shared" si="12"/>
        <v>103</v>
      </c>
      <c r="K273" s="513">
        <f t="shared" si="13"/>
        <v>1.7166666666666666</v>
      </c>
    </row>
    <row r="274" spans="1:11" x14ac:dyDescent="0.25">
      <c r="A274" s="501" t="s">
        <v>1216</v>
      </c>
      <c r="B274" s="501" t="s">
        <v>121</v>
      </c>
      <c r="C274" s="502" t="s">
        <v>1845</v>
      </c>
      <c r="D274" s="502" t="s">
        <v>1547</v>
      </c>
      <c r="E274" s="502" t="s">
        <v>1548</v>
      </c>
      <c r="F274" s="511" t="s">
        <v>86</v>
      </c>
      <c r="G274" s="556">
        <v>150</v>
      </c>
      <c r="H274" s="502">
        <v>1</v>
      </c>
      <c r="I274" s="502">
        <f>ROUND(SUMIFS('Capacity Summary'!$J:$J,'Capacity Summary'!$B:$B,E274,'Capacity Summary'!$C:$C,F274,'Capacity Summary'!$D:$D,G274),0)</f>
        <v>103</v>
      </c>
      <c r="J274" s="502">
        <f t="shared" si="12"/>
        <v>103</v>
      </c>
      <c r="K274" s="513">
        <f t="shared" si="13"/>
        <v>1.7166666666666666</v>
      </c>
    </row>
    <row r="275" spans="1:11" x14ac:dyDescent="0.25">
      <c r="A275" s="501" t="s">
        <v>1216</v>
      </c>
      <c r="B275" s="501" t="s">
        <v>121</v>
      </c>
      <c r="C275" s="502" t="s">
        <v>1845</v>
      </c>
      <c r="D275" s="502" t="s">
        <v>1547</v>
      </c>
      <c r="E275" s="502" t="s">
        <v>1548</v>
      </c>
      <c r="F275" s="511" t="s">
        <v>86</v>
      </c>
      <c r="G275" s="556">
        <v>150</v>
      </c>
      <c r="H275" s="502">
        <v>1</v>
      </c>
      <c r="I275" s="502">
        <f>ROUND(SUMIFS('Capacity Summary'!$J:$J,'Capacity Summary'!$B:$B,E275,'Capacity Summary'!$C:$C,F275,'Capacity Summary'!$D:$D,G275),0)</f>
        <v>103</v>
      </c>
      <c r="J275" s="502">
        <f t="shared" si="12"/>
        <v>103</v>
      </c>
      <c r="K275" s="513">
        <f t="shared" si="13"/>
        <v>1.7166666666666666</v>
      </c>
    </row>
    <row r="276" spans="1:11" x14ac:dyDescent="0.25">
      <c r="A276" s="501" t="s">
        <v>1221</v>
      </c>
      <c r="B276" s="501" t="s">
        <v>212</v>
      </c>
      <c r="C276" s="502" t="s">
        <v>1673</v>
      </c>
      <c r="D276" s="502" t="s">
        <v>1534</v>
      </c>
      <c r="E276" s="502" t="s">
        <v>1535</v>
      </c>
      <c r="F276" s="511" t="s">
        <v>1403</v>
      </c>
      <c r="G276" s="556">
        <v>1500</v>
      </c>
      <c r="H276" s="502">
        <v>2</v>
      </c>
      <c r="I276" s="502">
        <f>ROUND(SUMIFS('Capacity Summary'!$J:$J,'Capacity Summary'!$B:$B,E276,'Capacity Summary'!$C:$C,F276,'Capacity Summary'!$D:$D,G276),0)</f>
        <v>105</v>
      </c>
      <c r="J276" s="502">
        <f t="shared" si="12"/>
        <v>210</v>
      </c>
      <c r="K276" s="513">
        <f t="shared" si="13"/>
        <v>3.5</v>
      </c>
    </row>
    <row r="277" spans="1:11" x14ac:dyDescent="0.25">
      <c r="A277" s="501" t="s">
        <v>1221</v>
      </c>
      <c r="B277" s="501" t="s">
        <v>212</v>
      </c>
      <c r="C277" s="502" t="s">
        <v>1674</v>
      </c>
      <c r="D277" s="502" t="s">
        <v>1534</v>
      </c>
      <c r="E277" s="502" t="s">
        <v>1535</v>
      </c>
      <c r="F277" s="511" t="s">
        <v>1403</v>
      </c>
      <c r="G277" s="556">
        <v>1500</v>
      </c>
      <c r="H277" s="502">
        <v>1</v>
      </c>
      <c r="I277" s="502">
        <f>ROUND(SUMIFS('Capacity Summary'!$J:$J,'Capacity Summary'!$B:$B,E277,'Capacity Summary'!$C:$C,F277,'Capacity Summary'!$D:$D,G277),0)</f>
        <v>105</v>
      </c>
      <c r="J277" s="502">
        <f t="shared" si="12"/>
        <v>105</v>
      </c>
      <c r="K277" s="513">
        <f t="shared" si="13"/>
        <v>1.75</v>
      </c>
    </row>
    <row r="278" spans="1:11" x14ac:dyDescent="0.25">
      <c r="A278" s="501" t="s">
        <v>1221</v>
      </c>
      <c r="B278" s="501" t="s">
        <v>212</v>
      </c>
      <c r="C278" s="502" t="s">
        <v>1675</v>
      </c>
      <c r="D278" s="502" t="s">
        <v>1538</v>
      </c>
      <c r="E278" s="502" t="s">
        <v>1539</v>
      </c>
      <c r="F278" s="511" t="s">
        <v>86</v>
      </c>
      <c r="G278" s="556">
        <v>1500</v>
      </c>
      <c r="H278" s="502">
        <v>1</v>
      </c>
      <c r="I278" s="502">
        <f>ROUND(SUMIFS('Capacity Summary'!$J:$J,'Capacity Summary'!$B:$B,E278,'Capacity Summary'!$C:$C,F278,'Capacity Summary'!$D:$D,G278),0)</f>
        <v>105</v>
      </c>
      <c r="J278" s="502">
        <f t="shared" si="12"/>
        <v>105</v>
      </c>
      <c r="K278" s="513">
        <f t="shared" si="13"/>
        <v>1.75</v>
      </c>
    </row>
    <row r="279" spans="1:11" x14ac:dyDescent="0.25">
      <c r="A279" s="501" t="s">
        <v>1221</v>
      </c>
      <c r="B279" s="501" t="s">
        <v>212</v>
      </c>
      <c r="C279" s="502" t="s">
        <v>1676</v>
      </c>
      <c r="D279" s="502" t="s">
        <v>1538</v>
      </c>
      <c r="E279" s="502" t="s">
        <v>1539</v>
      </c>
      <c r="F279" s="511" t="s">
        <v>120</v>
      </c>
      <c r="G279" s="556">
        <v>900</v>
      </c>
      <c r="H279" s="502">
        <v>2</v>
      </c>
      <c r="I279" s="502">
        <f>ROUND(SUMIFS('Capacity Summary'!$J:$J,'Capacity Summary'!$B:$B,E279,'Capacity Summary'!$C:$C,F279,'Capacity Summary'!$D:$D,G279),0)</f>
        <v>165</v>
      </c>
      <c r="J279" s="502">
        <f t="shared" si="12"/>
        <v>330</v>
      </c>
      <c r="K279" s="513">
        <f t="shared" si="13"/>
        <v>5.5</v>
      </c>
    </row>
    <row r="280" spans="1:11" x14ac:dyDescent="0.25">
      <c r="A280" s="501" t="s">
        <v>1226</v>
      </c>
      <c r="B280" s="501" t="s">
        <v>872</v>
      </c>
      <c r="C280" s="502" t="s">
        <v>1677</v>
      </c>
      <c r="D280" s="502" t="s">
        <v>1536</v>
      </c>
      <c r="E280" s="502" t="s">
        <v>1537</v>
      </c>
      <c r="F280" s="511" t="s">
        <v>86</v>
      </c>
      <c r="G280" s="556">
        <v>600</v>
      </c>
      <c r="H280" s="502">
        <v>9</v>
      </c>
      <c r="I280" s="502">
        <f>ROUND(SUMIFS('Capacity Summary'!$J:$J,'Capacity Summary'!$B:$B,E280,'Capacity Summary'!$C:$C,F280,'Capacity Summary'!$D:$D,G280),0)</f>
        <v>152</v>
      </c>
      <c r="J280" s="502">
        <f t="shared" si="12"/>
        <v>1368</v>
      </c>
      <c r="K280" s="513">
        <f t="shared" si="13"/>
        <v>22.8</v>
      </c>
    </row>
    <row r="281" spans="1:11" x14ac:dyDescent="0.25">
      <c r="A281" s="501" t="s">
        <v>1226</v>
      </c>
      <c r="B281" s="501" t="s">
        <v>872</v>
      </c>
      <c r="C281" s="502" t="s">
        <v>1678</v>
      </c>
      <c r="D281" s="502" t="s">
        <v>1529</v>
      </c>
      <c r="E281" s="502" t="s">
        <v>1530</v>
      </c>
      <c r="F281" s="511" t="s">
        <v>117</v>
      </c>
      <c r="G281" s="556">
        <v>800</v>
      </c>
      <c r="H281" s="502">
        <v>2</v>
      </c>
      <c r="I281" s="502">
        <f>ROUND(SUMIFS('Capacity Summary'!$J:$J,'Capacity Summary'!$B:$B,E281,'Capacity Summary'!$C:$C,F281,'Capacity Summary'!$D:$D,G281),0)</f>
        <v>80</v>
      </c>
      <c r="J281" s="502">
        <f t="shared" si="12"/>
        <v>160</v>
      </c>
      <c r="K281" s="513">
        <f t="shared" si="13"/>
        <v>2.6666666666666665</v>
      </c>
    </row>
    <row r="282" spans="1:11" x14ac:dyDescent="0.25">
      <c r="A282" s="501" t="s">
        <v>1226</v>
      </c>
      <c r="B282" s="501" t="s">
        <v>872</v>
      </c>
      <c r="C282" s="502" t="s">
        <v>1679</v>
      </c>
      <c r="D282" s="502" t="s">
        <v>1529</v>
      </c>
      <c r="E282" s="502" t="s">
        <v>1530</v>
      </c>
      <c r="F282" s="511" t="s">
        <v>86</v>
      </c>
      <c r="G282" s="556">
        <v>600</v>
      </c>
      <c r="H282" s="502">
        <v>2</v>
      </c>
      <c r="I282" s="502">
        <f>ROUND(SUMIFS('Capacity Summary'!$J:$J,'Capacity Summary'!$B:$B,E282,'Capacity Summary'!$C:$C,F282,'Capacity Summary'!$D:$D,G282),0)</f>
        <v>117</v>
      </c>
      <c r="J282" s="502">
        <f t="shared" si="12"/>
        <v>234</v>
      </c>
      <c r="K282" s="513">
        <f t="shared" si="13"/>
        <v>3.9</v>
      </c>
    </row>
    <row r="283" spans="1:11" x14ac:dyDescent="0.25">
      <c r="A283" s="501" t="s">
        <v>1226</v>
      </c>
      <c r="B283" s="501" t="s">
        <v>872</v>
      </c>
      <c r="C283" s="502" t="s">
        <v>1680</v>
      </c>
      <c r="D283" s="502" t="s">
        <v>1529</v>
      </c>
      <c r="E283" s="502" t="s">
        <v>1530</v>
      </c>
      <c r="F283" s="511" t="s">
        <v>119</v>
      </c>
      <c r="G283" s="556">
        <v>300</v>
      </c>
      <c r="H283" s="502">
        <v>2</v>
      </c>
      <c r="I283" s="502">
        <f>ROUND(SUMIFS('Capacity Summary'!$J:$J,'Capacity Summary'!$B:$B,E283,'Capacity Summary'!$C:$C,F283,'Capacity Summary'!$D:$D,G283),0)</f>
        <v>390</v>
      </c>
      <c r="J283" s="502">
        <f t="shared" si="12"/>
        <v>780</v>
      </c>
      <c r="K283" s="513">
        <f t="shared" si="13"/>
        <v>13</v>
      </c>
    </row>
    <row r="284" spans="1:11" x14ac:dyDescent="0.25">
      <c r="A284" s="501" t="s">
        <v>1226</v>
      </c>
      <c r="B284" s="501" t="s">
        <v>872</v>
      </c>
      <c r="C284" s="502" t="s">
        <v>1681</v>
      </c>
      <c r="D284" s="502" t="s">
        <v>1538</v>
      </c>
      <c r="E284" s="502" t="s">
        <v>1539</v>
      </c>
      <c r="F284" s="511" t="s">
        <v>82</v>
      </c>
      <c r="G284" s="556">
        <v>300</v>
      </c>
      <c r="H284" s="502">
        <v>1</v>
      </c>
      <c r="I284" s="502">
        <f>ROUND(SUMIFS('Capacity Summary'!$J:$J,'Capacity Summary'!$B:$B,E284,'Capacity Summary'!$C:$C,F284,'Capacity Summary'!$D:$D,G284),0)</f>
        <v>165</v>
      </c>
      <c r="J284" s="502">
        <f t="shared" si="12"/>
        <v>165</v>
      </c>
      <c r="K284" s="513">
        <f t="shared" si="13"/>
        <v>2.75</v>
      </c>
    </row>
    <row r="285" spans="1:11" x14ac:dyDescent="0.25">
      <c r="A285" s="501" t="s">
        <v>1234</v>
      </c>
      <c r="B285" s="501" t="s">
        <v>159</v>
      </c>
      <c r="C285" s="502" t="s">
        <v>1682</v>
      </c>
      <c r="D285" s="502" t="s">
        <v>1529</v>
      </c>
      <c r="E285" s="502" t="s">
        <v>1530</v>
      </c>
      <c r="F285" s="511" t="s">
        <v>118</v>
      </c>
      <c r="G285" s="556">
        <v>600</v>
      </c>
      <c r="H285" s="502">
        <v>2</v>
      </c>
      <c r="I285" s="502">
        <f>ROUND(SUMIFS('Capacity Summary'!$J:$J,'Capacity Summary'!$B:$B,E285,'Capacity Summary'!$C:$C,F285,'Capacity Summary'!$D:$D,G285),0)</f>
        <v>660</v>
      </c>
      <c r="J285" s="502">
        <f t="shared" si="12"/>
        <v>1320</v>
      </c>
      <c r="K285" s="513">
        <f t="shared" si="13"/>
        <v>22</v>
      </c>
    </row>
    <row r="286" spans="1:11" x14ac:dyDescent="0.25">
      <c r="A286" s="501" t="s">
        <v>1234</v>
      </c>
      <c r="B286" s="501" t="s">
        <v>159</v>
      </c>
      <c r="C286" s="502" t="s">
        <v>1683</v>
      </c>
      <c r="D286" s="502" t="s">
        <v>1529</v>
      </c>
      <c r="E286" s="502" t="s">
        <v>1530</v>
      </c>
      <c r="F286" s="511" t="s">
        <v>86</v>
      </c>
      <c r="G286" s="556">
        <v>600</v>
      </c>
      <c r="H286" s="502">
        <v>22</v>
      </c>
      <c r="I286" s="502">
        <f>ROUND(SUMIFS('Capacity Summary'!$J:$J,'Capacity Summary'!$B:$B,E286,'Capacity Summary'!$C:$C,F286,'Capacity Summary'!$D:$D,G286),0)</f>
        <v>117</v>
      </c>
      <c r="J286" s="502">
        <f t="shared" si="12"/>
        <v>2574</v>
      </c>
      <c r="K286" s="513">
        <f t="shared" si="13"/>
        <v>42.9</v>
      </c>
    </row>
    <row r="287" spans="1:11" x14ac:dyDescent="0.25">
      <c r="A287" s="501" t="s">
        <v>1234</v>
      </c>
      <c r="B287" s="501" t="s">
        <v>159</v>
      </c>
      <c r="C287" s="502" t="s">
        <v>1684</v>
      </c>
      <c r="D287" s="502" t="s">
        <v>1529</v>
      </c>
      <c r="E287" s="502" t="s">
        <v>1530</v>
      </c>
      <c r="F287" s="511" t="s">
        <v>117</v>
      </c>
      <c r="G287" s="556">
        <v>600</v>
      </c>
      <c r="H287" s="502">
        <v>3</v>
      </c>
      <c r="I287" s="502">
        <f>ROUND(SUMIFS('Capacity Summary'!$J:$J,'Capacity Summary'!$B:$B,E287,'Capacity Summary'!$C:$C,F287,'Capacity Summary'!$D:$D,G287),0)</f>
        <v>82</v>
      </c>
      <c r="J287" s="502">
        <f t="shared" si="12"/>
        <v>246</v>
      </c>
      <c r="K287" s="513">
        <f t="shared" si="13"/>
        <v>4.0999999999999996</v>
      </c>
    </row>
    <row r="288" spans="1:11" x14ac:dyDescent="0.25">
      <c r="A288" s="501" t="s">
        <v>1234</v>
      </c>
      <c r="B288" s="501" t="s">
        <v>159</v>
      </c>
      <c r="C288" s="502" t="s">
        <v>1685</v>
      </c>
      <c r="D288" s="502" t="s">
        <v>1529</v>
      </c>
      <c r="E288" s="502" t="s">
        <v>1530</v>
      </c>
      <c r="F288" s="511" t="s">
        <v>88</v>
      </c>
      <c r="G288" s="556">
        <v>800</v>
      </c>
      <c r="H288" s="502">
        <v>143</v>
      </c>
      <c r="I288" s="502">
        <f>ROUND(SUMIFS('Capacity Summary'!$J:$J,'Capacity Summary'!$B:$B,E288,'Capacity Summary'!$C:$C,F288,'Capacity Summary'!$D:$D,G288),0)</f>
        <v>80</v>
      </c>
      <c r="J288" s="502">
        <f t="shared" si="12"/>
        <v>11440</v>
      </c>
      <c r="K288" s="513">
        <f t="shared" si="13"/>
        <v>190.66666666666666</v>
      </c>
    </row>
    <row r="289" spans="1:11" x14ac:dyDescent="0.25">
      <c r="A289" s="501" t="s">
        <v>1234</v>
      </c>
      <c r="B289" s="501" t="s">
        <v>159</v>
      </c>
      <c r="C289" s="502" t="s">
        <v>1677</v>
      </c>
      <c r="D289" s="502" t="s">
        <v>1536</v>
      </c>
      <c r="E289" s="502" t="s">
        <v>1537</v>
      </c>
      <c r="F289" s="511" t="s">
        <v>86</v>
      </c>
      <c r="G289" s="556">
        <v>600</v>
      </c>
      <c r="H289" s="502">
        <v>22</v>
      </c>
      <c r="I289" s="502">
        <f>ROUND(SUMIFS('Capacity Summary'!$J:$J,'Capacity Summary'!$B:$B,E289,'Capacity Summary'!$C:$C,F289,'Capacity Summary'!$D:$D,G289),0)</f>
        <v>152</v>
      </c>
      <c r="J289" s="502">
        <f t="shared" si="12"/>
        <v>3344</v>
      </c>
      <c r="K289" s="513">
        <f t="shared" si="13"/>
        <v>55.733333333333334</v>
      </c>
    </row>
    <row r="290" spans="1:11" x14ac:dyDescent="0.25">
      <c r="A290" s="501" t="s">
        <v>1234</v>
      </c>
      <c r="B290" s="501" t="s">
        <v>159</v>
      </c>
      <c r="C290" s="502" t="s">
        <v>1678</v>
      </c>
      <c r="D290" s="502" t="s">
        <v>1529</v>
      </c>
      <c r="E290" s="502" t="s">
        <v>1530</v>
      </c>
      <c r="F290" s="511" t="s">
        <v>117</v>
      </c>
      <c r="G290" s="556">
        <v>800</v>
      </c>
      <c r="H290" s="502">
        <v>6</v>
      </c>
      <c r="I290" s="502">
        <f>ROUND(SUMIFS('Capacity Summary'!$J:$J,'Capacity Summary'!$B:$B,E290,'Capacity Summary'!$C:$C,F290,'Capacity Summary'!$D:$D,G290),0)</f>
        <v>80</v>
      </c>
      <c r="J290" s="502">
        <f t="shared" si="12"/>
        <v>480</v>
      </c>
      <c r="K290" s="513">
        <f t="shared" si="13"/>
        <v>8</v>
      </c>
    </row>
    <row r="291" spans="1:11" x14ac:dyDescent="0.25">
      <c r="A291" s="501" t="s">
        <v>1234</v>
      </c>
      <c r="B291" s="501" t="s">
        <v>159</v>
      </c>
      <c r="C291" s="502" t="s">
        <v>1570</v>
      </c>
      <c r="D291" s="502" t="s">
        <v>1529</v>
      </c>
      <c r="E291" s="502" t="s">
        <v>1530</v>
      </c>
      <c r="F291" s="511" t="s">
        <v>86</v>
      </c>
      <c r="G291" s="556">
        <v>150</v>
      </c>
      <c r="H291" s="502">
        <v>11</v>
      </c>
      <c r="I291" s="502">
        <f>ROUND(SUMIFS('Capacity Summary'!$J:$J,'Capacity Summary'!$B:$B,E291,'Capacity Summary'!$C:$C,F291,'Capacity Summary'!$D:$D,G291),0)</f>
        <v>115</v>
      </c>
      <c r="J291" s="502">
        <f t="shared" si="12"/>
        <v>1265</v>
      </c>
      <c r="K291" s="513">
        <f t="shared" si="13"/>
        <v>21.083333333333332</v>
      </c>
    </row>
    <row r="292" spans="1:11" x14ac:dyDescent="0.25">
      <c r="A292" s="501" t="s">
        <v>1234</v>
      </c>
      <c r="B292" s="501" t="s">
        <v>159</v>
      </c>
      <c r="C292" s="502" t="s">
        <v>1686</v>
      </c>
      <c r="D292" s="502" t="s">
        <v>1529</v>
      </c>
      <c r="E292" s="502" t="s">
        <v>1530</v>
      </c>
      <c r="F292" s="511" t="s">
        <v>120</v>
      </c>
      <c r="G292" s="556">
        <v>150</v>
      </c>
      <c r="H292" s="502">
        <v>2</v>
      </c>
      <c r="I292" s="502">
        <f>ROUND(SUMIFS('Capacity Summary'!$J:$J,'Capacity Summary'!$B:$B,E292,'Capacity Summary'!$C:$C,F292,'Capacity Summary'!$D:$D,G292),0)</f>
        <v>220</v>
      </c>
      <c r="J292" s="502">
        <f t="shared" si="12"/>
        <v>440</v>
      </c>
      <c r="K292" s="513">
        <f t="shared" si="13"/>
        <v>7.333333333333333</v>
      </c>
    </row>
    <row r="293" spans="1:11" x14ac:dyDescent="0.25">
      <c r="A293" s="501" t="s">
        <v>1234</v>
      </c>
      <c r="B293" s="501" t="s">
        <v>159</v>
      </c>
      <c r="C293" s="502" t="s">
        <v>1687</v>
      </c>
      <c r="D293" s="502" t="s">
        <v>1529</v>
      </c>
      <c r="E293" s="502" t="s">
        <v>1530</v>
      </c>
      <c r="F293" s="511" t="s">
        <v>118</v>
      </c>
      <c r="G293" s="556">
        <v>150</v>
      </c>
      <c r="H293" s="502">
        <v>6</v>
      </c>
      <c r="I293" s="502">
        <f>ROUND(SUMIFS('Capacity Summary'!$J:$J,'Capacity Summary'!$B:$B,E293,'Capacity Summary'!$C:$C,F293,'Capacity Summary'!$D:$D,G293),0)</f>
        <v>480</v>
      </c>
      <c r="J293" s="502">
        <f t="shared" si="12"/>
        <v>2880</v>
      </c>
      <c r="K293" s="513">
        <f t="shared" si="13"/>
        <v>48</v>
      </c>
    </row>
    <row r="294" spans="1:11" x14ac:dyDescent="0.25">
      <c r="A294" s="501" t="s">
        <v>1234</v>
      </c>
      <c r="B294" s="501" t="s">
        <v>159</v>
      </c>
      <c r="C294" s="502" t="s">
        <v>1678</v>
      </c>
      <c r="D294" s="502" t="s">
        <v>1529</v>
      </c>
      <c r="E294" s="502" t="s">
        <v>1530</v>
      </c>
      <c r="F294" s="511" t="s">
        <v>117</v>
      </c>
      <c r="G294" s="556">
        <v>800</v>
      </c>
      <c r="H294" s="502">
        <v>6</v>
      </c>
      <c r="I294" s="502">
        <f>ROUND(SUMIFS('Capacity Summary'!$J:$J,'Capacity Summary'!$B:$B,E294,'Capacity Summary'!$C:$C,F294,'Capacity Summary'!$D:$D,G294),0)</f>
        <v>80</v>
      </c>
      <c r="J294" s="502">
        <f t="shared" si="12"/>
        <v>480</v>
      </c>
      <c r="K294" s="513">
        <f t="shared" si="13"/>
        <v>8</v>
      </c>
    </row>
    <row r="295" spans="1:11" x14ac:dyDescent="0.25">
      <c r="A295" s="501" t="s">
        <v>1234</v>
      </c>
      <c r="B295" s="501" t="s">
        <v>159</v>
      </c>
      <c r="C295" s="502" t="s">
        <v>1688</v>
      </c>
      <c r="D295" s="502" t="s">
        <v>1529</v>
      </c>
      <c r="E295" s="502" t="s">
        <v>1530</v>
      </c>
      <c r="F295" s="511" t="s">
        <v>86</v>
      </c>
      <c r="G295" s="556">
        <v>600</v>
      </c>
      <c r="H295" s="502">
        <v>12</v>
      </c>
      <c r="I295" s="502">
        <f>ROUND(SUMIFS('Capacity Summary'!$J:$J,'Capacity Summary'!$B:$B,E295,'Capacity Summary'!$C:$C,F295,'Capacity Summary'!$D:$D,G295),0)</f>
        <v>117</v>
      </c>
      <c r="J295" s="502">
        <f t="shared" si="12"/>
        <v>1404</v>
      </c>
      <c r="K295" s="513">
        <f t="shared" si="13"/>
        <v>23.4</v>
      </c>
    </row>
    <row r="296" spans="1:11" x14ac:dyDescent="0.25">
      <c r="A296" s="501" t="s">
        <v>1234</v>
      </c>
      <c r="B296" s="501" t="s">
        <v>159</v>
      </c>
      <c r="C296" s="502" t="s">
        <v>1689</v>
      </c>
      <c r="D296" s="502" t="s">
        <v>1529</v>
      </c>
      <c r="E296" s="502" t="s">
        <v>1530</v>
      </c>
      <c r="F296" s="511" t="s">
        <v>84</v>
      </c>
      <c r="G296" s="556">
        <v>600</v>
      </c>
      <c r="H296" s="502">
        <v>6</v>
      </c>
      <c r="I296" s="502">
        <f>ROUND(SUMIFS('Capacity Summary'!$J:$J,'Capacity Summary'!$B:$B,E296,'Capacity Summary'!$C:$C,F296,'Capacity Summary'!$D:$D,G296),0)</f>
        <v>160</v>
      </c>
      <c r="J296" s="502">
        <f t="shared" si="12"/>
        <v>960</v>
      </c>
      <c r="K296" s="513">
        <f t="shared" si="13"/>
        <v>16</v>
      </c>
    </row>
    <row r="297" spans="1:11" x14ac:dyDescent="0.25">
      <c r="A297" s="501" t="s">
        <v>1234</v>
      </c>
      <c r="B297" s="501" t="s">
        <v>159</v>
      </c>
      <c r="C297" s="502" t="s">
        <v>1690</v>
      </c>
      <c r="D297" s="502" t="s">
        <v>1529</v>
      </c>
      <c r="E297" s="502" t="s">
        <v>1530</v>
      </c>
      <c r="F297" s="511" t="s">
        <v>82</v>
      </c>
      <c r="G297" s="556">
        <v>600</v>
      </c>
      <c r="H297" s="502">
        <v>4</v>
      </c>
      <c r="I297" s="502">
        <f>ROUND(SUMIFS('Capacity Summary'!$J:$J,'Capacity Summary'!$B:$B,E297,'Capacity Summary'!$C:$C,F297,'Capacity Summary'!$D:$D,G297),0)</f>
        <v>230</v>
      </c>
      <c r="J297" s="502">
        <f t="shared" si="12"/>
        <v>920</v>
      </c>
      <c r="K297" s="513">
        <f t="shared" si="13"/>
        <v>15.333333333333334</v>
      </c>
    </row>
    <row r="298" spans="1:11" x14ac:dyDescent="0.25">
      <c r="A298" s="501" t="s">
        <v>1234</v>
      </c>
      <c r="B298" s="501" t="s">
        <v>159</v>
      </c>
      <c r="C298" s="502" t="s">
        <v>1682</v>
      </c>
      <c r="D298" s="502" t="s">
        <v>1529</v>
      </c>
      <c r="E298" s="502" t="s">
        <v>1530</v>
      </c>
      <c r="F298" s="511" t="s">
        <v>118</v>
      </c>
      <c r="G298" s="556">
        <v>600</v>
      </c>
      <c r="H298" s="502">
        <v>8</v>
      </c>
      <c r="I298" s="502">
        <f>ROUND(SUMIFS('Capacity Summary'!$J:$J,'Capacity Summary'!$B:$B,E298,'Capacity Summary'!$C:$C,F298,'Capacity Summary'!$D:$D,G298),0)</f>
        <v>660</v>
      </c>
      <c r="J298" s="502">
        <f t="shared" ref="J298:J361" si="14">H298*I298</f>
        <v>5280</v>
      </c>
      <c r="K298" s="513">
        <f t="shared" ref="K298:K361" si="15">J298/60</f>
        <v>88</v>
      </c>
    </row>
    <row r="299" spans="1:11" x14ac:dyDescent="0.25">
      <c r="A299" s="501" t="s">
        <v>1234</v>
      </c>
      <c r="B299" s="501" t="s">
        <v>159</v>
      </c>
      <c r="C299" s="502" t="s">
        <v>1685</v>
      </c>
      <c r="D299" s="502" t="s">
        <v>1529</v>
      </c>
      <c r="E299" s="502" t="s">
        <v>1530</v>
      </c>
      <c r="F299" s="511" t="s">
        <v>88</v>
      </c>
      <c r="G299" s="556">
        <v>800</v>
      </c>
      <c r="H299" s="502">
        <v>39</v>
      </c>
      <c r="I299" s="502">
        <f>ROUND(SUMIFS('Capacity Summary'!$J:$J,'Capacity Summary'!$B:$B,E299,'Capacity Summary'!$C:$C,F299,'Capacity Summary'!$D:$D,G299),0)</f>
        <v>80</v>
      </c>
      <c r="J299" s="502">
        <f t="shared" si="14"/>
        <v>3120</v>
      </c>
      <c r="K299" s="513">
        <f t="shared" si="15"/>
        <v>52</v>
      </c>
    </row>
    <row r="300" spans="1:11" x14ac:dyDescent="0.25">
      <c r="A300" s="501" t="s">
        <v>1234</v>
      </c>
      <c r="B300" s="501" t="s">
        <v>159</v>
      </c>
      <c r="C300" s="502" t="s">
        <v>1685</v>
      </c>
      <c r="D300" s="502" t="s">
        <v>1529</v>
      </c>
      <c r="E300" s="502" t="s">
        <v>1530</v>
      </c>
      <c r="F300" s="511" t="s">
        <v>88</v>
      </c>
      <c r="G300" s="556">
        <v>800</v>
      </c>
      <c r="H300" s="502">
        <v>7</v>
      </c>
      <c r="I300" s="502">
        <f>ROUND(SUMIFS('Capacity Summary'!$J:$J,'Capacity Summary'!$B:$B,E300,'Capacity Summary'!$C:$C,F300,'Capacity Summary'!$D:$D,G300),0)</f>
        <v>80</v>
      </c>
      <c r="J300" s="502">
        <f t="shared" si="14"/>
        <v>560</v>
      </c>
      <c r="K300" s="513">
        <f t="shared" si="15"/>
        <v>9.3333333333333339</v>
      </c>
    </row>
    <row r="301" spans="1:11" x14ac:dyDescent="0.25">
      <c r="A301" s="501" t="s">
        <v>1234</v>
      </c>
      <c r="B301" s="501" t="s">
        <v>159</v>
      </c>
      <c r="C301" s="502" t="s">
        <v>1678</v>
      </c>
      <c r="D301" s="502" t="s">
        <v>1529</v>
      </c>
      <c r="E301" s="502" t="s">
        <v>1530</v>
      </c>
      <c r="F301" s="511" t="s">
        <v>117</v>
      </c>
      <c r="G301" s="556">
        <v>800</v>
      </c>
      <c r="H301" s="502">
        <v>6</v>
      </c>
      <c r="I301" s="502">
        <f>ROUND(SUMIFS('Capacity Summary'!$J:$J,'Capacity Summary'!$B:$B,E301,'Capacity Summary'!$C:$C,F301,'Capacity Summary'!$D:$D,G301),0)</f>
        <v>80</v>
      </c>
      <c r="J301" s="502">
        <f t="shared" si="14"/>
        <v>480</v>
      </c>
      <c r="K301" s="513">
        <f t="shared" si="15"/>
        <v>8</v>
      </c>
    </row>
    <row r="302" spans="1:11" x14ac:dyDescent="0.25">
      <c r="A302" s="501" t="s">
        <v>1234</v>
      </c>
      <c r="B302" s="501" t="s">
        <v>159</v>
      </c>
      <c r="C302" s="502" t="s">
        <v>1594</v>
      </c>
      <c r="D302" s="502" t="s">
        <v>1538</v>
      </c>
      <c r="E302" s="502" t="s">
        <v>1539</v>
      </c>
      <c r="F302" s="511" t="s">
        <v>118</v>
      </c>
      <c r="G302" s="556">
        <v>150</v>
      </c>
      <c r="H302" s="502">
        <v>5</v>
      </c>
      <c r="I302" s="502">
        <f>ROUND(SUMIFS('Capacity Summary'!$J:$J,'Capacity Summary'!$B:$B,E302,'Capacity Summary'!$C:$C,F302,'Capacity Summary'!$D:$D,G302),0)</f>
        <v>385</v>
      </c>
      <c r="J302" s="502">
        <f t="shared" si="14"/>
        <v>1925</v>
      </c>
      <c r="K302" s="513">
        <f t="shared" si="15"/>
        <v>32.083333333333336</v>
      </c>
    </row>
    <row r="303" spans="1:11" x14ac:dyDescent="0.25">
      <c r="A303" s="501" t="s">
        <v>1234</v>
      </c>
      <c r="B303" s="501" t="s">
        <v>159</v>
      </c>
      <c r="C303" s="502" t="s">
        <v>1691</v>
      </c>
      <c r="D303" s="502" t="s">
        <v>1538</v>
      </c>
      <c r="E303" s="502" t="s">
        <v>1539</v>
      </c>
      <c r="F303" s="511" t="s">
        <v>80</v>
      </c>
      <c r="G303" s="556">
        <v>600</v>
      </c>
      <c r="H303" s="502">
        <v>2</v>
      </c>
      <c r="I303" s="502">
        <f>ROUND(SUMIFS('Capacity Summary'!$J:$J,'Capacity Summary'!$B:$B,E303,'Capacity Summary'!$C:$C,F303,'Capacity Summary'!$D:$D,G303),0)</f>
        <v>230</v>
      </c>
      <c r="J303" s="502">
        <f t="shared" si="14"/>
        <v>460</v>
      </c>
      <c r="K303" s="513">
        <f t="shared" si="15"/>
        <v>7.666666666666667</v>
      </c>
    </row>
    <row r="304" spans="1:11" x14ac:dyDescent="0.25">
      <c r="A304" s="501" t="s">
        <v>1234</v>
      </c>
      <c r="B304" s="501" t="s">
        <v>159</v>
      </c>
      <c r="C304" s="502" t="s">
        <v>1692</v>
      </c>
      <c r="D304" s="502" t="s">
        <v>1538</v>
      </c>
      <c r="E304" s="502" t="s">
        <v>1539</v>
      </c>
      <c r="F304" s="511" t="s">
        <v>118</v>
      </c>
      <c r="G304" s="556">
        <v>600</v>
      </c>
      <c r="H304" s="502">
        <v>1</v>
      </c>
      <c r="I304" s="502">
        <f>ROUND(SUMIFS('Capacity Summary'!$J:$J,'Capacity Summary'!$B:$B,E304,'Capacity Summary'!$C:$C,F304,'Capacity Summary'!$D:$D,G304),0)</f>
        <v>550</v>
      </c>
      <c r="J304" s="502">
        <f t="shared" si="14"/>
        <v>550</v>
      </c>
      <c r="K304" s="513">
        <f t="shared" si="15"/>
        <v>9.1666666666666661</v>
      </c>
    </row>
    <row r="305" spans="1:11" x14ac:dyDescent="0.25">
      <c r="A305" s="501" t="s">
        <v>1234</v>
      </c>
      <c r="B305" s="501" t="s">
        <v>159</v>
      </c>
      <c r="C305" s="502" t="s">
        <v>1575</v>
      </c>
      <c r="D305" s="502" t="s">
        <v>1534</v>
      </c>
      <c r="E305" s="502" t="s">
        <v>1535</v>
      </c>
      <c r="F305" s="511" t="s">
        <v>86</v>
      </c>
      <c r="G305" s="556">
        <v>150</v>
      </c>
      <c r="H305" s="502">
        <v>11</v>
      </c>
      <c r="I305" s="502">
        <f>ROUND(SUMIFS('Capacity Summary'!$J:$J,'Capacity Summary'!$B:$B,E305,'Capacity Summary'!$C:$C,F305,'Capacity Summary'!$D:$D,G305),0)</f>
        <v>140</v>
      </c>
      <c r="J305" s="502">
        <f t="shared" si="14"/>
        <v>1540</v>
      </c>
      <c r="K305" s="513">
        <f t="shared" si="15"/>
        <v>25.666666666666668</v>
      </c>
    </row>
    <row r="306" spans="1:11" x14ac:dyDescent="0.25">
      <c r="A306" s="501" t="s">
        <v>1234</v>
      </c>
      <c r="B306" s="501" t="s">
        <v>159</v>
      </c>
      <c r="C306" s="502" t="s">
        <v>1677</v>
      </c>
      <c r="D306" s="502" t="s">
        <v>1536</v>
      </c>
      <c r="E306" s="502" t="s">
        <v>1537</v>
      </c>
      <c r="F306" s="511" t="s">
        <v>86</v>
      </c>
      <c r="G306" s="556">
        <v>600</v>
      </c>
      <c r="H306" s="502">
        <v>6</v>
      </c>
      <c r="I306" s="502">
        <f>ROUND(SUMIFS('Capacity Summary'!$J:$J,'Capacity Summary'!$B:$B,E306,'Capacity Summary'!$C:$C,F306,'Capacity Summary'!$D:$D,G306),0)</f>
        <v>152</v>
      </c>
      <c r="J306" s="502">
        <f t="shared" si="14"/>
        <v>912</v>
      </c>
      <c r="K306" s="513">
        <f t="shared" si="15"/>
        <v>15.2</v>
      </c>
    </row>
    <row r="307" spans="1:11" x14ac:dyDescent="0.25">
      <c r="A307" s="501" t="s">
        <v>1234</v>
      </c>
      <c r="B307" s="501" t="s">
        <v>159</v>
      </c>
      <c r="C307" s="502" t="s">
        <v>1693</v>
      </c>
      <c r="D307" s="502" t="s">
        <v>1536</v>
      </c>
      <c r="E307" s="502" t="s">
        <v>1537</v>
      </c>
      <c r="F307" s="511" t="s">
        <v>118</v>
      </c>
      <c r="G307" s="556">
        <v>600</v>
      </c>
      <c r="H307" s="502">
        <v>1</v>
      </c>
      <c r="I307" s="502">
        <f>ROUND(SUMIFS('Capacity Summary'!$J:$J,'Capacity Summary'!$B:$B,E307,'Capacity Summary'!$C:$C,F307,'Capacity Summary'!$D:$D,G307),0)</f>
        <v>740</v>
      </c>
      <c r="J307" s="502">
        <f t="shared" si="14"/>
        <v>740</v>
      </c>
      <c r="K307" s="513">
        <f t="shared" si="15"/>
        <v>12.333333333333334</v>
      </c>
    </row>
    <row r="308" spans="1:11" x14ac:dyDescent="0.25">
      <c r="A308" s="501" t="s">
        <v>1234</v>
      </c>
      <c r="B308" s="501" t="s">
        <v>159</v>
      </c>
      <c r="C308" s="502" t="s">
        <v>1694</v>
      </c>
      <c r="D308" s="502" t="s">
        <v>1534</v>
      </c>
      <c r="E308" s="502" t="s">
        <v>1535</v>
      </c>
      <c r="F308" s="511" t="s">
        <v>1403</v>
      </c>
      <c r="G308" s="556">
        <v>150</v>
      </c>
      <c r="H308" s="502">
        <v>1</v>
      </c>
      <c r="I308" s="502">
        <f>ROUND(SUMIFS('Capacity Summary'!$J:$J,'Capacity Summary'!$B:$B,E308,'Capacity Summary'!$C:$C,F308,'Capacity Summary'!$D:$D,G308),0)</f>
        <v>75</v>
      </c>
      <c r="J308" s="502">
        <f t="shared" si="14"/>
        <v>75</v>
      </c>
      <c r="K308" s="513">
        <f t="shared" si="15"/>
        <v>1.25</v>
      </c>
    </row>
    <row r="309" spans="1:11" x14ac:dyDescent="0.25">
      <c r="A309" s="501" t="s">
        <v>1234</v>
      </c>
      <c r="B309" s="501" t="s">
        <v>159</v>
      </c>
      <c r="C309" s="502" t="s">
        <v>1695</v>
      </c>
      <c r="D309" s="502" t="s">
        <v>1538</v>
      </c>
      <c r="E309" s="502" t="s">
        <v>1539</v>
      </c>
      <c r="F309" s="511" t="s">
        <v>1403</v>
      </c>
      <c r="G309" s="556">
        <v>150</v>
      </c>
      <c r="H309" s="502">
        <v>1</v>
      </c>
      <c r="I309" s="502">
        <f>ROUND(SUMIFS('Capacity Summary'!$J:$J,'Capacity Summary'!$B:$B,E309,'Capacity Summary'!$C:$C,F309,'Capacity Summary'!$D:$D,G309),0)</f>
        <v>75</v>
      </c>
      <c r="J309" s="502">
        <f t="shared" si="14"/>
        <v>75</v>
      </c>
      <c r="K309" s="513">
        <f t="shared" si="15"/>
        <v>1.25</v>
      </c>
    </row>
    <row r="310" spans="1:11" x14ac:dyDescent="0.25">
      <c r="A310" s="501" t="s">
        <v>1249</v>
      </c>
      <c r="B310" s="501" t="s">
        <v>1251</v>
      </c>
      <c r="C310" s="502" t="s">
        <v>1846</v>
      </c>
      <c r="D310" s="502" t="s">
        <v>1547</v>
      </c>
      <c r="E310" s="502" t="s">
        <v>1548</v>
      </c>
      <c r="F310" s="511" t="s">
        <v>86</v>
      </c>
      <c r="G310" s="556">
        <v>150</v>
      </c>
      <c r="H310" s="502">
        <v>3</v>
      </c>
      <c r="I310" s="502">
        <f>ROUND(SUMIFS('Capacity Summary'!$J:$J,'Capacity Summary'!$B:$B,E310,'Capacity Summary'!$C:$C,F310,'Capacity Summary'!$D:$D,G310),0)</f>
        <v>103</v>
      </c>
      <c r="J310" s="502">
        <f t="shared" si="14"/>
        <v>309</v>
      </c>
      <c r="K310" s="513">
        <f t="shared" si="15"/>
        <v>5.15</v>
      </c>
    </row>
    <row r="311" spans="1:11" x14ac:dyDescent="0.25">
      <c r="A311" s="501" t="s">
        <v>1249</v>
      </c>
      <c r="B311" s="501" t="s">
        <v>1251</v>
      </c>
      <c r="C311" s="502" t="s">
        <v>1847</v>
      </c>
      <c r="D311" s="502" t="s">
        <v>1547</v>
      </c>
      <c r="E311" s="502" t="s">
        <v>1548</v>
      </c>
      <c r="F311" s="511" t="s">
        <v>85</v>
      </c>
      <c r="G311" s="556">
        <v>150</v>
      </c>
      <c r="H311" s="502">
        <v>2</v>
      </c>
      <c r="I311" s="502">
        <f>ROUND(SUMIFS('Capacity Summary'!$J:$J,'Capacity Summary'!$B:$B,E311,'Capacity Summary'!$C:$C,F311,'Capacity Summary'!$D:$D,G311),0)</f>
        <v>115</v>
      </c>
      <c r="J311" s="502">
        <f t="shared" si="14"/>
        <v>230</v>
      </c>
      <c r="K311" s="513">
        <f t="shared" si="15"/>
        <v>3.8333333333333335</v>
      </c>
    </row>
    <row r="312" spans="1:11" x14ac:dyDescent="0.25">
      <c r="A312" s="501" t="s">
        <v>1249</v>
      </c>
      <c r="B312" s="501" t="s">
        <v>1251</v>
      </c>
      <c r="C312" s="502" t="s">
        <v>1841</v>
      </c>
      <c r="D312" s="502" t="s">
        <v>1547</v>
      </c>
      <c r="E312" s="502" t="s">
        <v>1548</v>
      </c>
      <c r="F312" s="511" t="s">
        <v>82</v>
      </c>
      <c r="G312" s="556">
        <v>150</v>
      </c>
      <c r="H312" s="502">
        <v>2</v>
      </c>
      <c r="I312" s="502">
        <f>ROUND(SUMIFS('Capacity Summary'!$J:$J,'Capacity Summary'!$B:$B,E312,'Capacity Summary'!$C:$C,F312,'Capacity Summary'!$D:$D,G312),0)</f>
        <v>160</v>
      </c>
      <c r="J312" s="502">
        <f t="shared" si="14"/>
        <v>320</v>
      </c>
      <c r="K312" s="513">
        <f t="shared" si="15"/>
        <v>5.333333333333333</v>
      </c>
    </row>
    <row r="313" spans="1:11" x14ac:dyDescent="0.25">
      <c r="A313" s="501" t="s">
        <v>1743</v>
      </c>
      <c r="B313" s="501" t="s">
        <v>121</v>
      </c>
      <c r="C313" s="502" t="s">
        <v>1685</v>
      </c>
      <c r="D313" s="502" t="s">
        <v>1529</v>
      </c>
      <c r="E313" s="502" t="s">
        <v>1530</v>
      </c>
      <c r="F313" s="511" t="s">
        <v>88</v>
      </c>
      <c r="G313" s="556">
        <v>800</v>
      </c>
      <c r="H313" s="502">
        <v>3</v>
      </c>
      <c r="I313" s="502">
        <f>ROUND(SUMIFS('Capacity Summary'!$J:$J,'Capacity Summary'!$B:$B,E313,'Capacity Summary'!$C:$C,F313,'Capacity Summary'!$D:$D,G313),0)</f>
        <v>80</v>
      </c>
      <c r="J313" s="502">
        <f t="shared" si="14"/>
        <v>240</v>
      </c>
      <c r="K313" s="513">
        <f t="shared" si="15"/>
        <v>4</v>
      </c>
    </row>
    <row r="314" spans="1:11" x14ac:dyDescent="0.25">
      <c r="A314" s="501" t="s">
        <v>1743</v>
      </c>
      <c r="B314" s="501" t="s">
        <v>121</v>
      </c>
      <c r="C314" s="502" t="s">
        <v>1848</v>
      </c>
      <c r="D314" s="502" t="s">
        <v>1529</v>
      </c>
      <c r="E314" s="502" t="s">
        <v>1530</v>
      </c>
      <c r="F314" s="511" t="s">
        <v>117</v>
      </c>
      <c r="G314" s="556">
        <v>800</v>
      </c>
      <c r="H314" s="502">
        <v>9</v>
      </c>
      <c r="I314" s="502">
        <f>ROUND(SUMIFS('Capacity Summary'!$J:$J,'Capacity Summary'!$B:$B,E314,'Capacity Summary'!$C:$C,F314,'Capacity Summary'!$D:$D,G314),0)</f>
        <v>80</v>
      </c>
      <c r="J314" s="502">
        <f t="shared" si="14"/>
        <v>720</v>
      </c>
      <c r="K314" s="513">
        <f t="shared" si="15"/>
        <v>12</v>
      </c>
    </row>
    <row r="315" spans="1:11" x14ac:dyDescent="0.25">
      <c r="A315" s="501" t="s">
        <v>1743</v>
      </c>
      <c r="B315" s="501" t="s">
        <v>121</v>
      </c>
      <c r="C315" s="502" t="s">
        <v>1849</v>
      </c>
      <c r="D315" s="502" t="s">
        <v>1529</v>
      </c>
      <c r="E315" s="502" t="s">
        <v>1530</v>
      </c>
      <c r="F315" s="511" t="s">
        <v>86</v>
      </c>
      <c r="G315" s="556">
        <v>150</v>
      </c>
      <c r="H315" s="502">
        <v>19</v>
      </c>
      <c r="I315" s="502">
        <f>ROUND(SUMIFS('Capacity Summary'!$J:$J,'Capacity Summary'!$B:$B,E315,'Capacity Summary'!$C:$C,F315,'Capacity Summary'!$D:$D,G315),0)</f>
        <v>115</v>
      </c>
      <c r="J315" s="502">
        <f t="shared" si="14"/>
        <v>2185</v>
      </c>
      <c r="K315" s="513">
        <f t="shared" si="15"/>
        <v>36.416666666666664</v>
      </c>
    </row>
    <row r="316" spans="1:11" x14ac:dyDescent="0.25">
      <c r="A316" s="501" t="s">
        <v>1743</v>
      </c>
      <c r="B316" s="501" t="s">
        <v>121</v>
      </c>
      <c r="C316" s="502" t="s">
        <v>1575</v>
      </c>
      <c r="D316" s="502" t="s">
        <v>1534</v>
      </c>
      <c r="E316" s="502" t="s">
        <v>1535</v>
      </c>
      <c r="F316" s="511" t="s">
        <v>86</v>
      </c>
      <c r="G316" s="556">
        <v>150</v>
      </c>
      <c r="H316" s="502">
        <v>3</v>
      </c>
      <c r="I316" s="502">
        <f>ROUND(SUMIFS('Capacity Summary'!$J:$J,'Capacity Summary'!$B:$B,E316,'Capacity Summary'!$C:$C,F316,'Capacity Summary'!$D:$D,G316),0)</f>
        <v>140</v>
      </c>
      <c r="J316" s="502">
        <f t="shared" si="14"/>
        <v>420</v>
      </c>
      <c r="K316" s="513">
        <f t="shared" si="15"/>
        <v>7</v>
      </c>
    </row>
    <row r="317" spans="1:11" x14ac:dyDescent="0.25">
      <c r="A317" s="501" t="s">
        <v>1743</v>
      </c>
      <c r="B317" s="501" t="s">
        <v>121</v>
      </c>
      <c r="C317" s="502" t="s">
        <v>1620</v>
      </c>
      <c r="D317" s="502" t="s">
        <v>1534</v>
      </c>
      <c r="E317" s="502" t="s">
        <v>1535</v>
      </c>
      <c r="F317" s="511" t="s">
        <v>84</v>
      </c>
      <c r="G317" s="556">
        <v>150</v>
      </c>
      <c r="H317" s="502">
        <v>7</v>
      </c>
      <c r="I317" s="502">
        <f>ROUND(SUMIFS('Capacity Summary'!$J:$J,'Capacity Summary'!$B:$B,E317,'Capacity Summary'!$C:$C,F317,'Capacity Summary'!$D:$D,G317),0)</f>
        <v>235</v>
      </c>
      <c r="J317" s="502">
        <f t="shared" si="14"/>
        <v>1645</v>
      </c>
      <c r="K317" s="513">
        <f t="shared" si="15"/>
        <v>27.416666666666668</v>
      </c>
    </row>
    <row r="318" spans="1:11" x14ac:dyDescent="0.25">
      <c r="A318" s="501" t="s">
        <v>1743</v>
      </c>
      <c r="B318" s="501" t="s">
        <v>121</v>
      </c>
      <c r="C318" s="502" t="s">
        <v>1620</v>
      </c>
      <c r="D318" s="502" t="s">
        <v>1534</v>
      </c>
      <c r="E318" s="502" t="s">
        <v>1535</v>
      </c>
      <c r="F318" s="511" t="s">
        <v>84</v>
      </c>
      <c r="G318" s="556">
        <v>150</v>
      </c>
      <c r="H318" s="502">
        <v>1</v>
      </c>
      <c r="I318" s="502">
        <f>ROUND(SUMIFS('Capacity Summary'!$J:$J,'Capacity Summary'!$B:$B,E318,'Capacity Summary'!$C:$C,F318,'Capacity Summary'!$D:$D,G318),0)</f>
        <v>235</v>
      </c>
      <c r="J318" s="502">
        <f t="shared" si="14"/>
        <v>235</v>
      </c>
      <c r="K318" s="513">
        <f t="shared" si="15"/>
        <v>3.9166666666666665</v>
      </c>
    </row>
    <row r="319" spans="1:11" x14ac:dyDescent="0.25">
      <c r="A319" s="501" t="s">
        <v>1743</v>
      </c>
      <c r="B319" s="501" t="s">
        <v>121</v>
      </c>
      <c r="C319" s="502" t="s">
        <v>1573</v>
      </c>
      <c r="D319" s="502" t="s">
        <v>1534</v>
      </c>
      <c r="E319" s="502" t="s">
        <v>1535</v>
      </c>
      <c r="F319" s="511" t="s">
        <v>82</v>
      </c>
      <c r="G319" s="556">
        <v>150</v>
      </c>
      <c r="H319" s="502">
        <v>1</v>
      </c>
      <c r="I319" s="502">
        <f>ROUND(SUMIFS('Capacity Summary'!$J:$J,'Capacity Summary'!$B:$B,E319,'Capacity Summary'!$C:$C,F319,'Capacity Summary'!$D:$D,G319),0)</f>
        <v>285</v>
      </c>
      <c r="J319" s="502">
        <f t="shared" si="14"/>
        <v>285</v>
      </c>
      <c r="K319" s="513">
        <f t="shared" si="15"/>
        <v>4.75</v>
      </c>
    </row>
    <row r="320" spans="1:11" x14ac:dyDescent="0.25">
      <c r="A320" s="501" t="s">
        <v>1743</v>
      </c>
      <c r="B320" s="501" t="s">
        <v>121</v>
      </c>
      <c r="C320" s="502" t="s">
        <v>1593</v>
      </c>
      <c r="D320" s="502" t="s">
        <v>1534</v>
      </c>
      <c r="E320" s="502" t="s">
        <v>1535</v>
      </c>
      <c r="F320" s="511" t="s">
        <v>80</v>
      </c>
      <c r="G320" s="556">
        <v>150</v>
      </c>
      <c r="H320" s="502">
        <v>2</v>
      </c>
      <c r="I320" s="502">
        <f>ROUND(SUMIFS('Capacity Summary'!$J:$J,'Capacity Summary'!$B:$B,E320,'Capacity Summary'!$C:$C,F320,'Capacity Summary'!$D:$D,G320),0)</f>
        <v>395</v>
      </c>
      <c r="J320" s="502">
        <f t="shared" si="14"/>
        <v>790</v>
      </c>
      <c r="K320" s="513">
        <f t="shared" si="15"/>
        <v>13.166666666666666</v>
      </c>
    </row>
    <row r="321" spans="1:11" x14ac:dyDescent="0.25">
      <c r="A321" s="501" t="s">
        <v>1743</v>
      </c>
      <c r="B321" s="501" t="s">
        <v>121</v>
      </c>
      <c r="C321" s="502" t="s">
        <v>1850</v>
      </c>
      <c r="D321" s="502" t="s">
        <v>1538</v>
      </c>
      <c r="E321" s="502" t="s">
        <v>1539</v>
      </c>
      <c r="F321" s="511" t="s">
        <v>86</v>
      </c>
      <c r="G321" s="556">
        <v>150</v>
      </c>
      <c r="H321" s="502">
        <v>4</v>
      </c>
      <c r="I321" s="502">
        <f>ROUND(SUMIFS('Capacity Summary'!$J:$J,'Capacity Summary'!$B:$B,E321,'Capacity Summary'!$C:$C,F321,'Capacity Summary'!$D:$D,G321),0)</f>
        <v>105</v>
      </c>
      <c r="J321" s="502">
        <f t="shared" si="14"/>
        <v>420</v>
      </c>
      <c r="K321" s="513">
        <f t="shared" si="15"/>
        <v>7</v>
      </c>
    </row>
    <row r="322" spans="1:11" x14ac:dyDescent="0.25">
      <c r="A322" s="501" t="s">
        <v>1743</v>
      </c>
      <c r="B322" s="501" t="s">
        <v>121</v>
      </c>
      <c r="C322" s="502" t="s">
        <v>1685</v>
      </c>
      <c r="D322" s="502" t="s">
        <v>1529</v>
      </c>
      <c r="E322" s="502" t="s">
        <v>1530</v>
      </c>
      <c r="F322" s="511" t="s">
        <v>88</v>
      </c>
      <c r="G322" s="556">
        <v>800</v>
      </c>
      <c r="H322" s="502">
        <v>2</v>
      </c>
      <c r="I322" s="502">
        <f>ROUND(SUMIFS('Capacity Summary'!$J:$J,'Capacity Summary'!$B:$B,E322,'Capacity Summary'!$C:$C,F322,'Capacity Summary'!$D:$D,G322),0)</f>
        <v>80</v>
      </c>
      <c r="J322" s="502">
        <f t="shared" si="14"/>
        <v>160</v>
      </c>
      <c r="K322" s="513">
        <f t="shared" si="15"/>
        <v>2.6666666666666665</v>
      </c>
    </row>
    <row r="323" spans="1:11" x14ac:dyDescent="0.25">
      <c r="A323" s="501" t="s">
        <v>1743</v>
      </c>
      <c r="B323" s="501" t="s">
        <v>121</v>
      </c>
      <c r="C323" s="502" t="s">
        <v>1620</v>
      </c>
      <c r="D323" s="502" t="s">
        <v>1534</v>
      </c>
      <c r="E323" s="502" t="s">
        <v>1535</v>
      </c>
      <c r="F323" s="511" t="s">
        <v>84</v>
      </c>
      <c r="G323" s="556">
        <v>150</v>
      </c>
      <c r="H323" s="502">
        <v>1</v>
      </c>
      <c r="I323" s="502">
        <f>ROUND(SUMIFS('Capacity Summary'!$J:$J,'Capacity Summary'!$B:$B,E323,'Capacity Summary'!$C:$C,F323,'Capacity Summary'!$D:$D,G323),0)</f>
        <v>235</v>
      </c>
      <c r="J323" s="502">
        <f t="shared" si="14"/>
        <v>235</v>
      </c>
      <c r="K323" s="513">
        <f t="shared" si="15"/>
        <v>3.9166666666666665</v>
      </c>
    </row>
    <row r="324" spans="1:11" x14ac:dyDescent="0.25">
      <c r="A324" s="501" t="s">
        <v>1743</v>
      </c>
      <c r="B324" s="501" t="s">
        <v>121</v>
      </c>
      <c r="C324" s="502" t="s">
        <v>1685</v>
      </c>
      <c r="D324" s="502" t="s">
        <v>1529</v>
      </c>
      <c r="E324" s="502" t="s">
        <v>1530</v>
      </c>
      <c r="F324" s="511" t="s">
        <v>88</v>
      </c>
      <c r="G324" s="556">
        <v>800</v>
      </c>
      <c r="H324" s="502">
        <v>1</v>
      </c>
      <c r="I324" s="502">
        <f>ROUND(SUMIFS('Capacity Summary'!$J:$J,'Capacity Summary'!$B:$B,E324,'Capacity Summary'!$C:$C,F324,'Capacity Summary'!$D:$D,G324),0)</f>
        <v>80</v>
      </c>
      <c r="J324" s="502">
        <f t="shared" si="14"/>
        <v>80</v>
      </c>
      <c r="K324" s="513">
        <f t="shared" si="15"/>
        <v>1.3333333333333333</v>
      </c>
    </row>
    <row r="325" spans="1:11" x14ac:dyDescent="0.25">
      <c r="A325" s="501" t="s">
        <v>1743</v>
      </c>
      <c r="B325" s="501" t="s">
        <v>121</v>
      </c>
      <c r="C325" s="502" t="s">
        <v>1573</v>
      </c>
      <c r="D325" s="502" t="s">
        <v>1534</v>
      </c>
      <c r="E325" s="502" t="s">
        <v>1535</v>
      </c>
      <c r="F325" s="511" t="s">
        <v>82</v>
      </c>
      <c r="G325" s="556">
        <v>150</v>
      </c>
      <c r="H325" s="502">
        <v>1</v>
      </c>
      <c r="I325" s="502">
        <f>ROUND(SUMIFS('Capacity Summary'!$J:$J,'Capacity Summary'!$B:$B,E325,'Capacity Summary'!$C:$C,F325,'Capacity Summary'!$D:$D,G325),0)</f>
        <v>285</v>
      </c>
      <c r="J325" s="502">
        <f t="shared" si="14"/>
        <v>285</v>
      </c>
      <c r="K325" s="513">
        <f t="shared" si="15"/>
        <v>4.75</v>
      </c>
    </row>
    <row r="326" spans="1:11" x14ac:dyDescent="0.25">
      <c r="A326" s="501" t="s">
        <v>1743</v>
      </c>
      <c r="B326" s="501" t="s">
        <v>121</v>
      </c>
      <c r="C326" s="502" t="s">
        <v>1578</v>
      </c>
      <c r="D326" s="502" t="s">
        <v>1538</v>
      </c>
      <c r="E326" s="502" t="s">
        <v>1539</v>
      </c>
      <c r="F326" s="511" t="s">
        <v>82</v>
      </c>
      <c r="G326" s="556">
        <v>150</v>
      </c>
      <c r="H326" s="502">
        <v>1</v>
      </c>
      <c r="I326" s="502">
        <f>ROUND(SUMIFS('Capacity Summary'!$J:$J,'Capacity Summary'!$B:$B,E326,'Capacity Summary'!$C:$C,F326,'Capacity Summary'!$D:$D,G326),0)</f>
        <v>170</v>
      </c>
      <c r="J326" s="502">
        <f t="shared" si="14"/>
        <v>170</v>
      </c>
      <c r="K326" s="513">
        <f t="shared" si="15"/>
        <v>2.8333333333333335</v>
      </c>
    </row>
    <row r="327" spans="1:11" x14ac:dyDescent="0.25">
      <c r="A327" s="501" t="s">
        <v>1743</v>
      </c>
      <c r="B327" s="501" t="s">
        <v>121</v>
      </c>
      <c r="C327" s="502" t="s">
        <v>1685</v>
      </c>
      <c r="D327" s="502" t="s">
        <v>1529</v>
      </c>
      <c r="E327" s="502" t="s">
        <v>1530</v>
      </c>
      <c r="F327" s="511" t="s">
        <v>88</v>
      </c>
      <c r="G327" s="556">
        <v>800</v>
      </c>
      <c r="H327" s="502">
        <v>2</v>
      </c>
      <c r="I327" s="502">
        <f>ROUND(SUMIFS('Capacity Summary'!$J:$J,'Capacity Summary'!$B:$B,E327,'Capacity Summary'!$C:$C,F327,'Capacity Summary'!$D:$D,G327),0)</f>
        <v>80</v>
      </c>
      <c r="J327" s="502">
        <f t="shared" si="14"/>
        <v>160</v>
      </c>
      <c r="K327" s="513">
        <f t="shared" si="15"/>
        <v>2.6666666666666665</v>
      </c>
    </row>
    <row r="328" spans="1:11" x14ac:dyDescent="0.25">
      <c r="A328" s="501" t="s">
        <v>1743</v>
      </c>
      <c r="B328" s="501" t="s">
        <v>121</v>
      </c>
      <c r="C328" s="502" t="s">
        <v>1575</v>
      </c>
      <c r="D328" s="502" t="s">
        <v>1534</v>
      </c>
      <c r="E328" s="502" t="s">
        <v>1535</v>
      </c>
      <c r="F328" s="511" t="s">
        <v>86</v>
      </c>
      <c r="G328" s="556">
        <v>150</v>
      </c>
      <c r="H328" s="502">
        <v>5</v>
      </c>
      <c r="I328" s="502">
        <f>ROUND(SUMIFS('Capacity Summary'!$J:$J,'Capacity Summary'!$B:$B,E328,'Capacity Summary'!$C:$C,F328,'Capacity Summary'!$D:$D,G328),0)</f>
        <v>140</v>
      </c>
      <c r="J328" s="502">
        <f t="shared" si="14"/>
        <v>700</v>
      </c>
      <c r="K328" s="513">
        <f t="shared" si="15"/>
        <v>11.666666666666666</v>
      </c>
    </row>
    <row r="329" spans="1:11" x14ac:dyDescent="0.25">
      <c r="A329" s="501" t="s">
        <v>1743</v>
      </c>
      <c r="B329" s="501" t="s">
        <v>121</v>
      </c>
      <c r="C329" s="502" t="s">
        <v>1851</v>
      </c>
      <c r="D329" s="502" t="s">
        <v>1529</v>
      </c>
      <c r="E329" s="502" t="s">
        <v>1530</v>
      </c>
      <c r="F329" s="511" t="s">
        <v>88</v>
      </c>
      <c r="G329" s="556">
        <v>800</v>
      </c>
      <c r="H329" s="502">
        <v>24</v>
      </c>
      <c r="I329" s="502">
        <f>ROUND(SUMIFS('Capacity Summary'!$J:$J,'Capacity Summary'!$B:$B,E329,'Capacity Summary'!$C:$C,F329,'Capacity Summary'!$D:$D,G329),0)</f>
        <v>80</v>
      </c>
      <c r="J329" s="502">
        <f t="shared" si="14"/>
        <v>1920</v>
      </c>
      <c r="K329" s="513">
        <f t="shared" si="15"/>
        <v>32</v>
      </c>
    </row>
    <row r="330" spans="1:11" x14ac:dyDescent="0.25">
      <c r="A330" s="501" t="s">
        <v>1743</v>
      </c>
      <c r="B330" s="501" t="s">
        <v>121</v>
      </c>
      <c r="C330" s="502" t="s">
        <v>1852</v>
      </c>
      <c r="D330" s="502" t="s">
        <v>1529</v>
      </c>
      <c r="E330" s="502" t="s">
        <v>1530</v>
      </c>
      <c r="F330" s="511" t="s">
        <v>117</v>
      </c>
      <c r="G330" s="556">
        <v>800</v>
      </c>
      <c r="H330" s="502">
        <v>5</v>
      </c>
      <c r="I330" s="502">
        <f>ROUND(SUMIFS('Capacity Summary'!$J:$J,'Capacity Summary'!$B:$B,E330,'Capacity Summary'!$C:$C,F330,'Capacity Summary'!$D:$D,G330),0)</f>
        <v>80</v>
      </c>
      <c r="J330" s="502">
        <f t="shared" si="14"/>
        <v>400</v>
      </c>
      <c r="K330" s="513">
        <f t="shared" si="15"/>
        <v>6.666666666666667</v>
      </c>
    </row>
    <row r="331" spans="1:11" x14ac:dyDescent="0.25">
      <c r="A331" s="501" t="s">
        <v>1743</v>
      </c>
      <c r="B331" s="501" t="s">
        <v>121</v>
      </c>
      <c r="C331" s="502" t="s">
        <v>1853</v>
      </c>
      <c r="D331" s="502" t="s">
        <v>1529</v>
      </c>
      <c r="E331" s="502" t="s">
        <v>1530</v>
      </c>
      <c r="F331" s="511" t="s">
        <v>86</v>
      </c>
      <c r="G331" s="556">
        <v>150</v>
      </c>
      <c r="H331" s="502">
        <v>9</v>
      </c>
      <c r="I331" s="502">
        <f>ROUND(SUMIFS('Capacity Summary'!$J:$J,'Capacity Summary'!$B:$B,E331,'Capacity Summary'!$C:$C,F331,'Capacity Summary'!$D:$D,G331),0)</f>
        <v>115</v>
      </c>
      <c r="J331" s="502">
        <f t="shared" si="14"/>
        <v>1035</v>
      </c>
      <c r="K331" s="513">
        <f t="shared" si="15"/>
        <v>17.25</v>
      </c>
    </row>
    <row r="332" spans="1:11" x14ac:dyDescent="0.25">
      <c r="A332" s="501" t="s">
        <v>1743</v>
      </c>
      <c r="B332" s="501" t="s">
        <v>121</v>
      </c>
      <c r="C332" s="502" t="s">
        <v>1598</v>
      </c>
      <c r="D332" s="502" t="s">
        <v>1538</v>
      </c>
      <c r="E332" s="502" t="s">
        <v>1539</v>
      </c>
      <c r="F332" s="511" t="s">
        <v>86</v>
      </c>
      <c r="G332" s="556">
        <v>150</v>
      </c>
      <c r="H332" s="502">
        <v>2</v>
      </c>
      <c r="I332" s="502">
        <f>ROUND(SUMIFS('Capacity Summary'!$J:$J,'Capacity Summary'!$B:$B,E332,'Capacity Summary'!$C:$C,F332,'Capacity Summary'!$D:$D,G332),0)</f>
        <v>105</v>
      </c>
      <c r="J332" s="502">
        <f t="shared" si="14"/>
        <v>210</v>
      </c>
      <c r="K332" s="513">
        <f t="shared" si="15"/>
        <v>3.5</v>
      </c>
    </row>
    <row r="333" spans="1:11" x14ac:dyDescent="0.25">
      <c r="A333" s="501" t="s">
        <v>1743</v>
      </c>
      <c r="B333" s="501" t="s">
        <v>121</v>
      </c>
      <c r="C333" s="502" t="s">
        <v>1599</v>
      </c>
      <c r="D333" s="502" t="s">
        <v>1534</v>
      </c>
      <c r="E333" s="502" t="s">
        <v>1535</v>
      </c>
      <c r="F333" s="511" t="s">
        <v>86</v>
      </c>
      <c r="G333" s="556">
        <v>150</v>
      </c>
      <c r="H333" s="502">
        <v>4</v>
      </c>
      <c r="I333" s="502">
        <f>ROUND(SUMIFS('Capacity Summary'!$J:$J,'Capacity Summary'!$B:$B,E333,'Capacity Summary'!$C:$C,F333,'Capacity Summary'!$D:$D,G333),0)</f>
        <v>140</v>
      </c>
      <c r="J333" s="502">
        <f t="shared" si="14"/>
        <v>560</v>
      </c>
      <c r="K333" s="513">
        <f t="shared" si="15"/>
        <v>9.3333333333333339</v>
      </c>
    </row>
    <row r="334" spans="1:11" x14ac:dyDescent="0.25">
      <c r="A334" s="501" t="s">
        <v>1755</v>
      </c>
      <c r="B334" s="501" t="s">
        <v>1754</v>
      </c>
      <c r="C334" s="502" t="s">
        <v>1854</v>
      </c>
      <c r="D334" s="502" t="s">
        <v>1541</v>
      </c>
      <c r="E334" s="502" t="s">
        <v>1542</v>
      </c>
      <c r="F334" s="511" t="s">
        <v>82</v>
      </c>
      <c r="G334" s="556">
        <v>150</v>
      </c>
      <c r="H334" s="502">
        <v>5</v>
      </c>
      <c r="I334" s="502">
        <f>ROUND(SUMIFS('Capacity Summary'!$J:$J,'Capacity Summary'!$B:$B,E334,'Capacity Summary'!$C:$C,F334,'Capacity Summary'!$D:$D,G334),0)</f>
        <v>144</v>
      </c>
      <c r="J334" s="502">
        <f t="shared" si="14"/>
        <v>720</v>
      </c>
      <c r="K334" s="513">
        <f t="shared" si="15"/>
        <v>12</v>
      </c>
    </row>
    <row r="335" spans="1:11" x14ac:dyDescent="0.25">
      <c r="A335" s="501" t="s">
        <v>1746</v>
      </c>
      <c r="B335" s="501" t="s">
        <v>1748</v>
      </c>
      <c r="C335" s="502" t="s">
        <v>1855</v>
      </c>
      <c r="D335" s="502" t="s">
        <v>1529</v>
      </c>
      <c r="E335" s="502" t="s">
        <v>1530</v>
      </c>
      <c r="F335" s="511" t="s">
        <v>89</v>
      </c>
      <c r="G335" s="556">
        <v>800</v>
      </c>
      <c r="H335" s="502">
        <v>14</v>
      </c>
      <c r="I335" s="502">
        <f>ROUND(SUMIFS('Capacity Summary'!$J:$J,'Capacity Summary'!$B:$B,E335,'Capacity Summary'!$C:$C,F335,'Capacity Summary'!$D:$D,G335),0)</f>
        <v>80</v>
      </c>
      <c r="J335" s="502">
        <f t="shared" si="14"/>
        <v>1120</v>
      </c>
      <c r="K335" s="513">
        <f t="shared" si="15"/>
        <v>18.666666666666668</v>
      </c>
    </row>
    <row r="336" spans="1:11" x14ac:dyDescent="0.25">
      <c r="A336" s="501" t="s">
        <v>1746</v>
      </c>
      <c r="B336" s="501" t="s">
        <v>1748</v>
      </c>
      <c r="C336" s="502" t="s">
        <v>1608</v>
      </c>
      <c r="D336" s="502" t="s">
        <v>1538</v>
      </c>
      <c r="E336" s="502" t="s">
        <v>1539</v>
      </c>
      <c r="F336" s="511" t="s">
        <v>1403</v>
      </c>
      <c r="G336" s="556">
        <v>800</v>
      </c>
      <c r="H336" s="502">
        <v>2</v>
      </c>
      <c r="I336" s="502">
        <f>ROUND(SUMIFS('Capacity Summary'!$J:$J,'Capacity Summary'!$B:$B,E336,'Capacity Summary'!$C:$C,F336,'Capacity Summary'!$D:$D,G336),0)</f>
        <v>75</v>
      </c>
      <c r="J336" s="502">
        <f t="shared" si="14"/>
        <v>150</v>
      </c>
      <c r="K336" s="513">
        <f t="shared" si="15"/>
        <v>2.5</v>
      </c>
    </row>
    <row r="337" spans="1:11" x14ac:dyDescent="0.25">
      <c r="A337" s="501" t="s">
        <v>1746</v>
      </c>
      <c r="B337" s="501" t="s">
        <v>1748</v>
      </c>
      <c r="C337" s="502" t="s">
        <v>1856</v>
      </c>
      <c r="D337" s="502" t="s">
        <v>1547</v>
      </c>
      <c r="E337" s="502" t="s">
        <v>1549</v>
      </c>
      <c r="F337" s="511" t="s">
        <v>1403</v>
      </c>
      <c r="G337" s="556">
        <v>800</v>
      </c>
      <c r="H337" s="502">
        <v>2</v>
      </c>
      <c r="I337" s="502">
        <f>ROUND(SUMIFS('Capacity Summary'!$J:$J,'Capacity Summary'!$B:$B,E337,'Capacity Summary'!$C:$C,F337,'Capacity Summary'!$D:$D,G337),0)</f>
        <v>67</v>
      </c>
      <c r="J337" s="502">
        <f t="shared" si="14"/>
        <v>134</v>
      </c>
      <c r="K337" s="513">
        <f t="shared" si="15"/>
        <v>2.2333333333333334</v>
      </c>
    </row>
    <row r="338" spans="1:11" x14ac:dyDescent="0.25">
      <c r="A338" s="501" t="s">
        <v>1764</v>
      </c>
      <c r="B338" s="501" t="s">
        <v>1763</v>
      </c>
      <c r="C338" s="502" t="s">
        <v>1857</v>
      </c>
      <c r="D338" s="502" t="s">
        <v>1529</v>
      </c>
      <c r="E338" s="502" t="s">
        <v>1530</v>
      </c>
      <c r="F338" s="511" t="s">
        <v>117</v>
      </c>
      <c r="G338" s="556">
        <v>800</v>
      </c>
      <c r="H338" s="502">
        <v>5</v>
      </c>
      <c r="I338" s="502">
        <f>ROUND(SUMIFS('Capacity Summary'!$J:$J,'Capacity Summary'!$B:$B,E338,'Capacity Summary'!$C:$C,F338,'Capacity Summary'!$D:$D,G338),0)</f>
        <v>80</v>
      </c>
      <c r="J338" s="502">
        <f t="shared" si="14"/>
        <v>400</v>
      </c>
      <c r="K338" s="513">
        <f t="shared" si="15"/>
        <v>6.666666666666667</v>
      </c>
    </row>
    <row r="339" spans="1:11" x14ac:dyDescent="0.25">
      <c r="A339" s="501" t="s">
        <v>1767</v>
      </c>
      <c r="B339" s="501" t="s">
        <v>188</v>
      </c>
      <c r="C339" s="502" t="s">
        <v>1858</v>
      </c>
      <c r="D339" s="502" t="s">
        <v>1529</v>
      </c>
      <c r="E339" s="502" t="s">
        <v>1530</v>
      </c>
      <c r="F339" s="511" t="s">
        <v>118</v>
      </c>
      <c r="G339" s="556">
        <v>600</v>
      </c>
      <c r="H339" s="502">
        <v>1</v>
      </c>
      <c r="I339" s="502">
        <f>ROUND(SUMIFS('Capacity Summary'!$J:$J,'Capacity Summary'!$B:$B,E339,'Capacity Summary'!$C:$C,F339,'Capacity Summary'!$D:$D,G339),0)</f>
        <v>660</v>
      </c>
      <c r="J339" s="502">
        <f t="shared" si="14"/>
        <v>660</v>
      </c>
      <c r="K339" s="513">
        <f t="shared" si="15"/>
        <v>11</v>
      </c>
    </row>
    <row r="340" spans="1:11" x14ac:dyDescent="0.25">
      <c r="A340" s="501" t="s">
        <v>1775</v>
      </c>
      <c r="B340" s="501" t="s">
        <v>1777</v>
      </c>
      <c r="C340" s="502" t="s">
        <v>1859</v>
      </c>
      <c r="D340" s="502" t="s">
        <v>1541</v>
      </c>
      <c r="E340" s="502" t="s">
        <v>1542</v>
      </c>
      <c r="F340" s="511" t="s">
        <v>120</v>
      </c>
      <c r="G340" s="556">
        <v>150</v>
      </c>
      <c r="H340" s="502">
        <v>4</v>
      </c>
      <c r="I340" s="502">
        <f>ROUND(SUMIFS('Capacity Summary'!$J:$J,'Capacity Summary'!$B:$B,E340,'Capacity Summary'!$C:$C,F340,'Capacity Summary'!$D:$D,G340),0)</f>
        <v>170</v>
      </c>
      <c r="J340" s="502">
        <f t="shared" si="14"/>
        <v>680</v>
      </c>
      <c r="K340" s="513">
        <f t="shared" si="15"/>
        <v>11.333333333333334</v>
      </c>
    </row>
    <row r="341" spans="1:11" x14ac:dyDescent="0.25">
      <c r="A341" s="501" t="s">
        <v>1775</v>
      </c>
      <c r="B341" s="501" t="s">
        <v>1777</v>
      </c>
      <c r="C341" s="502" t="s">
        <v>1860</v>
      </c>
      <c r="D341" s="502" t="s">
        <v>1541</v>
      </c>
      <c r="E341" s="502" t="s">
        <v>1542</v>
      </c>
      <c r="F341" s="511" t="s">
        <v>119</v>
      </c>
      <c r="G341" s="556">
        <v>150</v>
      </c>
      <c r="H341" s="502">
        <v>3</v>
      </c>
      <c r="I341" s="502">
        <f>ROUND(SUMIFS('Capacity Summary'!$J:$J,'Capacity Summary'!$B:$B,E341,'Capacity Summary'!$C:$C,F341,'Capacity Summary'!$D:$D,G341),0)</f>
        <v>263</v>
      </c>
      <c r="J341" s="502">
        <f t="shared" si="14"/>
        <v>789</v>
      </c>
      <c r="K341" s="513">
        <f t="shared" si="15"/>
        <v>13.15</v>
      </c>
    </row>
    <row r="342" spans="1:11" x14ac:dyDescent="0.25">
      <c r="A342" s="501" t="s">
        <v>1775</v>
      </c>
      <c r="B342" s="501" t="s">
        <v>1777</v>
      </c>
      <c r="C342" s="502" t="s">
        <v>1861</v>
      </c>
      <c r="D342" s="502" t="s">
        <v>1541</v>
      </c>
      <c r="E342" s="502" t="s">
        <v>1542</v>
      </c>
      <c r="F342" s="511" t="s">
        <v>195</v>
      </c>
      <c r="G342" s="556">
        <v>150</v>
      </c>
      <c r="H342" s="502">
        <v>3</v>
      </c>
      <c r="I342" s="502">
        <f>ROUND(SUMIFS('Capacity Summary'!$J:$J,'Capacity Summary'!$B:$B,E342,'Capacity Summary'!$C:$C,F342,'Capacity Summary'!$D:$D,G342),0)</f>
        <v>535</v>
      </c>
      <c r="J342" s="502">
        <f t="shared" si="14"/>
        <v>1605</v>
      </c>
      <c r="K342" s="513">
        <f t="shared" si="15"/>
        <v>26.75</v>
      </c>
    </row>
    <row r="343" spans="1:11" x14ac:dyDescent="0.25">
      <c r="A343" s="501" t="s">
        <v>1775</v>
      </c>
      <c r="B343" s="501" t="s">
        <v>1777</v>
      </c>
      <c r="C343" s="502" t="s">
        <v>1862</v>
      </c>
      <c r="D343" s="502" t="s">
        <v>1538</v>
      </c>
      <c r="E343" s="502" t="s">
        <v>1539</v>
      </c>
      <c r="F343" s="511" t="s">
        <v>119</v>
      </c>
      <c r="G343" s="556">
        <v>150</v>
      </c>
      <c r="H343" s="502">
        <v>3</v>
      </c>
      <c r="I343" s="502">
        <f>ROUND(SUMIFS('Capacity Summary'!$J:$J,'Capacity Summary'!$B:$B,E343,'Capacity Summary'!$C:$C,F343,'Capacity Summary'!$D:$D,G343),0)</f>
        <v>280</v>
      </c>
      <c r="J343" s="502">
        <f t="shared" si="14"/>
        <v>840</v>
      </c>
      <c r="K343" s="513">
        <f t="shared" si="15"/>
        <v>14</v>
      </c>
    </row>
    <row r="344" spans="1:11" x14ac:dyDescent="0.25">
      <c r="A344" s="501" t="s">
        <v>1775</v>
      </c>
      <c r="B344" s="501" t="s">
        <v>1777</v>
      </c>
      <c r="C344" s="502" t="s">
        <v>1863</v>
      </c>
      <c r="D344" s="502" t="s">
        <v>1541</v>
      </c>
      <c r="E344" s="502" t="s">
        <v>1542</v>
      </c>
      <c r="F344" s="511" t="s">
        <v>86</v>
      </c>
      <c r="G344" s="556">
        <v>150</v>
      </c>
      <c r="H344" s="502">
        <v>3</v>
      </c>
      <c r="I344" s="502">
        <f>ROUND(SUMIFS('Capacity Summary'!$J:$J,'Capacity Summary'!$B:$B,E344,'Capacity Summary'!$C:$C,F344,'Capacity Summary'!$D:$D,G344),0)</f>
        <v>91</v>
      </c>
      <c r="J344" s="502">
        <f t="shared" si="14"/>
        <v>273</v>
      </c>
      <c r="K344" s="513">
        <f t="shared" si="15"/>
        <v>4.55</v>
      </c>
    </row>
    <row r="345" spans="1:11" x14ac:dyDescent="0.25">
      <c r="A345" s="501" t="s">
        <v>1775</v>
      </c>
      <c r="B345" s="501" t="s">
        <v>1777</v>
      </c>
      <c r="C345" s="502" t="s">
        <v>1864</v>
      </c>
      <c r="D345" s="502" t="s">
        <v>1529</v>
      </c>
      <c r="E345" s="502" t="s">
        <v>1530</v>
      </c>
      <c r="F345" s="511" t="s">
        <v>88</v>
      </c>
      <c r="G345" s="556">
        <v>300</v>
      </c>
      <c r="H345" s="502">
        <v>3</v>
      </c>
      <c r="I345" s="502">
        <f>ROUND(SUMIFS('Capacity Summary'!$J:$J,'Capacity Summary'!$B:$B,E345,'Capacity Summary'!$C:$C,F345,'Capacity Summary'!$D:$D,G345),0)</f>
        <v>85</v>
      </c>
      <c r="J345" s="502">
        <f t="shared" si="14"/>
        <v>255</v>
      </c>
      <c r="K345" s="513">
        <f t="shared" si="15"/>
        <v>4.25</v>
      </c>
    </row>
    <row r="346" spans="1:11" x14ac:dyDescent="0.25">
      <c r="A346" s="501" t="s">
        <v>1779</v>
      </c>
      <c r="B346" s="501" t="s">
        <v>1782</v>
      </c>
      <c r="C346" s="502" t="s">
        <v>1865</v>
      </c>
      <c r="D346" s="502" t="s">
        <v>1547</v>
      </c>
      <c r="E346" s="502" t="s">
        <v>1548</v>
      </c>
      <c r="F346" s="511" t="s">
        <v>119</v>
      </c>
      <c r="G346" s="556">
        <v>150</v>
      </c>
      <c r="H346" s="502">
        <v>3</v>
      </c>
      <c r="I346" s="502">
        <f>ROUND(SUMIFS('Capacity Summary'!$J:$J,'Capacity Summary'!$B:$B,E346,'Capacity Summary'!$C:$C,F346,'Capacity Summary'!$D:$D,G346),0)</f>
        <v>265</v>
      </c>
      <c r="J346" s="502">
        <f t="shared" si="14"/>
        <v>795</v>
      </c>
      <c r="K346" s="513">
        <f t="shared" si="15"/>
        <v>13.25</v>
      </c>
    </row>
    <row r="347" spans="1:11" x14ac:dyDescent="0.25">
      <c r="A347" s="501" t="s">
        <v>1779</v>
      </c>
      <c r="B347" s="501" t="s">
        <v>1782</v>
      </c>
      <c r="C347" s="502" t="s">
        <v>1866</v>
      </c>
      <c r="D347" s="502" t="s">
        <v>1547</v>
      </c>
      <c r="E347" s="502" t="s">
        <v>1548</v>
      </c>
      <c r="F347" s="511" t="s">
        <v>82</v>
      </c>
      <c r="G347" s="556">
        <v>600</v>
      </c>
      <c r="H347" s="502">
        <v>4</v>
      </c>
      <c r="I347" s="502">
        <f>ROUND(SUMIFS('Capacity Summary'!$J:$J,'Capacity Summary'!$B:$B,E347,'Capacity Summary'!$C:$C,F347,'Capacity Summary'!$D:$D,G347),0)</f>
        <v>235</v>
      </c>
      <c r="J347" s="502">
        <f t="shared" si="14"/>
        <v>940</v>
      </c>
      <c r="K347" s="513">
        <f t="shared" si="15"/>
        <v>15.666666666666666</v>
      </c>
    </row>
    <row r="348" spans="1:11" x14ac:dyDescent="0.25">
      <c r="A348" s="501" t="s">
        <v>1779</v>
      </c>
      <c r="B348" s="501" t="s">
        <v>1782</v>
      </c>
      <c r="C348" s="502" t="s">
        <v>1867</v>
      </c>
      <c r="D348" s="502" t="s">
        <v>1547</v>
      </c>
      <c r="E348" s="502" t="s">
        <v>1548</v>
      </c>
      <c r="F348" s="511" t="s">
        <v>84</v>
      </c>
      <c r="G348" s="556">
        <v>600</v>
      </c>
      <c r="H348" s="502">
        <v>3</v>
      </c>
      <c r="I348" s="502">
        <f>ROUND(SUMIFS('Capacity Summary'!$J:$J,'Capacity Summary'!$B:$B,E348,'Capacity Summary'!$C:$C,F348,'Capacity Summary'!$D:$D,G348),0)</f>
        <v>207</v>
      </c>
      <c r="J348" s="502">
        <f t="shared" si="14"/>
        <v>621</v>
      </c>
      <c r="K348" s="513">
        <f t="shared" si="15"/>
        <v>10.35</v>
      </c>
    </row>
    <row r="349" spans="1:11" x14ac:dyDescent="0.25">
      <c r="A349" s="501" t="s">
        <v>1785</v>
      </c>
      <c r="B349" s="501" t="s">
        <v>121</v>
      </c>
      <c r="C349" s="502" t="s">
        <v>1868</v>
      </c>
      <c r="D349" s="502" t="s">
        <v>1529</v>
      </c>
      <c r="E349" s="502" t="s">
        <v>1530</v>
      </c>
      <c r="F349" s="511" t="s">
        <v>1404</v>
      </c>
      <c r="G349" s="556">
        <v>800</v>
      </c>
      <c r="H349" s="502">
        <v>1</v>
      </c>
      <c r="I349" s="502">
        <f>ROUND(SUMIFS('Capacity Summary'!$J:$J,'Capacity Summary'!$B:$B,E349,'Capacity Summary'!$C:$C,F349,'Capacity Summary'!$D:$D,G349),0)</f>
        <v>85</v>
      </c>
      <c r="J349" s="502">
        <f t="shared" si="14"/>
        <v>85</v>
      </c>
      <c r="K349" s="513">
        <f t="shared" si="15"/>
        <v>1.4166666666666667</v>
      </c>
    </row>
    <row r="350" spans="1:11" x14ac:dyDescent="0.25">
      <c r="A350" s="501" t="s">
        <v>1785</v>
      </c>
      <c r="B350" s="501" t="s">
        <v>121</v>
      </c>
      <c r="C350" s="502" t="s">
        <v>1638</v>
      </c>
      <c r="D350" s="502" t="s">
        <v>1534</v>
      </c>
      <c r="E350" s="502" t="s">
        <v>1535</v>
      </c>
      <c r="F350" s="511" t="s">
        <v>85</v>
      </c>
      <c r="G350" s="556">
        <v>150</v>
      </c>
      <c r="H350" s="502">
        <v>1</v>
      </c>
      <c r="I350" s="502">
        <f>ROUND(SUMIFS('Capacity Summary'!$J:$J,'Capacity Summary'!$B:$B,E350,'Capacity Summary'!$C:$C,F350,'Capacity Summary'!$D:$D,G350),0)</f>
        <v>180</v>
      </c>
      <c r="J350" s="502">
        <f t="shared" si="14"/>
        <v>180</v>
      </c>
      <c r="K350" s="513">
        <f t="shared" si="15"/>
        <v>3</v>
      </c>
    </row>
    <row r="351" spans="1:11" x14ac:dyDescent="0.25">
      <c r="A351" s="501" t="s">
        <v>1785</v>
      </c>
      <c r="B351" s="501" t="s">
        <v>121</v>
      </c>
      <c r="C351" s="502" t="s">
        <v>1869</v>
      </c>
      <c r="D351" s="502" t="s">
        <v>1538</v>
      </c>
      <c r="E351" s="502" t="s">
        <v>1539</v>
      </c>
      <c r="F351" s="511" t="s">
        <v>85</v>
      </c>
      <c r="G351" s="556">
        <v>150</v>
      </c>
      <c r="H351" s="502">
        <v>1</v>
      </c>
      <c r="I351" s="502">
        <f>ROUND(SUMIFS('Capacity Summary'!$J:$J,'Capacity Summary'!$B:$B,E351,'Capacity Summary'!$C:$C,F351,'Capacity Summary'!$D:$D,G351),0)</f>
        <v>115</v>
      </c>
      <c r="J351" s="502">
        <f t="shared" si="14"/>
        <v>115</v>
      </c>
      <c r="K351" s="513">
        <f t="shared" si="15"/>
        <v>1.9166666666666667</v>
      </c>
    </row>
    <row r="352" spans="1:11" x14ac:dyDescent="0.25">
      <c r="A352" s="501" t="s">
        <v>1785</v>
      </c>
      <c r="B352" s="501" t="s">
        <v>121</v>
      </c>
      <c r="C352" s="502" t="s">
        <v>1870</v>
      </c>
      <c r="D352" s="502" t="s">
        <v>1529</v>
      </c>
      <c r="E352" s="502" t="s">
        <v>1530</v>
      </c>
      <c r="F352" s="511" t="s">
        <v>117</v>
      </c>
      <c r="G352" s="556">
        <v>150</v>
      </c>
      <c r="H352" s="502">
        <v>5</v>
      </c>
      <c r="I352" s="502">
        <f>ROUND(SUMIFS('Capacity Summary'!$J:$J,'Capacity Summary'!$B:$B,E352,'Capacity Summary'!$C:$C,F352,'Capacity Summary'!$D:$D,G352),0)</f>
        <v>80</v>
      </c>
      <c r="J352" s="502">
        <f t="shared" si="14"/>
        <v>400</v>
      </c>
      <c r="K352" s="513">
        <f t="shared" si="15"/>
        <v>6.666666666666667</v>
      </c>
    </row>
    <row r="353" spans="1:11" x14ac:dyDescent="0.25">
      <c r="A353" s="501" t="s">
        <v>1785</v>
      </c>
      <c r="B353" s="501" t="s">
        <v>121</v>
      </c>
      <c r="C353" s="502" t="s">
        <v>1871</v>
      </c>
      <c r="D353" s="502" t="s">
        <v>1529</v>
      </c>
      <c r="E353" s="502" t="s">
        <v>1530</v>
      </c>
      <c r="F353" s="511" t="s">
        <v>1404</v>
      </c>
      <c r="G353" s="556">
        <v>800</v>
      </c>
      <c r="H353" s="502">
        <v>2</v>
      </c>
      <c r="I353" s="502">
        <f>ROUND(SUMIFS('Capacity Summary'!$J:$J,'Capacity Summary'!$B:$B,E353,'Capacity Summary'!$C:$C,F353,'Capacity Summary'!$D:$D,G353),0)</f>
        <v>85</v>
      </c>
      <c r="J353" s="502">
        <f t="shared" si="14"/>
        <v>170</v>
      </c>
      <c r="K353" s="513">
        <f t="shared" si="15"/>
        <v>2.8333333333333335</v>
      </c>
    </row>
    <row r="354" spans="1:11" x14ac:dyDescent="0.25">
      <c r="A354" s="501" t="s">
        <v>1785</v>
      </c>
      <c r="B354" s="501" t="s">
        <v>121</v>
      </c>
      <c r="C354" s="502" t="s">
        <v>1872</v>
      </c>
      <c r="D354" s="502" t="s">
        <v>1538</v>
      </c>
      <c r="E354" s="502" t="s">
        <v>1539</v>
      </c>
      <c r="F354" s="511" t="s">
        <v>85</v>
      </c>
      <c r="G354" s="556">
        <v>150</v>
      </c>
      <c r="H354" s="502">
        <v>2</v>
      </c>
      <c r="I354" s="502">
        <f>ROUND(SUMIFS('Capacity Summary'!$J:$J,'Capacity Summary'!$B:$B,E354,'Capacity Summary'!$C:$C,F354,'Capacity Summary'!$D:$D,G354),0)</f>
        <v>115</v>
      </c>
      <c r="J354" s="502">
        <f t="shared" si="14"/>
        <v>230</v>
      </c>
      <c r="K354" s="513">
        <f t="shared" si="15"/>
        <v>3.8333333333333335</v>
      </c>
    </row>
    <row r="355" spans="1:11" x14ac:dyDescent="0.25">
      <c r="A355" s="501" t="s">
        <v>1785</v>
      </c>
      <c r="B355" s="501" t="s">
        <v>121</v>
      </c>
      <c r="C355" s="502" t="s">
        <v>1600</v>
      </c>
      <c r="D355" s="502" t="s">
        <v>1534</v>
      </c>
      <c r="E355" s="502" t="s">
        <v>1535</v>
      </c>
      <c r="F355" s="511" t="s">
        <v>85</v>
      </c>
      <c r="G355" s="556">
        <v>150</v>
      </c>
      <c r="H355" s="502">
        <v>2</v>
      </c>
      <c r="I355" s="502">
        <f>ROUND(SUMIFS('Capacity Summary'!$J:$J,'Capacity Summary'!$B:$B,E355,'Capacity Summary'!$C:$C,F355,'Capacity Summary'!$D:$D,G355),0)</f>
        <v>180</v>
      </c>
      <c r="J355" s="502">
        <f t="shared" si="14"/>
        <v>360</v>
      </c>
      <c r="K355" s="513">
        <f t="shared" si="15"/>
        <v>6</v>
      </c>
    </row>
    <row r="356" spans="1:11" x14ac:dyDescent="0.25">
      <c r="A356" s="501" t="s">
        <v>1785</v>
      </c>
      <c r="B356" s="501" t="s">
        <v>121</v>
      </c>
      <c r="C356" s="502" t="s">
        <v>1873</v>
      </c>
      <c r="D356" s="502" t="s">
        <v>1534</v>
      </c>
      <c r="E356" s="502" t="s">
        <v>1535</v>
      </c>
      <c r="F356" s="511" t="s">
        <v>84</v>
      </c>
      <c r="G356" s="556">
        <v>150</v>
      </c>
      <c r="H356" s="502">
        <v>1</v>
      </c>
      <c r="I356" s="502">
        <f>ROUND(SUMIFS('Capacity Summary'!$J:$J,'Capacity Summary'!$B:$B,E356,'Capacity Summary'!$C:$C,F356,'Capacity Summary'!$D:$D,G356),0)</f>
        <v>235</v>
      </c>
      <c r="J356" s="502">
        <f t="shared" si="14"/>
        <v>235</v>
      </c>
      <c r="K356" s="513">
        <f t="shared" si="15"/>
        <v>3.9166666666666665</v>
      </c>
    </row>
    <row r="357" spans="1:11" x14ac:dyDescent="0.25">
      <c r="A357" s="501" t="s">
        <v>1785</v>
      </c>
      <c r="B357" s="501" t="s">
        <v>121</v>
      </c>
      <c r="C357" s="502" t="s">
        <v>1874</v>
      </c>
      <c r="D357" s="502" t="s">
        <v>1529</v>
      </c>
      <c r="E357" s="502" t="s">
        <v>1530</v>
      </c>
      <c r="F357" s="511" t="s">
        <v>117</v>
      </c>
      <c r="G357" s="556">
        <v>150</v>
      </c>
      <c r="H357" s="502">
        <v>3</v>
      </c>
      <c r="I357" s="502">
        <f>ROUND(SUMIFS('Capacity Summary'!$J:$J,'Capacity Summary'!$B:$B,E357,'Capacity Summary'!$C:$C,F357,'Capacity Summary'!$D:$D,G357),0)</f>
        <v>80</v>
      </c>
      <c r="J357" s="502">
        <f t="shared" si="14"/>
        <v>240</v>
      </c>
      <c r="K357" s="513">
        <f t="shared" si="15"/>
        <v>4</v>
      </c>
    </row>
    <row r="358" spans="1:11" x14ac:dyDescent="0.25">
      <c r="A358" s="501" t="s">
        <v>1791</v>
      </c>
      <c r="B358" s="501" t="s">
        <v>872</v>
      </c>
      <c r="C358" s="502" t="s">
        <v>1875</v>
      </c>
      <c r="D358" s="502" t="s">
        <v>1534</v>
      </c>
      <c r="E358" s="502" t="s">
        <v>1535</v>
      </c>
      <c r="F358" s="511" t="s">
        <v>86</v>
      </c>
      <c r="G358" s="556">
        <v>150</v>
      </c>
      <c r="H358" s="502">
        <v>1</v>
      </c>
      <c r="I358" s="502">
        <f>ROUND(SUMIFS('Capacity Summary'!$J:$J,'Capacity Summary'!$B:$B,E358,'Capacity Summary'!$C:$C,F358,'Capacity Summary'!$D:$D,G358),0)</f>
        <v>140</v>
      </c>
      <c r="J358" s="502">
        <f t="shared" si="14"/>
        <v>140</v>
      </c>
      <c r="K358" s="513">
        <f t="shared" si="15"/>
        <v>2.3333333333333335</v>
      </c>
    </row>
    <row r="359" spans="1:11" x14ac:dyDescent="0.25">
      <c r="A359" s="501" t="s">
        <v>1791</v>
      </c>
      <c r="B359" s="501" t="s">
        <v>872</v>
      </c>
      <c r="C359" s="502" t="s">
        <v>1876</v>
      </c>
      <c r="D359" s="502" t="s">
        <v>1538</v>
      </c>
      <c r="E359" s="502" t="s">
        <v>1539</v>
      </c>
      <c r="F359" s="511" t="s">
        <v>1403</v>
      </c>
      <c r="G359" s="556">
        <v>150</v>
      </c>
      <c r="H359" s="502">
        <v>1</v>
      </c>
      <c r="I359" s="502">
        <f>ROUND(SUMIFS('Capacity Summary'!$J:$J,'Capacity Summary'!$B:$B,E359,'Capacity Summary'!$C:$C,F359,'Capacity Summary'!$D:$D,G359),0)</f>
        <v>75</v>
      </c>
      <c r="J359" s="502">
        <f t="shared" si="14"/>
        <v>75</v>
      </c>
      <c r="K359" s="513">
        <f t="shared" si="15"/>
        <v>1.25</v>
      </c>
    </row>
    <row r="360" spans="1:11" x14ac:dyDescent="0.25">
      <c r="A360" s="501" t="s">
        <v>1791</v>
      </c>
      <c r="B360" s="501" t="s">
        <v>872</v>
      </c>
      <c r="C360" s="502" t="s">
        <v>1877</v>
      </c>
      <c r="D360" s="502" t="s">
        <v>1538</v>
      </c>
      <c r="E360" s="502" t="s">
        <v>1539</v>
      </c>
      <c r="F360" s="511" t="s">
        <v>86</v>
      </c>
      <c r="G360" s="556">
        <v>150</v>
      </c>
      <c r="H360" s="502">
        <v>2</v>
      </c>
      <c r="I360" s="502">
        <f>ROUND(SUMIFS('Capacity Summary'!$J:$J,'Capacity Summary'!$B:$B,E360,'Capacity Summary'!$C:$C,F360,'Capacity Summary'!$D:$D,G360),0)</f>
        <v>105</v>
      </c>
      <c r="J360" s="502">
        <f t="shared" si="14"/>
        <v>210</v>
      </c>
      <c r="K360" s="513">
        <f t="shared" si="15"/>
        <v>3.5</v>
      </c>
    </row>
    <row r="361" spans="1:11" x14ac:dyDescent="0.25">
      <c r="A361" s="501" t="s">
        <v>1791</v>
      </c>
      <c r="B361" s="501" t="s">
        <v>872</v>
      </c>
      <c r="C361" s="502" t="s">
        <v>1878</v>
      </c>
      <c r="D361" s="502" t="s">
        <v>1538</v>
      </c>
      <c r="E361" s="502" t="s">
        <v>1539</v>
      </c>
      <c r="F361" s="511" t="s">
        <v>86</v>
      </c>
      <c r="G361" s="556">
        <v>150</v>
      </c>
      <c r="H361" s="502">
        <v>1</v>
      </c>
      <c r="I361" s="502">
        <f>ROUND(SUMIFS('Capacity Summary'!$J:$J,'Capacity Summary'!$B:$B,E361,'Capacity Summary'!$C:$C,F361,'Capacity Summary'!$D:$D,G361),0)</f>
        <v>105</v>
      </c>
      <c r="J361" s="502">
        <f t="shared" si="14"/>
        <v>105</v>
      </c>
      <c r="K361" s="513">
        <f t="shared" si="15"/>
        <v>1.75</v>
      </c>
    </row>
    <row r="362" spans="1:11" x14ac:dyDescent="0.25">
      <c r="A362" s="501" t="s">
        <v>1791</v>
      </c>
      <c r="B362" s="501" t="s">
        <v>872</v>
      </c>
      <c r="C362" s="502" t="s">
        <v>1879</v>
      </c>
      <c r="D362" s="502" t="s">
        <v>1538</v>
      </c>
      <c r="E362" s="502" t="s">
        <v>1539</v>
      </c>
      <c r="F362" s="511" t="s">
        <v>1403</v>
      </c>
      <c r="G362" s="556">
        <v>150</v>
      </c>
      <c r="H362" s="502">
        <v>1</v>
      </c>
      <c r="I362" s="502">
        <f>ROUND(SUMIFS('Capacity Summary'!$J:$J,'Capacity Summary'!$B:$B,E362,'Capacity Summary'!$C:$C,F362,'Capacity Summary'!$D:$D,G362),0)</f>
        <v>75</v>
      </c>
      <c r="J362" s="502">
        <f t="shared" ref="J362:J389" si="16">H362*I362</f>
        <v>75</v>
      </c>
      <c r="K362" s="513">
        <f t="shared" ref="K362:K389" si="17">J362/60</f>
        <v>1.25</v>
      </c>
    </row>
    <row r="363" spans="1:11" x14ac:dyDescent="0.25">
      <c r="A363" s="501" t="s">
        <v>1791</v>
      </c>
      <c r="B363" s="501" t="s">
        <v>872</v>
      </c>
      <c r="C363" s="502" t="s">
        <v>1877</v>
      </c>
      <c r="D363" s="502" t="s">
        <v>1538</v>
      </c>
      <c r="E363" s="502" t="s">
        <v>1539</v>
      </c>
      <c r="F363" s="511" t="s">
        <v>86</v>
      </c>
      <c r="G363" s="556">
        <v>150</v>
      </c>
      <c r="H363" s="502">
        <v>1</v>
      </c>
      <c r="I363" s="502">
        <f>ROUND(SUMIFS('Capacity Summary'!$J:$J,'Capacity Summary'!$B:$B,E363,'Capacity Summary'!$C:$C,F363,'Capacity Summary'!$D:$D,G363),0)</f>
        <v>105</v>
      </c>
      <c r="J363" s="502">
        <f t="shared" si="16"/>
        <v>105</v>
      </c>
      <c r="K363" s="513">
        <f t="shared" si="17"/>
        <v>1.75</v>
      </c>
    </row>
    <row r="364" spans="1:11" x14ac:dyDescent="0.25">
      <c r="A364" s="501" t="s">
        <v>1791</v>
      </c>
      <c r="B364" s="501" t="s">
        <v>872</v>
      </c>
      <c r="C364" s="502" t="s">
        <v>1880</v>
      </c>
      <c r="D364" s="502" t="s">
        <v>1534</v>
      </c>
      <c r="E364" s="502" t="s">
        <v>1535</v>
      </c>
      <c r="F364" s="511" t="s">
        <v>1403</v>
      </c>
      <c r="G364" s="556">
        <v>800</v>
      </c>
      <c r="H364" s="502">
        <v>3</v>
      </c>
      <c r="I364" s="502">
        <f>ROUND(SUMIFS('Capacity Summary'!$J:$J,'Capacity Summary'!$B:$B,E364,'Capacity Summary'!$C:$C,F364,'Capacity Summary'!$D:$D,G364),0)</f>
        <v>75</v>
      </c>
      <c r="J364" s="502">
        <f t="shared" si="16"/>
        <v>225</v>
      </c>
      <c r="K364" s="513">
        <f t="shared" si="17"/>
        <v>3.75</v>
      </c>
    </row>
    <row r="365" spans="1:11" x14ac:dyDescent="0.25">
      <c r="A365" s="501" t="s">
        <v>1791</v>
      </c>
      <c r="B365" s="501" t="s">
        <v>872</v>
      </c>
      <c r="C365" s="502" t="s">
        <v>1610</v>
      </c>
      <c r="D365" s="502" t="s">
        <v>1534</v>
      </c>
      <c r="E365" s="502" t="s">
        <v>1535</v>
      </c>
      <c r="F365" s="511" t="s">
        <v>1403</v>
      </c>
      <c r="G365" s="556">
        <v>800</v>
      </c>
      <c r="H365" s="502">
        <v>1</v>
      </c>
      <c r="I365" s="502">
        <f>ROUND(SUMIFS('Capacity Summary'!$J:$J,'Capacity Summary'!$B:$B,E365,'Capacity Summary'!$C:$C,F365,'Capacity Summary'!$D:$D,G365),0)</f>
        <v>75</v>
      </c>
      <c r="J365" s="502">
        <f t="shared" si="16"/>
        <v>75</v>
      </c>
      <c r="K365" s="513">
        <f t="shared" si="17"/>
        <v>1.25</v>
      </c>
    </row>
    <row r="366" spans="1:11" x14ac:dyDescent="0.25">
      <c r="A366" s="501" t="s">
        <v>1791</v>
      </c>
      <c r="B366" s="501" t="s">
        <v>872</v>
      </c>
      <c r="C366" s="502" t="s">
        <v>1881</v>
      </c>
      <c r="D366" s="502" t="s">
        <v>1534</v>
      </c>
      <c r="E366" s="502" t="s">
        <v>1535</v>
      </c>
      <c r="F366" s="511" t="s">
        <v>86</v>
      </c>
      <c r="G366" s="556">
        <v>800</v>
      </c>
      <c r="H366" s="502">
        <v>2</v>
      </c>
      <c r="I366" s="502">
        <f>ROUND(SUMIFS('Capacity Summary'!$J:$J,'Capacity Summary'!$B:$B,E366,'Capacity Summary'!$C:$C,F366,'Capacity Summary'!$D:$D,G366),0)</f>
        <v>140</v>
      </c>
      <c r="J366" s="502">
        <f t="shared" si="16"/>
        <v>280</v>
      </c>
      <c r="K366" s="513">
        <f t="shared" si="17"/>
        <v>4.666666666666667</v>
      </c>
    </row>
    <row r="367" spans="1:11" x14ac:dyDescent="0.25">
      <c r="A367" s="501" t="s">
        <v>1791</v>
      </c>
      <c r="B367" s="501" t="s">
        <v>872</v>
      </c>
      <c r="C367" s="502" t="s">
        <v>1610</v>
      </c>
      <c r="D367" s="502" t="s">
        <v>1534</v>
      </c>
      <c r="E367" s="502" t="s">
        <v>1535</v>
      </c>
      <c r="F367" s="511" t="s">
        <v>1403</v>
      </c>
      <c r="G367" s="556">
        <v>800</v>
      </c>
      <c r="H367" s="502">
        <v>4</v>
      </c>
      <c r="I367" s="502">
        <f>ROUND(SUMIFS('Capacity Summary'!$J:$J,'Capacity Summary'!$B:$B,E367,'Capacity Summary'!$C:$C,F367,'Capacity Summary'!$D:$D,G367),0)</f>
        <v>75</v>
      </c>
      <c r="J367" s="502">
        <f t="shared" si="16"/>
        <v>300</v>
      </c>
      <c r="K367" s="513">
        <f t="shared" si="17"/>
        <v>5</v>
      </c>
    </row>
    <row r="368" spans="1:11" x14ac:dyDescent="0.25">
      <c r="A368" s="501" t="s">
        <v>1807</v>
      </c>
      <c r="B368" s="501" t="s">
        <v>1806</v>
      </c>
      <c r="C368" s="502" t="s">
        <v>1596</v>
      </c>
      <c r="D368" s="502" t="s">
        <v>1529</v>
      </c>
      <c r="E368" s="502" t="s">
        <v>1530</v>
      </c>
      <c r="F368" s="511" t="s">
        <v>119</v>
      </c>
      <c r="G368" s="556">
        <v>150</v>
      </c>
      <c r="H368" s="502">
        <v>9</v>
      </c>
      <c r="I368" s="502">
        <f>ROUND(SUMIFS('Capacity Summary'!$J:$J,'Capacity Summary'!$B:$B,E368,'Capacity Summary'!$C:$C,F368,'Capacity Summary'!$D:$D,G368),0)</f>
        <v>345</v>
      </c>
      <c r="J368" s="502">
        <f t="shared" si="16"/>
        <v>3105</v>
      </c>
      <c r="K368" s="513">
        <f t="shared" si="17"/>
        <v>51.75</v>
      </c>
    </row>
    <row r="369" spans="1:11" x14ac:dyDescent="0.25">
      <c r="A369" s="501" t="s">
        <v>1807</v>
      </c>
      <c r="B369" s="501" t="s">
        <v>1806</v>
      </c>
      <c r="C369" s="502" t="s">
        <v>1686</v>
      </c>
      <c r="D369" s="502" t="s">
        <v>1529</v>
      </c>
      <c r="E369" s="502" t="s">
        <v>1530</v>
      </c>
      <c r="F369" s="511" t="s">
        <v>120</v>
      </c>
      <c r="G369" s="556">
        <v>150</v>
      </c>
      <c r="H369" s="502">
        <v>2</v>
      </c>
      <c r="I369" s="502">
        <f>ROUND(SUMIFS('Capacity Summary'!$J:$J,'Capacity Summary'!$B:$B,E369,'Capacity Summary'!$C:$C,F369,'Capacity Summary'!$D:$D,G369),0)</f>
        <v>220</v>
      </c>
      <c r="J369" s="502">
        <f t="shared" si="16"/>
        <v>440</v>
      </c>
      <c r="K369" s="513">
        <f t="shared" si="17"/>
        <v>7.333333333333333</v>
      </c>
    </row>
    <row r="370" spans="1:11" x14ac:dyDescent="0.25">
      <c r="A370" s="501" t="s">
        <v>1807</v>
      </c>
      <c r="B370" s="501" t="s">
        <v>1806</v>
      </c>
      <c r="C370" s="502" t="s">
        <v>1882</v>
      </c>
      <c r="D370" s="502" t="s">
        <v>1529</v>
      </c>
      <c r="E370" s="502" t="s">
        <v>1530</v>
      </c>
      <c r="F370" s="511" t="s">
        <v>84</v>
      </c>
      <c r="G370" s="556">
        <v>150</v>
      </c>
      <c r="H370" s="502">
        <v>2</v>
      </c>
      <c r="I370" s="502">
        <f>ROUND(SUMIFS('Capacity Summary'!$J:$J,'Capacity Summary'!$B:$B,E370,'Capacity Summary'!$C:$C,F370,'Capacity Summary'!$D:$D,G370),0)</f>
        <v>130</v>
      </c>
      <c r="J370" s="502">
        <f t="shared" si="16"/>
        <v>260</v>
      </c>
      <c r="K370" s="513">
        <f t="shared" si="17"/>
        <v>4.333333333333333</v>
      </c>
    </row>
    <row r="371" spans="1:11" x14ac:dyDescent="0.25">
      <c r="A371" s="501" t="s">
        <v>1807</v>
      </c>
      <c r="B371" s="501" t="s">
        <v>1806</v>
      </c>
      <c r="C371" s="502" t="s">
        <v>1883</v>
      </c>
      <c r="D371" s="502" t="s">
        <v>1529</v>
      </c>
      <c r="E371" s="502" t="s">
        <v>1530</v>
      </c>
      <c r="F371" s="511" t="s">
        <v>88</v>
      </c>
      <c r="G371" s="556">
        <v>800</v>
      </c>
      <c r="H371" s="502">
        <v>21</v>
      </c>
      <c r="I371" s="502">
        <f>ROUND(SUMIFS('Capacity Summary'!$J:$J,'Capacity Summary'!$B:$B,E371,'Capacity Summary'!$C:$C,F371,'Capacity Summary'!$D:$D,G371),0)</f>
        <v>80</v>
      </c>
      <c r="J371" s="502">
        <f t="shared" si="16"/>
        <v>1680</v>
      </c>
      <c r="K371" s="513">
        <f t="shared" si="17"/>
        <v>28</v>
      </c>
    </row>
    <row r="372" spans="1:11" x14ac:dyDescent="0.25">
      <c r="A372" s="501" t="s">
        <v>1807</v>
      </c>
      <c r="B372" s="501" t="s">
        <v>1806</v>
      </c>
      <c r="C372" s="502" t="s">
        <v>1883</v>
      </c>
      <c r="D372" s="502" t="s">
        <v>1529</v>
      </c>
      <c r="E372" s="502" t="s">
        <v>1530</v>
      </c>
      <c r="F372" s="511" t="s">
        <v>88</v>
      </c>
      <c r="G372" s="556">
        <v>800</v>
      </c>
      <c r="H372" s="502">
        <v>21</v>
      </c>
      <c r="I372" s="502">
        <f>ROUND(SUMIFS('Capacity Summary'!$J:$J,'Capacity Summary'!$B:$B,E372,'Capacity Summary'!$C:$C,F372,'Capacity Summary'!$D:$D,G372),0)</f>
        <v>80</v>
      </c>
      <c r="J372" s="502">
        <f t="shared" si="16"/>
        <v>1680</v>
      </c>
      <c r="K372" s="513">
        <f t="shared" si="17"/>
        <v>28</v>
      </c>
    </row>
    <row r="373" spans="1:11" x14ac:dyDescent="0.25">
      <c r="A373" s="501" t="s">
        <v>1807</v>
      </c>
      <c r="B373" s="501" t="s">
        <v>1806</v>
      </c>
      <c r="C373" s="502" t="s">
        <v>1615</v>
      </c>
      <c r="D373" s="502" t="s">
        <v>1534</v>
      </c>
      <c r="E373" s="502" t="s">
        <v>1535</v>
      </c>
      <c r="F373" s="511" t="s">
        <v>171</v>
      </c>
      <c r="G373" s="556">
        <v>150</v>
      </c>
      <c r="H373" s="502">
        <v>9</v>
      </c>
      <c r="I373" s="502">
        <f>ROUND(SUMIFS('Capacity Summary'!$J:$J,'Capacity Summary'!$B:$B,E373,'Capacity Summary'!$C:$C,F373,'Capacity Summary'!$D:$D,G373),0)</f>
        <v>765</v>
      </c>
      <c r="J373" s="502">
        <f t="shared" si="16"/>
        <v>6885</v>
      </c>
      <c r="K373" s="513">
        <f t="shared" si="17"/>
        <v>114.75</v>
      </c>
    </row>
    <row r="374" spans="1:11" x14ac:dyDescent="0.25">
      <c r="A374" s="501" t="s">
        <v>1807</v>
      </c>
      <c r="B374" s="501" t="s">
        <v>1806</v>
      </c>
      <c r="C374" s="502" t="s">
        <v>1884</v>
      </c>
      <c r="D374" s="502" t="s">
        <v>1534</v>
      </c>
      <c r="E374" s="502" t="s">
        <v>1535</v>
      </c>
      <c r="F374" s="511" t="s">
        <v>688</v>
      </c>
      <c r="G374" s="556">
        <v>150</v>
      </c>
      <c r="H374" s="502">
        <v>3</v>
      </c>
      <c r="I374" s="502">
        <f>ROUND(SUMIFS('Capacity Summary'!$J:$J,'Capacity Summary'!$B:$B,E374,'Capacity Summary'!$C:$C,F374,'Capacity Summary'!$D:$D,G374),0)</f>
        <v>680</v>
      </c>
      <c r="J374" s="502">
        <f t="shared" si="16"/>
        <v>2040</v>
      </c>
      <c r="K374" s="513">
        <f t="shared" si="17"/>
        <v>34</v>
      </c>
    </row>
    <row r="375" spans="1:11" x14ac:dyDescent="0.25">
      <c r="A375" s="501" t="s">
        <v>1807</v>
      </c>
      <c r="B375" s="501" t="s">
        <v>1806</v>
      </c>
      <c r="C375" s="502" t="s">
        <v>1597</v>
      </c>
      <c r="D375" s="502" t="s">
        <v>1534</v>
      </c>
      <c r="E375" s="502" t="s">
        <v>1535</v>
      </c>
      <c r="F375" s="511" t="s">
        <v>119</v>
      </c>
      <c r="G375" s="556">
        <v>150</v>
      </c>
      <c r="H375" s="502">
        <v>9</v>
      </c>
      <c r="I375" s="502">
        <f>ROUND(SUMIFS('Capacity Summary'!$J:$J,'Capacity Summary'!$B:$B,E375,'Capacity Summary'!$C:$C,F375,'Capacity Summary'!$D:$D,G375),0)</f>
        <v>475</v>
      </c>
      <c r="J375" s="502">
        <f t="shared" si="16"/>
        <v>4275</v>
      </c>
      <c r="K375" s="513">
        <f t="shared" si="17"/>
        <v>71.25</v>
      </c>
    </row>
    <row r="376" spans="1:11" x14ac:dyDescent="0.25">
      <c r="A376" s="501" t="s">
        <v>1807</v>
      </c>
      <c r="B376" s="501" t="s">
        <v>1806</v>
      </c>
      <c r="C376" s="502" t="s">
        <v>1605</v>
      </c>
      <c r="D376" s="502" t="s">
        <v>1534</v>
      </c>
      <c r="E376" s="502" t="s">
        <v>1535</v>
      </c>
      <c r="F376" s="511" t="s">
        <v>120</v>
      </c>
      <c r="G376" s="556">
        <v>150</v>
      </c>
      <c r="H376" s="502">
        <v>6</v>
      </c>
      <c r="I376" s="502">
        <f>ROUND(SUMIFS('Capacity Summary'!$J:$J,'Capacity Summary'!$B:$B,E376,'Capacity Summary'!$C:$C,F376,'Capacity Summary'!$D:$D,G376),0)</f>
        <v>340</v>
      </c>
      <c r="J376" s="502">
        <f t="shared" si="16"/>
        <v>2040</v>
      </c>
      <c r="K376" s="513">
        <f t="shared" si="17"/>
        <v>34</v>
      </c>
    </row>
    <row r="377" spans="1:11" x14ac:dyDescent="0.25">
      <c r="A377" s="501" t="s">
        <v>1807</v>
      </c>
      <c r="B377" s="501" t="s">
        <v>1806</v>
      </c>
      <c r="C377" s="502" t="s">
        <v>1574</v>
      </c>
      <c r="D377" s="502" t="s">
        <v>1534</v>
      </c>
      <c r="E377" s="502" t="s">
        <v>1535</v>
      </c>
      <c r="F377" s="511" t="s">
        <v>84</v>
      </c>
      <c r="G377" s="556">
        <v>150</v>
      </c>
      <c r="H377" s="502">
        <v>16</v>
      </c>
      <c r="I377" s="502">
        <f>ROUND(SUMIFS('Capacity Summary'!$J:$J,'Capacity Summary'!$B:$B,E377,'Capacity Summary'!$C:$C,F377,'Capacity Summary'!$D:$D,G377),0)</f>
        <v>235</v>
      </c>
      <c r="J377" s="502">
        <f t="shared" si="16"/>
        <v>3760</v>
      </c>
      <c r="K377" s="513">
        <f t="shared" si="17"/>
        <v>62.666666666666664</v>
      </c>
    </row>
    <row r="378" spans="1:11" x14ac:dyDescent="0.25">
      <c r="A378" s="501" t="s">
        <v>1807</v>
      </c>
      <c r="B378" s="501" t="s">
        <v>1806</v>
      </c>
      <c r="C378" s="502" t="s">
        <v>1638</v>
      </c>
      <c r="D378" s="502" t="s">
        <v>1534</v>
      </c>
      <c r="E378" s="502" t="s">
        <v>1535</v>
      </c>
      <c r="F378" s="511" t="s">
        <v>85</v>
      </c>
      <c r="G378" s="556">
        <v>150</v>
      </c>
      <c r="H378" s="502">
        <v>2</v>
      </c>
      <c r="I378" s="502">
        <f>ROUND(SUMIFS('Capacity Summary'!$J:$J,'Capacity Summary'!$B:$B,E378,'Capacity Summary'!$C:$C,F378,'Capacity Summary'!$D:$D,G378),0)</f>
        <v>180</v>
      </c>
      <c r="J378" s="502">
        <f t="shared" si="16"/>
        <v>360</v>
      </c>
      <c r="K378" s="513">
        <f t="shared" si="17"/>
        <v>6</v>
      </c>
    </row>
    <row r="379" spans="1:11" x14ac:dyDescent="0.25">
      <c r="A379" s="501" t="s">
        <v>1807</v>
      </c>
      <c r="B379" s="501" t="s">
        <v>1806</v>
      </c>
      <c r="C379" s="502" t="s">
        <v>1575</v>
      </c>
      <c r="D379" s="502" t="s">
        <v>1534</v>
      </c>
      <c r="E379" s="502" t="s">
        <v>1535</v>
      </c>
      <c r="F379" s="511" t="s">
        <v>86</v>
      </c>
      <c r="G379" s="556">
        <v>150</v>
      </c>
      <c r="H379" s="502">
        <v>16</v>
      </c>
      <c r="I379" s="502">
        <f>ROUND(SUMIFS('Capacity Summary'!$J:$J,'Capacity Summary'!$B:$B,E379,'Capacity Summary'!$C:$C,F379,'Capacity Summary'!$D:$D,G379),0)</f>
        <v>140</v>
      </c>
      <c r="J379" s="502">
        <f t="shared" si="16"/>
        <v>2240</v>
      </c>
      <c r="K379" s="513">
        <f t="shared" si="17"/>
        <v>37.333333333333336</v>
      </c>
    </row>
    <row r="380" spans="1:11" x14ac:dyDescent="0.25">
      <c r="A380" s="501" t="s">
        <v>1807</v>
      </c>
      <c r="B380" s="501" t="s">
        <v>1806</v>
      </c>
      <c r="C380" s="502" t="s">
        <v>1885</v>
      </c>
      <c r="D380" s="502" t="s">
        <v>1534</v>
      </c>
      <c r="E380" s="502" t="s">
        <v>1535</v>
      </c>
      <c r="F380" s="511" t="s">
        <v>1403</v>
      </c>
      <c r="G380" s="556">
        <v>800</v>
      </c>
      <c r="H380" s="502">
        <v>18</v>
      </c>
      <c r="I380" s="502">
        <f>ROUND(SUMIFS('Capacity Summary'!$J:$J,'Capacity Summary'!$B:$B,E380,'Capacity Summary'!$C:$C,F380,'Capacity Summary'!$D:$D,G380),0)</f>
        <v>75</v>
      </c>
      <c r="J380" s="502">
        <f t="shared" si="16"/>
        <v>1350</v>
      </c>
      <c r="K380" s="513">
        <f t="shared" si="17"/>
        <v>22.5</v>
      </c>
    </row>
    <row r="381" spans="1:11" x14ac:dyDescent="0.25">
      <c r="A381" s="501" t="s">
        <v>1807</v>
      </c>
      <c r="B381" s="501" t="s">
        <v>1806</v>
      </c>
      <c r="C381" s="502" t="s">
        <v>1886</v>
      </c>
      <c r="D381" s="502" t="s">
        <v>1538</v>
      </c>
      <c r="E381" s="502" t="s">
        <v>1539</v>
      </c>
      <c r="F381" s="511" t="s">
        <v>171</v>
      </c>
      <c r="G381" s="556">
        <v>150</v>
      </c>
      <c r="H381" s="502">
        <v>3</v>
      </c>
      <c r="I381" s="502">
        <f>ROUND(SUMIFS('Capacity Summary'!$J:$J,'Capacity Summary'!$B:$B,E381,'Capacity Summary'!$C:$C,F381,'Capacity Summary'!$D:$D,G381),0)</f>
        <v>510</v>
      </c>
      <c r="J381" s="502">
        <f t="shared" si="16"/>
        <v>1530</v>
      </c>
      <c r="K381" s="513">
        <f t="shared" si="17"/>
        <v>25.5</v>
      </c>
    </row>
    <row r="382" spans="1:11" x14ac:dyDescent="0.25">
      <c r="A382" s="501" t="s">
        <v>1807</v>
      </c>
      <c r="B382" s="501" t="s">
        <v>1806</v>
      </c>
      <c r="C382" s="502" t="s">
        <v>1887</v>
      </c>
      <c r="D382" s="502" t="s">
        <v>1538</v>
      </c>
      <c r="E382" s="502" t="s">
        <v>1539</v>
      </c>
      <c r="F382" s="511" t="s">
        <v>120</v>
      </c>
      <c r="G382" s="556">
        <v>150</v>
      </c>
      <c r="H382" s="502">
        <v>1</v>
      </c>
      <c r="I382" s="502">
        <f>ROUND(SUMIFS('Capacity Summary'!$J:$J,'Capacity Summary'!$B:$B,E382,'Capacity Summary'!$C:$C,F382,'Capacity Summary'!$D:$D,G382),0)</f>
        <v>205</v>
      </c>
      <c r="J382" s="502">
        <f t="shared" si="16"/>
        <v>205</v>
      </c>
      <c r="K382" s="513">
        <f t="shared" si="17"/>
        <v>3.4166666666666665</v>
      </c>
    </row>
    <row r="383" spans="1:11" x14ac:dyDescent="0.25">
      <c r="A383" s="501" t="s">
        <v>1807</v>
      </c>
      <c r="B383" s="501" t="s">
        <v>1806</v>
      </c>
      <c r="C383" s="502" t="s">
        <v>1579</v>
      </c>
      <c r="D383" s="502" t="s">
        <v>1538</v>
      </c>
      <c r="E383" s="502" t="s">
        <v>1539</v>
      </c>
      <c r="F383" s="511" t="s">
        <v>84</v>
      </c>
      <c r="G383" s="556">
        <v>150</v>
      </c>
      <c r="H383" s="502">
        <v>2</v>
      </c>
      <c r="I383" s="502">
        <f>ROUND(SUMIFS('Capacity Summary'!$J:$J,'Capacity Summary'!$B:$B,E383,'Capacity Summary'!$C:$C,F383,'Capacity Summary'!$D:$D,G383),0)</f>
        <v>125</v>
      </c>
      <c r="J383" s="502">
        <f t="shared" si="16"/>
        <v>250</v>
      </c>
      <c r="K383" s="513">
        <f t="shared" si="17"/>
        <v>4.166666666666667</v>
      </c>
    </row>
    <row r="384" spans="1:11" x14ac:dyDescent="0.25">
      <c r="A384" s="501" t="s">
        <v>1807</v>
      </c>
      <c r="B384" s="501" t="s">
        <v>1806</v>
      </c>
      <c r="C384" s="502" t="s">
        <v>1850</v>
      </c>
      <c r="D384" s="502" t="s">
        <v>1538</v>
      </c>
      <c r="E384" s="502" t="s">
        <v>1539</v>
      </c>
      <c r="F384" s="511" t="s">
        <v>86</v>
      </c>
      <c r="G384" s="556">
        <v>150</v>
      </c>
      <c r="H384" s="502">
        <v>5</v>
      </c>
      <c r="I384" s="502">
        <f>ROUND(SUMIFS('Capacity Summary'!$J:$J,'Capacity Summary'!$B:$B,E384,'Capacity Summary'!$C:$C,F384,'Capacity Summary'!$D:$D,G384),0)</f>
        <v>105</v>
      </c>
      <c r="J384" s="502">
        <f t="shared" si="16"/>
        <v>525</v>
      </c>
      <c r="K384" s="513">
        <f t="shared" si="17"/>
        <v>8.75</v>
      </c>
    </row>
    <row r="385" spans="1:11" x14ac:dyDescent="0.25">
      <c r="A385" s="501" t="s">
        <v>1807</v>
      </c>
      <c r="B385" s="501" t="s">
        <v>1806</v>
      </c>
      <c r="C385" s="502" t="s">
        <v>1888</v>
      </c>
      <c r="D385" s="502" t="s">
        <v>1529</v>
      </c>
      <c r="E385" s="502" t="s">
        <v>1530</v>
      </c>
      <c r="F385" s="511" t="s">
        <v>88</v>
      </c>
      <c r="G385" s="556">
        <v>800</v>
      </c>
      <c r="H385" s="502">
        <v>8</v>
      </c>
      <c r="I385" s="502">
        <f>ROUND(SUMIFS('Capacity Summary'!$J:$J,'Capacity Summary'!$B:$B,E385,'Capacity Summary'!$C:$C,F385,'Capacity Summary'!$D:$D,G385),0)</f>
        <v>80</v>
      </c>
      <c r="J385" s="502">
        <f t="shared" si="16"/>
        <v>640</v>
      </c>
      <c r="K385" s="513">
        <f t="shared" si="17"/>
        <v>10.666666666666666</v>
      </c>
    </row>
    <row r="386" spans="1:11" x14ac:dyDescent="0.25">
      <c r="A386" s="501" t="s">
        <v>1807</v>
      </c>
      <c r="B386" s="501" t="s">
        <v>1806</v>
      </c>
      <c r="C386" s="502" t="s">
        <v>1889</v>
      </c>
      <c r="D386" s="502" t="s">
        <v>1529</v>
      </c>
      <c r="E386" s="502" t="s">
        <v>1530</v>
      </c>
      <c r="F386" s="511" t="s">
        <v>88</v>
      </c>
      <c r="G386" s="556">
        <v>800</v>
      </c>
      <c r="H386" s="502">
        <v>2</v>
      </c>
      <c r="I386" s="502">
        <f>ROUND(SUMIFS('Capacity Summary'!$J:$J,'Capacity Summary'!$B:$B,E386,'Capacity Summary'!$C:$C,F386,'Capacity Summary'!$D:$D,G386),0)</f>
        <v>80</v>
      </c>
      <c r="J386" s="502">
        <f t="shared" si="16"/>
        <v>160</v>
      </c>
      <c r="K386" s="513">
        <f t="shared" si="17"/>
        <v>2.6666666666666665</v>
      </c>
    </row>
    <row r="387" spans="1:11" x14ac:dyDescent="0.25">
      <c r="A387" s="501" t="s">
        <v>1807</v>
      </c>
      <c r="B387" s="501" t="s">
        <v>1806</v>
      </c>
      <c r="C387" s="502" t="s">
        <v>1574</v>
      </c>
      <c r="D387" s="502" t="s">
        <v>1534</v>
      </c>
      <c r="E387" s="502" t="s">
        <v>1535</v>
      </c>
      <c r="F387" s="511" t="s">
        <v>84</v>
      </c>
      <c r="G387" s="556">
        <v>150</v>
      </c>
      <c r="H387" s="502">
        <v>2</v>
      </c>
      <c r="I387" s="502">
        <f>ROUND(SUMIFS('Capacity Summary'!$J:$J,'Capacity Summary'!$B:$B,E387,'Capacity Summary'!$C:$C,F387,'Capacity Summary'!$D:$D,G387),0)</f>
        <v>235</v>
      </c>
      <c r="J387" s="502">
        <f t="shared" si="16"/>
        <v>470</v>
      </c>
      <c r="K387" s="513">
        <f t="shared" si="17"/>
        <v>7.833333333333333</v>
      </c>
    </row>
    <row r="388" spans="1:11" x14ac:dyDescent="0.25">
      <c r="A388" s="501" t="s">
        <v>1807</v>
      </c>
      <c r="B388" s="501" t="s">
        <v>1806</v>
      </c>
      <c r="C388" s="502" t="s">
        <v>1579</v>
      </c>
      <c r="D388" s="502" t="s">
        <v>1538</v>
      </c>
      <c r="E388" s="502" t="s">
        <v>1539</v>
      </c>
      <c r="F388" s="511" t="s">
        <v>84</v>
      </c>
      <c r="G388" s="556">
        <v>150</v>
      </c>
      <c r="H388" s="502">
        <v>1</v>
      </c>
      <c r="I388" s="502">
        <f>ROUND(SUMIFS('Capacity Summary'!$J:$J,'Capacity Summary'!$B:$B,E388,'Capacity Summary'!$C:$C,F388,'Capacity Summary'!$D:$D,G388),0)</f>
        <v>125</v>
      </c>
      <c r="J388" s="502">
        <f t="shared" si="16"/>
        <v>125</v>
      </c>
      <c r="K388" s="513">
        <f t="shared" si="17"/>
        <v>2.0833333333333335</v>
      </c>
    </row>
    <row r="389" spans="1:11" x14ac:dyDescent="0.25">
      <c r="A389" s="501" t="s">
        <v>1807</v>
      </c>
      <c r="B389" s="501" t="s">
        <v>1806</v>
      </c>
      <c r="C389" s="502" t="s">
        <v>1890</v>
      </c>
      <c r="D389" s="502" t="s">
        <v>1547</v>
      </c>
      <c r="E389" s="502" t="s">
        <v>1549</v>
      </c>
      <c r="F389" s="511" t="s">
        <v>85</v>
      </c>
      <c r="G389" s="556">
        <v>150</v>
      </c>
      <c r="H389" s="502">
        <v>1</v>
      </c>
      <c r="I389" s="502">
        <f>ROUND(SUMIFS('Capacity Summary'!$J:$J,'Capacity Summary'!$B:$B,E389,'Capacity Summary'!$C:$C,F389,'Capacity Summary'!$D:$D,G389),0)</f>
        <v>95</v>
      </c>
      <c r="J389" s="502">
        <f t="shared" si="16"/>
        <v>95</v>
      </c>
      <c r="K389" s="513">
        <f t="shared" si="17"/>
        <v>1.5833333333333333</v>
      </c>
    </row>
  </sheetData>
  <mergeCells count="1">
    <mergeCell ref="A1:G1"/>
  </mergeCells>
  <hyperlinks>
    <hyperlink ref="A1" r:id="rId1" location="'Dashboard'!A1" xr:uid="{8E8117ED-A284-4F97-96BD-BB2B07B55683}"/>
    <hyperlink ref="A1:G1" location="Dashboard!A1" display="⬅ Kembali ke Dashboard" xr:uid="{9AD7157F-8F25-4FFC-AC3E-E0E4DE9136BE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E1982-671D-4135-9AD1-340B9A5D0AB5}">
  <sheetPr codeName="Sheet13"/>
  <dimension ref="B1:H97"/>
  <sheetViews>
    <sheetView topLeftCell="A3" workbookViewId="0">
      <selection activeCell="C7" sqref="C7"/>
    </sheetView>
  </sheetViews>
  <sheetFormatPr defaultRowHeight="12.5" x14ac:dyDescent="0.25"/>
  <cols>
    <col min="2" max="2" width="42.08984375" bestFit="1" customWidth="1"/>
    <col min="3" max="3" width="18.90625" customWidth="1"/>
    <col min="4" max="4" width="11.54296875" customWidth="1"/>
    <col min="5" max="6" width="11.26953125" customWidth="1"/>
    <col min="8" max="8" width="16.26953125" customWidth="1"/>
  </cols>
  <sheetData>
    <row r="1" spans="2:8" ht="13" x14ac:dyDescent="0.3">
      <c r="B1" s="522" t="s">
        <v>1517</v>
      </c>
      <c r="C1" s="521"/>
    </row>
    <row r="2" spans="2:8" ht="20" x14ac:dyDescent="0.4">
      <c r="B2" s="571" t="s">
        <v>1491</v>
      </c>
      <c r="C2" s="571"/>
      <c r="D2" s="571"/>
      <c r="E2" s="571"/>
      <c r="F2" s="571"/>
      <c r="G2" s="571"/>
      <c r="H2" s="571"/>
    </row>
    <row r="3" spans="2:8" ht="27" customHeight="1" x14ac:dyDescent="0.25">
      <c r="B3" s="572" t="s">
        <v>1492</v>
      </c>
      <c r="C3" s="573"/>
      <c r="D3" s="573"/>
      <c r="E3" s="573"/>
      <c r="F3" s="573"/>
      <c r="G3" s="573"/>
      <c r="H3" s="573"/>
    </row>
    <row r="5" spans="2:8" ht="15.5" x14ac:dyDescent="0.35">
      <c r="B5" s="570" t="s">
        <v>1447</v>
      </c>
      <c r="C5" s="570"/>
    </row>
    <row r="6" spans="2:8" ht="13" x14ac:dyDescent="0.3">
      <c r="B6" s="215" t="s">
        <v>1495</v>
      </c>
      <c r="C6" s="488" t="s">
        <v>1419</v>
      </c>
    </row>
    <row r="7" spans="2:8" ht="13" x14ac:dyDescent="0.3">
      <c r="B7" s="215" t="s">
        <v>1448</v>
      </c>
      <c r="C7" s="488" t="s">
        <v>1419</v>
      </c>
    </row>
    <row r="8" spans="2:8" ht="13" x14ac:dyDescent="0.3">
      <c r="B8" s="215" t="s">
        <v>1496</v>
      </c>
      <c r="C8" s="488" t="s">
        <v>1419</v>
      </c>
    </row>
    <row r="10" spans="2:8" ht="15.5" x14ac:dyDescent="0.35">
      <c r="B10" s="570" t="s">
        <v>1450</v>
      </c>
      <c r="C10" s="570"/>
      <c r="D10" s="570"/>
    </row>
    <row r="11" spans="2:8" ht="14" x14ac:dyDescent="0.3">
      <c r="B11" s="212" t="s">
        <v>1493</v>
      </c>
      <c r="C11" s="489" cm="1">
        <f t="array" ref="C11">SUMPRODUCT((TRIM('Variance Data'!$B$2:$B$529)=IF($C$6="Semua",TRIM(_xlfn.SINGLE('Variance Data'!$B$2:$B$529)),$C$6))*('Variance Data'!$E$2:$E$529=IF($C$7="Semua",'Variance Data'!$E$2:$E$529,$C$7))*('Variance Data'!$K$2:$K$529=IF($C$8="Semua",'Variance Data'!$K$2:$K$529,$C$8))*1)</f>
        <v>14</v>
      </c>
    </row>
    <row r="12" spans="2:8" ht="14" x14ac:dyDescent="0.3">
      <c r="B12" s="212" t="s">
        <v>1494</v>
      </c>
      <c r="C12" s="489" cm="1">
        <f t="array" ref="C12">SUMPRODUCT((TRIM('Variance Data'!$B$2:$B$529)=IF($C$6="Semua",TRIM(_xlfn.SINGLE('Variance Data'!$B$2:$B$529)),$C$6))*('Variance Data'!$E$2:$E$529=IF($C$7="Semua",'Variance Data'!$E$2:$E$529,$C$7))*('Variance Data'!$K$2:$K$529=IF($C$8="Semua",'Variance Data'!$K$2:$K$529,$C$8))*'Variance Data'!$M$2:$M$529)</f>
        <v>8</v>
      </c>
      <c r="D12" s="490">
        <f>IFERROR(C12/$C$11,"")</f>
        <v>0.5714285714285714</v>
      </c>
    </row>
    <row r="13" spans="2:8" ht="14" x14ac:dyDescent="0.3">
      <c r="B13" s="212" t="s">
        <v>1497</v>
      </c>
      <c r="C13" s="489" cm="1">
        <f t="array" ref="C13">SUMPRODUCT((TRIM('Variance Data'!$B$2:$B$529)=IF($C$6="Semua",TRIM(_xlfn.SINGLE('Variance Data'!$B$2:$B$529)),$C$6))*('Variance Data'!$E$2:$E$529=IF($C$7="Semua",'Variance Data'!$E$2:$E$529,$C$7))*('Variance Data'!$K$2:$K$529=IF($C$8="Semua",'Variance Data'!$K$2:$K$529,$C$8))*'Variance Data'!$N$2:$N$529)</f>
        <v>0</v>
      </c>
      <c r="D13" s="490">
        <f>IFERROR(C13/$C$11,"")</f>
        <v>0</v>
      </c>
    </row>
    <row r="14" spans="2:8" ht="14" x14ac:dyDescent="0.3">
      <c r="B14" s="212" t="s">
        <v>1498</v>
      </c>
      <c r="C14" s="489" cm="1">
        <f t="array" aca="1" ref="C14" ca="1">SUMPRODUCT((TRIM('Variance Data'!$B$2:$B$529)=IF($C$6="Semua",TRIM(_xlfn.SINGLE('Variance Data'!$B$2:$B$529)),$C$6))*('Variance Data'!$E$2:$E$529=IF($C$7="Semua",'Variance Data'!$E$2:$E$529,$C$7))*('Variance Data'!$K$2:$K$529=IF($C$8="Semua",'Variance Data'!$K$2:$K$529,$C$8))*('Variance Data'!$O$2:$O$529-'Variance Data'!$P$2:$P$529))</f>
        <v>0</v>
      </c>
      <c r="D14" s="490">
        <f ca="1">IFERROR(C14/$C$11,"")</f>
        <v>0</v>
      </c>
    </row>
    <row r="15" spans="2:8" ht="14" x14ac:dyDescent="0.3">
      <c r="B15" s="212" t="s">
        <v>1499</v>
      </c>
      <c r="C15" s="489" cm="1">
        <f t="array" aca="1" ref="C15" ca="1">SUMPRODUCT((TRIM('Variance Data'!$B$2:$B$529)=IF($C$6="Semua",TRIM(_xlfn.SINGLE('Variance Data'!$B$2:$B$529)),$C$6))*('Variance Data'!$E$2:$E$529=IF($C$7="Semua",'Variance Data'!$E$2:$E$529,$C$7))*('Variance Data'!$K$2:$K$529=IF($C$8="Semua",'Variance Data'!$K$2:$K$529,$C$8))*'Variance Data'!$P$2:$P$529)</f>
        <v>6</v>
      </c>
      <c r="D15" s="490">
        <f ca="1">IFERROR(C15/$C$11,"")</f>
        <v>0.42857142857142855</v>
      </c>
    </row>
    <row r="16" spans="2:8" ht="14" x14ac:dyDescent="0.3">
      <c r="B16" s="212" t="s">
        <v>1500</v>
      </c>
      <c r="C16" s="491" cm="1">
        <f t="array" aca="1" ref="C16" ca="1">IFERROR(SUMPRODUCT((TRIM('Variance Data'!$B$2:$B$529)=IF($C$6="Semua",TRIM(_xlfn.SINGLE('Variance Data'!$B$2:$B$529)),$C$6))*('Variance Data'!$E$2:$E$529=IF($C$7="Semua",'Variance Data'!$E$2:$E$529,$C$7))*('Variance Data'!$K$2:$K$529=IF($C$8="Semua",'Variance Data'!$K$2:$K$529,$C$8))*'Variance Data'!$L$2:$L$529*'Variance Data'!$Q$2:$Q$529)/SUMPRODUCT((TRIM('Variance Data'!$B$2:$B$529)=IF($C$6="Semua",TRIM(_xlfn.SINGLE('Variance Data'!$B$2:$B$529)),$C$6))*('Variance Data'!$E$2:$E$529=IF($C$7="Semua",'Variance Data'!$E$2:$E$529,$C$7))*('Variance Data'!$K$2:$K$529=IF($C$8="Semua",'Variance Data'!$K$2:$K$529,$C$8))*'Variance Data'!$L$2:$L$529),"")</f>
        <v>0</v>
      </c>
    </row>
    <row r="17" spans="2:8" ht="14" x14ac:dyDescent="0.3">
      <c r="B17" s="212" t="s">
        <v>1501</v>
      </c>
      <c r="C17" s="492" cm="1">
        <f t="array" ref="C17">IFERROR(SUMPRODUCT((TRIM('Variance Data'!$B$2:$B$529)=IF($C$6="Semua",TRIM(_xlfn.SINGLE('Variance Data'!$B$2:$B$529)),$C$6))*('Variance Data'!$E$2:$E$529=IF($C$7="Semua",'Variance Data'!$E$2:$E$529,$C$7))*('Variance Data'!$K$2:$K$529=IF($C$8="Semua",'Variance Data'!$K$2:$K$529,$C$8))*'Variance Data'!$M$2:$M$529)/SUMPRODUCT((TRIM('Variance Data'!$B$2:$B$529)=IF($C$6="Semua",TRIM(_xlfn.SINGLE('Variance Data'!$B$2:$B$529)),$C$6))*('Variance Data'!$E$2:$E$529=IF($C$7="Semua",'Variance Data'!$E$2:$E$529,$C$7))*('Variance Data'!$K$2:$K$529=IF($C$8="Semua",'Variance Data'!$K$2:$K$529,$C$8))*'Variance Data'!$L$2:$L$529),"")</f>
        <v>1</v>
      </c>
    </row>
    <row r="19" spans="2:8" ht="15.5" x14ac:dyDescent="0.35">
      <c r="B19" s="570" t="s">
        <v>1480</v>
      </c>
      <c r="C19" s="570"/>
      <c r="D19" s="570"/>
      <c r="E19" s="570"/>
      <c r="F19" s="570"/>
      <c r="G19" s="570"/>
    </row>
    <row r="20" spans="2:8" s="497" customFormat="1" ht="23" x14ac:dyDescent="0.25">
      <c r="B20" s="496" t="s">
        <v>1454</v>
      </c>
      <c r="C20" s="496" t="s">
        <v>1502</v>
      </c>
      <c r="D20" s="496" t="s">
        <v>1503</v>
      </c>
      <c r="E20" s="496" t="s">
        <v>1504</v>
      </c>
      <c r="F20" s="496" t="s">
        <v>1505</v>
      </c>
      <c r="G20" s="496" t="s">
        <v>1481</v>
      </c>
      <c r="H20" s="496" t="s">
        <v>1506</v>
      </c>
    </row>
    <row r="21" spans="2:8" x14ac:dyDescent="0.25">
      <c r="B21" s="495" t="s">
        <v>1509</v>
      </c>
      <c r="C21" s="495" cm="1">
        <f t="array" ref="C21">SUMPRODUCT((TRIM('Variance Data'!$B$2:$B$529)=IF($C$6="Semua",TRIM(_xlfn.SINGLE('Variance Data'!$B$2:$B$529)),$C$6))*('Variance Data'!$E$2:$E$529="Logistik &amp; Gudang")*('Variance Data'!$K$2:$K$529=IF($C$8="Semua",'Variance Data'!$K$2:$K$529,$C$8))*1)</f>
        <v>3</v>
      </c>
      <c r="D21" s="495" cm="1">
        <f t="array" ref="D21">SUMPRODUCT((TRIM('Variance Data'!$B$2:$B$529)=IF($C$6="Semua",TRIM(_xlfn.SINGLE('Variance Data'!$B$2:$B$529)),$C$6))*('Variance Data'!$E$2:$E$529="Logistik &amp; Gudang")*('Variance Data'!$K$2:$K$529=IF($C$8="Semua",'Variance Data'!$K$2:$K$529,$C$8))*'Variance Data'!$M$2:$M$529)</f>
        <v>3</v>
      </c>
      <c r="E21" s="495" cm="1">
        <f t="array" ref="E21">SUMPRODUCT((TRIM('Variance Data'!$B$2:$B$529)=IF($C$6="Semua",TRIM(_xlfn.SINGLE('Variance Data'!$B$2:$B$529)),$C$6))*('Variance Data'!$E$2:$E$529="Logistik &amp; Gudang")*('Variance Data'!$K$2:$K$529=IF($C$8="Semua",'Variance Data'!$K$2:$K$529,$C$8))*'Variance Data'!$N$2:$N$529)</f>
        <v>0</v>
      </c>
      <c r="F21" s="495" cm="1">
        <f t="array" aca="1" ref="F21" ca="1">SUMPRODUCT((TRIM('Variance Data'!$B$2:$B$529)=IF($C$6="Semua",TRIM(_xlfn.SINGLE('Variance Data'!$B$2:$B$529)),$C$6))*('Variance Data'!$E$2:$E$529="Logistik &amp; Gudang")*('Variance Data'!$K$2:$K$529=IF($C$8="Semua",'Variance Data'!$K$2:$K$529,$C$8))*('Variance Data'!$O$2:$O$529-'Variance Data'!$P$2:$P$529))</f>
        <v>0</v>
      </c>
      <c r="G21" s="495" cm="1">
        <f t="array" aca="1" ref="G21" ca="1">SUMPRODUCT((TRIM('Variance Data'!$B$2:$B$529)=IF($C$6="Semua",TRIM(_xlfn.SINGLE('Variance Data'!$B$2:$B$529)),$C$6))*('Variance Data'!$E$2:$E$529="Logistik &amp; Gudang")*('Variance Data'!$K$2:$K$529=IF($C$8="Semua",'Variance Data'!$K$2:$K$529,$C$8))*'Variance Data'!$P$2:$P$529)</f>
        <v>0</v>
      </c>
      <c r="H21" s="495" cm="1">
        <f t="array" aca="1" ref="H21" ca="1">IFERROR(SUMPRODUCT((TRIM('Variance Data'!$B$2:$B$529)=IF($C$6="Semua",TRIM(_xlfn.SINGLE('Variance Data'!$B$2:$B$529)),$C$6))*('Variance Data'!$E$2:$E$529="Logistik &amp; Gudang")*('Variance Data'!$K$2:$K$529=IF($C$8="Semua",'Variance Data'!$K$2:$K$529,$C$8))*'Variance Data'!$L$2:$L$529*'Variance Data'!$Q$2:$Q$529)/SUMPRODUCT((TRIM('Variance Data'!$B$2:$B$529)=IF($C$6="Semua",TRIM(_xlfn.SINGLE('Variance Data'!$B$2:$B$529)),$C$6))*('Variance Data'!$E$2:$E$529="Logistik &amp; Gudang")*('Variance Data'!$K$2:$K$529=IF($C$8="Semua",'Variance Data'!$K$2:$K$529,$C$8))*'Variance Data'!$L$2:$L$529),"")</f>
        <v>0</v>
      </c>
    </row>
    <row r="22" spans="2:8" x14ac:dyDescent="0.25">
      <c r="B22" s="495" t="s">
        <v>1422</v>
      </c>
      <c r="C22" s="495" cm="1">
        <f t="array" ref="C22">SUMPRODUCT((TRIM('Variance Data'!$B$2:$B$529)=IF($C$6="Semua",TRIM(_xlfn.SINGLE('Variance Data'!$B$2:$B$529)),$C$6))*('Variance Data'!$E$2:$E$529="Quality &amp; Testing")*('Variance Data'!$K$2:$K$529=IF($C$8="Semua",'Variance Data'!$K$2:$K$529,$C$8))*1)</f>
        <v>3</v>
      </c>
      <c r="D22" s="495" cm="1">
        <f t="array" ref="D22">SUMPRODUCT((TRIM('Variance Data'!$B$2:$B$529)=IF($C$6="Semua",TRIM(_xlfn.SINGLE('Variance Data'!$B$2:$B$529)),$C$6))*('Variance Data'!$E$2:$E$529="Quality &amp; Testing")*('Variance Data'!$K$2:$K$529=IF($C$8="Semua",'Variance Data'!$K$2:$K$529,$C$8))*'Variance Data'!$M$2:$M$529)</f>
        <v>3</v>
      </c>
      <c r="E22" s="495" cm="1">
        <f t="array" ref="E22">SUMPRODUCT((TRIM('Variance Data'!$B$2:$B$529)=IF($C$6="Semua",TRIM(_xlfn.SINGLE('Variance Data'!$B$2:$B$529)),$C$6))*('Variance Data'!$E$2:$E$529="Quality &amp; Testing")*('Variance Data'!$K$2:$K$529=IF($C$8="Semua",'Variance Data'!$K$2:$K$529,$C$8))*'Variance Data'!$N$2:$N$529)</f>
        <v>0</v>
      </c>
      <c r="F22" s="495" cm="1">
        <f t="array" aca="1" ref="F22" ca="1">SUMPRODUCT((TRIM('Variance Data'!$B$2:$B$529)=IF($C$6="Semua",TRIM(_xlfn.SINGLE('Variance Data'!$B$2:$B$529)),$C$6))*('Variance Data'!$E$2:$E$529="Quality &amp; Testing")*('Variance Data'!$K$2:$K$529=IF($C$8="Semua",'Variance Data'!$K$2:$K$529,$C$8))*('Variance Data'!$O$2:$O$529-'Variance Data'!$P$2:$P$529))</f>
        <v>0</v>
      </c>
      <c r="G22" s="495" cm="1">
        <f t="array" aca="1" ref="G22" ca="1">SUMPRODUCT((TRIM('Variance Data'!$B$2:$B$529)=IF($C$6="Semua",TRIM(_xlfn.SINGLE('Variance Data'!$B$2:$B$529)),$C$6))*('Variance Data'!$E$2:$E$529="Quality &amp; Testing")*('Variance Data'!$K$2:$K$529=IF($C$8="Semua",'Variance Data'!$K$2:$K$529,$C$8))*'Variance Data'!$P$2:$P$529)</f>
        <v>0</v>
      </c>
      <c r="H22" s="495" cm="1">
        <f t="array" aca="1" ref="H22" ca="1">IFERROR(SUMPRODUCT((TRIM('Variance Data'!$B$2:$B$529)=IF($C$6="Semua",TRIM(_xlfn.SINGLE('Variance Data'!$B$2:$B$529)),$C$6))*('Variance Data'!$E$2:$E$529="Quality &amp; Testing")*('Variance Data'!$K$2:$K$529=IF($C$8="Semua",'Variance Data'!$K$2:$K$529,$C$8))*'Variance Data'!$L$2:$L$529*'Variance Data'!$Q$2:$Q$529)/SUMPRODUCT((TRIM('Variance Data'!$B$2:$B$529)=IF($C$6="Semua",TRIM(_xlfn.SINGLE('Variance Data'!$B$2:$B$529)),$C$6))*('Variance Data'!$E$2:$E$529="Quality &amp; Testing")*('Variance Data'!$K$2:$K$529=IF($C$8="Semua",'Variance Data'!$K$2:$K$529,$C$8))*'Variance Data'!$L$2:$L$529),"")</f>
        <v>0</v>
      </c>
    </row>
    <row r="23" spans="2:8" x14ac:dyDescent="0.25">
      <c r="B23" s="495" t="s">
        <v>1510</v>
      </c>
      <c r="C23" s="495" cm="1">
        <f t="array" ref="C23">SUMPRODUCT((TRIM('Variance Data'!$B$2:$B$529)=IF($C$6="Semua",TRIM(_xlfn.SINGLE('Variance Data'!$B$2:$B$529)),$C$6))*('Variance Data'!$E$2:$E$529="Produksi")*('Variance Data'!$K$2:$K$529=IF($C$8="Semua",'Variance Data'!$K$2:$K$529,$C$8))*1)</f>
        <v>1</v>
      </c>
      <c r="D23" s="495" cm="1">
        <f t="array" ref="D23">SUMPRODUCT((TRIM('Variance Data'!$B$2:$B$529)=IF($C$6="Semua",TRIM(_xlfn.SINGLE('Variance Data'!$B$2:$B$529)),$C$6))*('Variance Data'!$E$2:$E$529="Produksi")*('Variance Data'!$K$2:$K$529=IF($C$8="Semua",'Variance Data'!$K$2:$K$529,$C$8))*'Variance Data'!$M$2:$M$529)</f>
        <v>1</v>
      </c>
      <c r="E23" s="495" cm="1">
        <f t="array" ref="E23">SUMPRODUCT((TRIM('Variance Data'!$B$2:$B$529)=IF($C$6="Semua",TRIM(_xlfn.SINGLE('Variance Data'!$B$2:$B$529)),$C$6))*('Variance Data'!$E$2:$E$529="Produksi")*('Variance Data'!$K$2:$K$529=IF($C$8="Semua",'Variance Data'!$K$2:$K$529,$C$8))*'Variance Data'!$N$2:$N$529)</f>
        <v>0</v>
      </c>
      <c r="F23" s="495" cm="1">
        <f t="array" aca="1" ref="F23" ca="1">SUMPRODUCT((TRIM('Variance Data'!$B$2:$B$529)=IF($C$6="Semua",TRIM(_xlfn.SINGLE('Variance Data'!$B$2:$B$529)),$C$6))*('Variance Data'!$E$2:$E$529="Produksi")*('Variance Data'!$K$2:$K$529=IF($C$8="Semua",'Variance Data'!$K$2:$K$529,$C$8))*('Variance Data'!$O$2:$O$529-'Variance Data'!$P$2:$P$529))</f>
        <v>0</v>
      </c>
      <c r="G23" s="495" cm="1">
        <f t="array" aca="1" ref="G23" ca="1">SUMPRODUCT((TRIM('Variance Data'!$B$2:$B$529)=IF($C$6="Semua",TRIM(_xlfn.SINGLE('Variance Data'!$B$2:$B$529)),$C$6))*('Variance Data'!$E$2:$E$529="Produksi")*('Variance Data'!$K$2:$K$529=IF($C$8="Semua",'Variance Data'!$K$2:$K$529,$C$8))*'Variance Data'!$P$2:$P$529)</f>
        <v>0</v>
      </c>
      <c r="H23" s="495" cm="1">
        <f t="array" aca="1" ref="H23" ca="1">IFERROR(SUMPRODUCT((TRIM('Variance Data'!$B$2:$B$529)=IF($C$6="Semua",TRIM(_xlfn.SINGLE('Variance Data'!$B$2:$B$529)),$C$6))*('Variance Data'!$E$2:$E$529="Produksi")*('Variance Data'!$K$2:$K$529=IF($C$8="Semua",'Variance Data'!$K$2:$K$529,$C$8))*'Variance Data'!$L$2:$L$529*'Variance Data'!$Q$2:$Q$529)/SUMPRODUCT((TRIM('Variance Data'!$B$2:$B$529)=IF($C$6="Semua",TRIM(_xlfn.SINGLE('Variance Data'!$B$2:$B$529)),$C$6))*('Variance Data'!$E$2:$E$529="Produksi")*('Variance Data'!$K$2:$K$529=IF($C$8="Semua",'Variance Data'!$K$2:$K$529,$C$8))*'Variance Data'!$L$2:$L$529),"")</f>
        <v>0</v>
      </c>
    </row>
    <row r="24" spans="2:8" x14ac:dyDescent="0.25">
      <c r="B24" s="495" t="s">
        <v>1426</v>
      </c>
      <c r="C24" s="495" cm="1">
        <f t="array" ref="C24">SUMPRODUCT((TRIM('Variance Data'!$B$2:$B$529)=IF($C$6="Semua",TRIM(_xlfn.SINGLE('Variance Data'!$B$2:$B$529)),$C$6))*('Variance Data'!$E$2:$E$529="Painting &amp; Blasting")*('Variance Data'!$K$2:$K$529=IF($C$8="Semua",'Variance Data'!$K$2:$K$529,$C$8))*1)</f>
        <v>5</v>
      </c>
      <c r="D24" s="495" cm="1">
        <f t="array" ref="D24">SUMPRODUCT((TRIM('Variance Data'!$B$2:$B$529)=IF($C$6="Semua",TRIM(_xlfn.SINGLE('Variance Data'!$B$2:$B$529)),$C$6))*('Variance Data'!$E$2:$E$529="Painting &amp; Blasting")*('Variance Data'!$K$2:$K$529=IF($C$8="Semua",'Variance Data'!$K$2:$K$529,$C$8))*'Variance Data'!$M$2:$M$529)</f>
        <v>5</v>
      </c>
      <c r="E24" s="495" cm="1">
        <f t="array" ref="E24">SUMPRODUCT((TRIM('Variance Data'!$B$2:$B$529)=IF($C$6="Semua",TRIM(_xlfn.SINGLE('Variance Data'!$B$2:$B$529)),$C$6))*('Variance Data'!$E$2:$E$529="Painting &amp; Blasting")*('Variance Data'!$K$2:$K$529=IF($C$8="Semua",'Variance Data'!$K$2:$K$529,$C$8))*'Variance Data'!$N$2:$N$529)</f>
        <v>0</v>
      </c>
      <c r="F24" s="495" cm="1">
        <f t="array" aca="1" ref="F24" ca="1">SUMPRODUCT((TRIM('Variance Data'!$B$2:$B$529)=IF($C$6="Semua",TRIM(_xlfn.SINGLE('Variance Data'!$B$2:$B$529)),$C$6))*('Variance Data'!$E$2:$E$529="Painting &amp; Blasting")*('Variance Data'!$K$2:$K$529=IF($C$8="Semua",'Variance Data'!$K$2:$K$529,$C$8))*('Variance Data'!$O$2:$O$529-'Variance Data'!$P$2:$P$529))</f>
        <v>0</v>
      </c>
      <c r="G24" s="495" cm="1">
        <f t="array" aca="1" ref="G24" ca="1">SUMPRODUCT((TRIM('Variance Data'!$B$2:$B$529)=IF($C$6="Semua",TRIM(_xlfn.SINGLE('Variance Data'!$B$2:$B$529)),$C$6))*('Variance Data'!$E$2:$E$529="Painting &amp; Blasting")*('Variance Data'!$K$2:$K$529=IF($C$8="Semua",'Variance Data'!$K$2:$K$529,$C$8))*'Variance Data'!$P$2:$P$529)</f>
        <v>0</v>
      </c>
      <c r="H24" s="495" cm="1">
        <f t="array" aca="1" ref="H24" ca="1">IFERROR(SUMPRODUCT((TRIM('Variance Data'!$B$2:$B$529)=IF($C$6="Semua",TRIM(_xlfn.SINGLE('Variance Data'!$B$2:$B$529)),$C$6))*('Variance Data'!$E$2:$E$529="Painting &amp; Blasting")*('Variance Data'!$K$2:$K$529=IF($C$8="Semua",'Variance Data'!$K$2:$K$529,$C$8))*'Variance Data'!$L$2:$L$529*'Variance Data'!$Q$2:$Q$529)/SUMPRODUCT((TRIM('Variance Data'!$B$2:$B$529)=IF($C$6="Semua",TRIM(_xlfn.SINGLE('Variance Data'!$B$2:$B$529)),$C$6))*('Variance Data'!$E$2:$E$529="Painting &amp; Blasting")*('Variance Data'!$K$2:$K$529=IF($C$8="Semua",'Variance Data'!$K$2:$K$529,$C$8))*'Variance Data'!$L$2:$L$529),"")</f>
        <v>0</v>
      </c>
    </row>
    <row r="25" spans="2:8" x14ac:dyDescent="0.25">
      <c r="B25" s="495" t="s">
        <v>1429</v>
      </c>
      <c r="C25" s="495" cm="1">
        <f t="array" ref="C25">SUMPRODUCT((TRIM('Variance Data'!$B$2:$B$529)=IF($C$6="Semua",TRIM(_xlfn.SINGLE('Variance Data'!$B$2:$B$529)),$C$6))*('Variance Data'!$E$2:$E$529="Packing &amp; Delivery")*('Variance Data'!$K$2:$K$529=IF($C$8="Semua",'Variance Data'!$K$2:$K$529,$C$8))*1)</f>
        <v>2</v>
      </c>
      <c r="D25" s="495" cm="1">
        <f t="array" ref="D25">SUMPRODUCT((TRIM('Variance Data'!$B$2:$B$529)=IF($C$6="Semua",TRIM(_xlfn.SINGLE('Variance Data'!$B$2:$B$529)),$C$6))*('Variance Data'!$E$2:$E$529="Packing &amp; Delivery")*('Variance Data'!$K$2:$K$529=IF($C$8="Semua",'Variance Data'!$K$2:$K$529,$C$8))*'Variance Data'!$M$2:$M$529)</f>
        <v>2</v>
      </c>
      <c r="E25" s="495" cm="1">
        <f t="array" ref="E25">SUMPRODUCT((TRIM('Variance Data'!$B$2:$B$529)=IF($C$6="Semua",TRIM(_xlfn.SINGLE('Variance Data'!$B$2:$B$529)),$C$6))*('Variance Data'!$E$2:$E$529="Packing &amp; Delivery")*('Variance Data'!$K$2:$K$529=IF($C$8="Semua",'Variance Data'!$K$2:$K$529,$C$8))*'Variance Data'!$N$2:$N$529)</f>
        <v>0</v>
      </c>
      <c r="F25" s="495" cm="1">
        <f t="array" aca="1" ref="F25" ca="1">SUMPRODUCT((TRIM('Variance Data'!$B$2:$B$529)=IF($C$6="Semua",TRIM(_xlfn.SINGLE('Variance Data'!$B$2:$B$529)),$C$6))*('Variance Data'!$E$2:$E$529="Packing &amp; Delivery")*('Variance Data'!$K$2:$K$529=IF($C$8="Semua",'Variance Data'!$K$2:$K$529,$C$8))*('Variance Data'!$O$2:$O$529-'Variance Data'!$P$2:$P$529))</f>
        <v>0</v>
      </c>
      <c r="G25" s="495" cm="1">
        <f t="array" aca="1" ref="G25" ca="1">SUMPRODUCT((TRIM('Variance Data'!$B$2:$B$529)=IF($C$6="Semua",TRIM(_xlfn.SINGLE('Variance Data'!$B$2:$B$529)),$C$6))*('Variance Data'!$E$2:$E$529="Packing &amp; Delivery")*('Variance Data'!$K$2:$K$529=IF($C$8="Semua",'Variance Data'!$K$2:$K$529,$C$8))*'Variance Data'!$P$2:$P$529)</f>
        <v>0</v>
      </c>
      <c r="H25" s="495" cm="1">
        <f t="array" aca="1" ref="H25" ca="1">IFERROR(SUMPRODUCT((TRIM('Variance Data'!$B$2:$B$529)=IF($C$6="Semua",TRIM(_xlfn.SINGLE('Variance Data'!$B$2:$B$529)),$C$6))*('Variance Data'!$E$2:$E$529="Packing &amp; Delivery")*('Variance Data'!$K$2:$K$529=IF($C$8="Semua",'Variance Data'!$K$2:$K$529,$C$8))*'Variance Data'!$L$2:$L$529*'Variance Data'!$Q$2:$Q$529)/SUMPRODUCT((TRIM('Variance Data'!$B$2:$B$529)=IF($C$6="Semua",TRIM(_xlfn.SINGLE('Variance Data'!$B$2:$B$529)),$C$6))*('Variance Data'!$E$2:$E$529="Packing &amp; Delivery")*('Variance Data'!$K$2:$K$529=IF($C$8="Semua",'Variance Data'!$K$2:$K$529,$C$8))*'Variance Data'!$L$2:$L$529),"")</f>
        <v>0</v>
      </c>
    </row>
    <row r="27" spans="2:8" ht="15.5" x14ac:dyDescent="0.35">
      <c r="B27" s="570" t="s">
        <v>1482</v>
      </c>
      <c r="C27" s="570"/>
      <c r="D27" s="570"/>
      <c r="E27" s="570"/>
      <c r="F27" s="570"/>
      <c r="G27" s="570"/>
    </row>
    <row r="28" spans="2:8" ht="23" x14ac:dyDescent="0.25">
      <c r="B28" s="496" t="s">
        <v>1483</v>
      </c>
      <c r="C28" s="496" t="s">
        <v>1502</v>
      </c>
      <c r="D28" s="496" t="s">
        <v>1508</v>
      </c>
      <c r="E28" s="496" t="s">
        <v>1484</v>
      </c>
      <c r="F28" s="496" t="s">
        <v>1507</v>
      </c>
      <c r="G28" s="496" t="s">
        <v>1481</v>
      </c>
      <c r="H28" s="496" t="s">
        <v>1506</v>
      </c>
    </row>
    <row r="29" spans="2:8" x14ac:dyDescent="0.25">
      <c r="B29" s="495" t="s">
        <v>52</v>
      </c>
      <c r="C29" s="495" cm="1">
        <f t="array" ref="C29">SUMPRODUCT((TRIM('Variance Data'!$B$2:$B$529)="SO. 015/AVI/0425")*('Variance Data'!$E$2:$E$529=IF($C$7="Semua",'Variance Data'!$E$2:$E$529,$C$7))*('Variance Data'!$K$2:$K$529=IF($C$8="Semua",'Variance Data'!$K$2:$K$529,$C$8))*1)</f>
        <v>14</v>
      </c>
      <c r="D29" s="495" cm="1">
        <f t="array" ref="D29">SUMPRODUCT((TRIM('Variance Data'!$B$2:$B$529)="SO. 015/AVI/0425")*('Variance Data'!$E$2:$E$529=IF($C$7="Semua",'Variance Data'!$E$2:$E$529,$C$7))*('Variance Data'!$K$2:$K$529=IF($C$8="Semua",'Variance Data'!$K$2:$K$529,$C$8))*'Variance Data'!$L$2:$L$529)</f>
        <v>8</v>
      </c>
      <c r="E29" s="498">
        <f t="shared" ref="E29:E50" si="0">IFERROR(D29/C29,"")</f>
        <v>0.5714285714285714</v>
      </c>
      <c r="F29" s="495" cm="1">
        <f t="array" ref="F29">SUMPRODUCT((TRIM('Variance Data'!$B$2:$B$529)="SO. 015/AVI/0425")*('Variance Data'!$E$2:$E$529=IF($C$7="Semua",'Variance Data'!$E$2:$E$529,$C$7))*('Variance Data'!$K$2:$K$529=IF($C$8="Semua",'Variance Data'!$K$2:$K$529,$C$8))*'Variance Data'!$N$2:$N$529)</f>
        <v>0</v>
      </c>
      <c r="G29" s="495" cm="1">
        <f t="array" aca="1" ref="G29" ca="1">SUMPRODUCT((TRIM('Variance Data'!$B$2:$B$529)="SO. 015/AVI/0425")*('Variance Data'!$E$2:$E$529=IF($C$7="Semua",'Variance Data'!$E$2:$E$529,$C$7))*('Variance Data'!$K$2:$K$529=IF($C$8="Semua",'Variance Data'!$K$2:$K$529,$C$8))*'Variance Data'!$P$2:$P$529)</f>
        <v>6</v>
      </c>
      <c r="H29" s="561" cm="1">
        <f t="array" aca="1" ref="H29" ca="1">IFERROR(SUMPRODUCT((TRIM('Variance Data'!$B$2:$B$529)="SO. 015/AVI/0425")*('Variance Data'!$E$2:$E$529=IF($C$7="Semua",'Variance Data'!$E$2:$E$529,$C$7))*('Variance Data'!$K$2:$K$529=IF($C$8="Semua",'Variance Data'!$K$2:$K$529,$C$8))*'Variance Data'!$L$2:$L$529*'Variance Data'!$Q$2:$Q$529)/SUMPRODUCT((TRIM('Variance Data'!$B$2:$B$529)="SO. 015/AVI/0425")*('Variance Data'!$E$2:$E$529=IF($C$7="Semua",'Variance Data'!$E$2:$E$529,$C$7))*('Variance Data'!$K$2:$K$529=IF($C$8="Semua",'Variance Data'!$K$2:$K$529,$C$8))*'Variance Data'!$L$2:$L$529),"")</f>
        <v>0</v>
      </c>
    </row>
    <row r="30" spans="2:8" x14ac:dyDescent="0.25">
      <c r="B30" s="495" t="s">
        <v>53</v>
      </c>
      <c r="C30" s="495" cm="1">
        <f t="array" ref="C30">SUMPRODUCT((TRIM('Variance Data'!$B$2:$B$529)="SO. 030/AVI/1025 BATCH 1")*('Variance Data'!$E$2:$E$529=IF($C$7="Semua",'Variance Data'!$E$2:$E$529,$C$7))*('Variance Data'!$K$2:$K$529=IF($C$8="Semua",'Variance Data'!$K$2:$K$529,$C$8))*1)</f>
        <v>14</v>
      </c>
      <c r="D30" s="495" cm="1">
        <f t="array" ref="D30">SUMPRODUCT((TRIM('Variance Data'!$B$2:$B$529)="SO. 030/AVI/1025 BATCH 1")*('Variance Data'!$E$2:$E$529=IF($C$7="Semua",'Variance Data'!$E$2:$E$529,$C$7))*('Variance Data'!$K$2:$K$529=IF($C$8="Semua",'Variance Data'!$K$2:$K$529,$C$8))*'Variance Data'!$L$2:$L$529)</f>
        <v>14</v>
      </c>
      <c r="E30" s="498">
        <f t="shared" si="0"/>
        <v>1</v>
      </c>
      <c r="F30" s="495" cm="1">
        <f t="array" ref="F30">SUMPRODUCT((TRIM('Variance Data'!$B$2:$B$529)="SO. 030/AVI/1025 BATCH 1")*('Variance Data'!$E$2:$E$529=IF($C$7="Semua",'Variance Data'!$E$2:$E$529,$C$7))*('Variance Data'!$K$2:$K$529=IF($C$8="Semua",'Variance Data'!$K$2:$K$529,$C$8))*'Variance Data'!$N$2:$N$529)</f>
        <v>0</v>
      </c>
      <c r="G30" s="495" cm="1">
        <f t="array" aca="1" ref="G30" ca="1">SUMPRODUCT((TRIM('Variance Data'!$B$2:$B$529)="SO. 030/AVI/1025 BATCH 1")*('Variance Data'!$E$2:$E$529=IF($C$7="Semua",'Variance Data'!$E$2:$E$529,$C$7))*('Variance Data'!$K$2:$K$529=IF($C$8="Semua",'Variance Data'!$K$2:$K$529,$C$8))*'Variance Data'!$P$2:$P$529)</f>
        <v>0</v>
      </c>
      <c r="H30" s="561" cm="1">
        <f t="array" aca="1" ref="H30" ca="1">IFERROR(SUMPRODUCT((TRIM('Variance Data'!$B$2:$B$529)="SO. 030/AVI/1025 BATCH 1")*('Variance Data'!$E$2:$E$529=IF($C$7="Semua",'Variance Data'!$E$2:$E$529,$C$7))*('Variance Data'!$K$2:$K$529=IF($C$8="Semua",'Variance Data'!$K$2:$K$529,$C$8))*'Variance Data'!$L$2:$L$529*'Variance Data'!$Q$2:$Q$529)/SUMPRODUCT((TRIM('Variance Data'!$B$2:$B$529)="SO. 030/AVI/1025 BATCH 1")*('Variance Data'!$E$2:$E$529=IF($C$7="Semua",'Variance Data'!$E$2:$E$529,$C$7))*('Variance Data'!$K$2:$K$529=IF($C$8="Semua",'Variance Data'!$K$2:$K$529,$C$8))*'Variance Data'!$L$2:$L$529),"")</f>
        <v>0</v>
      </c>
    </row>
    <row r="31" spans="2:8" x14ac:dyDescent="0.25">
      <c r="B31" s="495" t="s">
        <v>54</v>
      </c>
      <c r="C31" s="495" cm="1">
        <f t="array" ref="C31">SUMPRODUCT((TRIM('Variance Data'!$B$2:$B$529)="SO. 030/AVI/1025 BATCH 2")*('Variance Data'!$E$2:$E$529=IF($C$7="Semua",'Variance Data'!$E$2:$E$529,$C$7))*('Variance Data'!$K$2:$K$529=IF($C$8="Semua",'Variance Data'!$K$2:$K$529,$C$8))*1)</f>
        <v>14</v>
      </c>
      <c r="D31" s="495" cm="1">
        <f t="array" ref="D31">SUMPRODUCT((TRIM('Variance Data'!$B$2:$B$529)="SO. 030/AVI/1025 BATCH 2")*('Variance Data'!$E$2:$E$529=IF($C$7="Semua",'Variance Data'!$E$2:$E$529,$C$7))*('Variance Data'!$K$2:$K$529=IF($C$8="Semua",'Variance Data'!$K$2:$K$529,$C$8))*'Variance Data'!$L$2:$L$529)</f>
        <v>1</v>
      </c>
      <c r="E31" s="498">
        <f t="shared" si="0"/>
        <v>7.1428571428571425E-2</v>
      </c>
      <c r="F31" s="495" cm="1">
        <f t="array" ref="F31">SUMPRODUCT((TRIM('Variance Data'!$B$2:$B$529)="SO. 030/AVI/1025 BATCH 2")*('Variance Data'!$E$2:$E$529=IF($C$7="Semua",'Variance Data'!$E$2:$E$529,$C$7))*('Variance Data'!$K$2:$K$529=IF($C$8="Semua",'Variance Data'!$K$2:$K$529,$C$8))*'Variance Data'!$N$2:$N$529)</f>
        <v>0</v>
      </c>
      <c r="G31" s="495" cm="1">
        <f t="array" aca="1" ref="G31" ca="1">SUMPRODUCT((TRIM('Variance Data'!$B$2:$B$529)="SO. 030/AVI/1025 BATCH 2")*('Variance Data'!$E$2:$E$529=IF($C$7="Semua",'Variance Data'!$E$2:$E$529,$C$7))*('Variance Data'!$K$2:$K$529=IF($C$8="Semua",'Variance Data'!$K$2:$K$529,$C$8))*'Variance Data'!$P$2:$P$529)</f>
        <v>0</v>
      </c>
      <c r="H31" s="561" cm="1">
        <f t="array" aca="1" ref="H31" ca="1">IFERROR(SUMPRODUCT((TRIM('Variance Data'!$B$2:$B$529)="SO. 030/AVI/1025 BATCH 2")*('Variance Data'!$E$2:$E$529=IF($C$7="Semua",'Variance Data'!$E$2:$E$529,$C$7))*('Variance Data'!$K$2:$K$529=IF($C$8="Semua",'Variance Data'!$K$2:$K$529,$C$8))*'Variance Data'!$L$2:$L$529*'Variance Data'!$Q$2:$Q$529)/SUMPRODUCT((TRIM('Variance Data'!$B$2:$B$529)="SO. 030/AVI/1025 BATCH 2")*('Variance Data'!$E$2:$E$529=IF($C$7="Semua",'Variance Data'!$E$2:$E$529,$C$7))*('Variance Data'!$K$2:$K$529=IF($C$8="Semua",'Variance Data'!$K$2:$K$529,$C$8))*'Variance Data'!$L$2:$L$529),"")</f>
        <v>0</v>
      </c>
    </row>
    <row r="32" spans="2:8" x14ac:dyDescent="0.25">
      <c r="B32" s="495" t="s">
        <v>55</v>
      </c>
      <c r="C32" s="495" cm="1">
        <f t="array" ref="C32">SUMPRODUCT((TRIM('Variance Data'!$B$2:$B$529)="SO. 033/AVI/1125")*('Variance Data'!$E$2:$E$529=IF($C$7="Semua",'Variance Data'!$E$2:$E$529,$C$7))*('Variance Data'!$K$2:$K$529=IF($C$8="Semua",'Variance Data'!$K$2:$K$529,$C$8))*1)</f>
        <v>0</v>
      </c>
      <c r="D32" s="495" cm="1">
        <f t="array" ref="D32">SUMPRODUCT((TRIM('Variance Data'!$B$2:$B$529)="SO. 033/AVI/1125")*('Variance Data'!$E$2:$E$529=IF($C$7="Semua",'Variance Data'!$E$2:$E$529,$C$7))*('Variance Data'!$K$2:$K$529=IF($C$8="Semua",'Variance Data'!$K$2:$K$529,$C$8))*'Variance Data'!$L$2:$L$529)</f>
        <v>0</v>
      </c>
      <c r="E32" s="498" t="str">
        <f t="shared" si="0"/>
        <v/>
      </c>
      <c r="F32" s="495" cm="1">
        <f t="array" ref="F32">SUMPRODUCT((TRIM('Variance Data'!$B$2:$B$529)="SO. 033/AVI/1125")*('Variance Data'!$E$2:$E$529=IF($C$7="Semua",'Variance Data'!$E$2:$E$529,$C$7))*('Variance Data'!$K$2:$K$529=IF($C$8="Semua",'Variance Data'!$K$2:$K$529,$C$8))*'Variance Data'!$N$2:$N$529)</f>
        <v>0</v>
      </c>
      <c r="G32" s="495" cm="1">
        <f t="array" aca="1" ref="G32" ca="1">SUMPRODUCT((TRIM('Variance Data'!$B$2:$B$529)="SO. 033/AVI/1125")*('Variance Data'!$E$2:$E$529=IF($C$7="Semua",'Variance Data'!$E$2:$E$529,$C$7))*('Variance Data'!$K$2:$K$529=IF($C$8="Semua",'Variance Data'!$K$2:$K$529,$C$8))*'Variance Data'!$P$2:$P$529)</f>
        <v>0</v>
      </c>
      <c r="H32" s="561" t="str" cm="1">
        <f t="array" aca="1" ref="H32" ca="1">IFERROR(SUMPRODUCT((TRIM('Variance Data'!$B$2:$B$529)="SO. 033/AVI/1125")*('Variance Data'!$E$2:$E$529=IF($C$7="Semua",'Variance Data'!$E$2:$E$529,$C$7))*('Variance Data'!$K$2:$K$529=IF($C$8="Semua",'Variance Data'!$K$2:$K$529,$C$8))*'Variance Data'!$L$2:$L$529*'Variance Data'!$Q$2:$Q$529)/SUMPRODUCT((TRIM('Variance Data'!$B$2:$B$529)="SO. 033/AVI/1125")*('Variance Data'!$E$2:$E$529=IF($C$7="Semua",'Variance Data'!$E$2:$E$529,$C$7))*('Variance Data'!$K$2:$K$529=IF($C$8="Semua",'Variance Data'!$K$2:$K$529,$C$8))*'Variance Data'!$L$2:$L$529),"")</f>
        <v/>
      </c>
    </row>
    <row r="33" spans="2:8" x14ac:dyDescent="0.25">
      <c r="B33" s="495" t="s">
        <v>1428</v>
      </c>
      <c r="C33" s="495" cm="1">
        <f t="array" ref="C33">SUMPRODUCT((TRIM('Variance Data'!$B$2:$B$529)="SO. 001/TR/AVI/0126")*('Variance Data'!$E$2:$E$529=IF($C$7="Semua",'Variance Data'!$E$2:$E$529,$C$7))*('Variance Data'!$K$2:$K$529=IF($C$8="Semua",'Variance Data'!$K$2:$K$529,$C$8))*1)</f>
        <v>14</v>
      </c>
      <c r="D33" s="495" cm="1">
        <f t="array" ref="D33">SUMPRODUCT((TRIM('Variance Data'!$B$2:$B$529)="SO. 001/TR/AVI/0126")*('Variance Data'!$E$2:$E$529=IF($C$7="Semua",'Variance Data'!$E$2:$E$529,$C$7))*('Variance Data'!$K$2:$K$529=IF($C$8="Semua",'Variance Data'!$K$2:$K$529,$C$8))*'Variance Data'!$L$2:$L$529)</f>
        <v>0</v>
      </c>
      <c r="E33" s="498">
        <f t="shared" si="0"/>
        <v>0</v>
      </c>
      <c r="F33" s="495" cm="1">
        <f t="array" ref="F33">SUMPRODUCT((TRIM('Variance Data'!$B$2:$B$529)="SO. 001/TR/AVI/0126")*('Variance Data'!$E$2:$E$529=IF($C$7="Semua",'Variance Data'!$E$2:$E$529,$C$7))*('Variance Data'!$K$2:$K$529=IF($C$8="Semua",'Variance Data'!$K$2:$K$529,$C$8))*'Variance Data'!$N$2:$N$529)</f>
        <v>0</v>
      </c>
      <c r="G33" s="495" cm="1">
        <f t="array" aca="1" ref="G33" ca="1">SUMPRODUCT((TRIM('Variance Data'!$B$2:$B$529)="SO. 001/TR/AVI/0126")*('Variance Data'!$E$2:$E$529=IF($C$7="Semua",'Variance Data'!$E$2:$E$529,$C$7))*('Variance Data'!$K$2:$K$529=IF($C$8="Semua",'Variance Data'!$K$2:$K$529,$C$8))*'Variance Data'!$P$2:$P$529)</f>
        <v>0</v>
      </c>
      <c r="H33" s="561" t="str" cm="1">
        <f t="array" aca="1" ref="H33" ca="1">IFERROR(SUMPRODUCT((TRIM('Variance Data'!$B$2:$B$529)="SO. 001/TR/AVI/0126")*('Variance Data'!$E$2:$E$529=IF($C$7="Semua",'Variance Data'!$E$2:$E$529,$C$7))*('Variance Data'!$K$2:$K$529=IF($C$8="Semua",'Variance Data'!$K$2:$K$529,$C$8))*'Variance Data'!$L$2:$L$529*'Variance Data'!$Q$2:$Q$529)/SUMPRODUCT((TRIM('Variance Data'!$B$2:$B$529)="SO. 001/TR/AVI/0126")*('Variance Data'!$E$2:$E$529=IF($C$7="Semua",'Variance Data'!$E$2:$E$529,$C$7))*('Variance Data'!$K$2:$K$529=IF($C$8="Semua",'Variance Data'!$K$2:$K$529,$C$8))*'Variance Data'!$L$2:$L$529),"")</f>
        <v/>
      </c>
    </row>
    <row r="34" spans="2:8" x14ac:dyDescent="0.25">
      <c r="B34" s="495" t="s">
        <v>56</v>
      </c>
      <c r="C34" s="495" cm="1">
        <f t="array" ref="C34">SUMPRODUCT((TRIM('Variance Data'!$B$2:$B$529)="SO. 002/TR/AVI/0126")*('Variance Data'!$E$2:$E$529=IF($C$7="Semua",'Variance Data'!$E$2:$E$529,$C$7))*('Variance Data'!$K$2:$K$529=IF($C$8="Semua",'Variance Data'!$K$2:$K$529,$C$8))*1)</f>
        <v>14</v>
      </c>
      <c r="D34" s="495" cm="1">
        <f t="array" ref="D34">SUMPRODUCT((TRIM('Variance Data'!$B$2:$B$529)="SO. 002/TR/AVI/0126")*('Variance Data'!$E$2:$E$529=IF($C$7="Semua",'Variance Data'!$E$2:$E$529,$C$7))*('Variance Data'!$K$2:$K$529=IF($C$8="Semua",'Variance Data'!$K$2:$K$529,$C$8))*'Variance Data'!$L$2:$L$529)</f>
        <v>0</v>
      </c>
      <c r="E34" s="498">
        <f t="shared" si="0"/>
        <v>0</v>
      </c>
      <c r="F34" s="495" cm="1">
        <f t="array" ref="F34">SUMPRODUCT((TRIM('Variance Data'!$B$2:$B$529)="SO. 002/TR/AVI/0126")*('Variance Data'!$E$2:$E$529=IF($C$7="Semua",'Variance Data'!$E$2:$E$529,$C$7))*('Variance Data'!$K$2:$K$529=IF($C$8="Semua",'Variance Data'!$K$2:$K$529,$C$8))*'Variance Data'!$N$2:$N$529)</f>
        <v>0</v>
      </c>
      <c r="G34" s="495" cm="1">
        <f t="array" aca="1" ref="G34" ca="1">SUMPRODUCT((TRIM('Variance Data'!$B$2:$B$529)="SO. 002/TR/AVI/0126")*('Variance Data'!$E$2:$E$529=IF($C$7="Semua",'Variance Data'!$E$2:$E$529,$C$7))*('Variance Data'!$K$2:$K$529=IF($C$8="Semua",'Variance Data'!$K$2:$K$529,$C$8))*'Variance Data'!$P$2:$P$529)</f>
        <v>1</v>
      </c>
      <c r="H34" s="561" t="str" cm="1">
        <f t="array" aca="1" ref="H34" ca="1">IFERROR(SUMPRODUCT((TRIM('Variance Data'!$B$2:$B$529)="SO. 002/TR/AVI/0126")*('Variance Data'!$E$2:$E$529=IF($C$7="Semua",'Variance Data'!$E$2:$E$529,$C$7))*('Variance Data'!$K$2:$K$529=IF($C$8="Semua",'Variance Data'!$K$2:$K$529,$C$8))*'Variance Data'!$L$2:$L$529*'Variance Data'!$Q$2:$Q$529)/SUMPRODUCT((TRIM('Variance Data'!$B$2:$B$529)="SO. 002/TR/AVI/0126")*('Variance Data'!$E$2:$E$529=IF($C$7="Semua",'Variance Data'!$E$2:$E$529,$C$7))*('Variance Data'!$K$2:$K$529=IF($C$8="Semua",'Variance Data'!$K$2:$K$529,$C$8))*'Variance Data'!$L$2:$L$529),"")</f>
        <v/>
      </c>
    </row>
    <row r="35" spans="2:8" x14ac:dyDescent="0.25">
      <c r="B35" s="495" t="s">
        <v>57</v>
      </c>
      <c r="C35" s="495" cm="1">
        <f t="array" ref="C35">SUMPRODUCT((TRIM('Variance Data'!$B$2:$B$529)="SO. 003/TR/AVI/0126")*('Variance Data'!$E$2:$E$529=IF($C$7="Semua",'Variance Data'!$E$2:$E$529,$C$7))*('Variance Data'!$K$2:$K$529=IF($C$8="Semua",'Variance Data'!$K$2:$K$529,$C$8))*1)</f>
        <v>14</v>
      </c>
      <c r="D35" s="495" cm="1">
        <f t="array" ref="D35">SUMPRODUCT((TRIM('Variance Data'!$B$2:$B$529)="SO. 003/TR/AVI/0126")*('Variance Data'!$E$2:$E$529=IF($C$7="Semua",'Variance Data'!$E$2:$E$529,$C$7))*('Variance Data'!$K$2:$K$529=IF($C$8="Semua",'Variance Data'!$K$2:$K$529,$C$8))*'Variance Data'!$L$2:$L$529)</f>
        <v>0</v>
      </c>
      <c r="E35" s="498">
        <f t="shared" si="0"/>
        <v>0</v>
      </c>
      <c r="F35" s="495" cm="1">
        <f t="array" ref="F35">SUMPRODUCT((TRIM('Variance Data'!$B$2:$B$529)="SO. 003/TR/AVI/0126")*('Variance Data'!$E$2:$E$529=IF($C$7="Semua",'Variance Data'!$E$2:$E$529,$C$7))*('Variance Data'!$K$2:$K$529=IF($C$8="Semua",'Variance Data'!$K$2:$K$529,$C$8))*'Variance Data'!$N$2:$N$529)</f>
        <v>0</v>
      </c>
      <c r="G35" s="495" cm="1">
        <f t="array" aca="1" ref="G35" ca="1">SUMPRODUCT((TRIM('Variance Data'!$B$2:$B$529)="SO. 003/TR/AVI/0126")*('Variance Data'!$E$2:$E$529=IF($C$7="Semua",'Variance Data'!$E$2:$E$529,$C$7))*('Variance Data'!$K$2:$K$529=IF($C$8="Semua",'Variance Data'!$K$2:$K$529,$C$8))*'Variance Data'!$P$2:$P$529)</f>
        <v>0</v>
      </c>
      <c r="H35" s="561" t="str" cm="1">
        <f t="array" aca="1" ref="H35" ca="1">IFERROR(SUMPRODUCT((TRIM('Variance Data'!$B$2:$B$529)="SO. 003/TR/AVI/0126")*('Variance Data'!$E$2:$E$529=IF($C$7="Semua",'Variance Data'!$E$2:$E$529,$C$7))*('Variance Data'!$K$2:$K$529=IF($C$8="Semua",'Variance Data'!$K$2:$K$529,$C$8))*'Variance Data'!$L$2:$L$529*'Variance Data'!$Q$2:$Q$529)/SUMPRODUCT((TRIM('Variance Data'!$B$2:$B$529)="SO. 003/TR/AVI/0126")*('Variance Data'!$E$2:$E$529=IF($C$7="Semua",'Variance Data'!$E$2:$E$529,$C$7))*('Variance Data'!$K$2:$K$529=IF($C$8="Semua",'Variance Data'!$K$2:$K$529,$C$8))*'Variance Data'!$L$2:$L$529),"")</f>
        <v/>
      </c>
    </row>
    <row r="36" spans="2:8" x14ac:dyDescent="0.25">
      <c r="B36" s="495" t="s">
        <v>58</v>
      </c>
      <c r="C36" s="495" cm="1">
        <f t="array" ref="C36">SUMPRODUCT((TRIM('Variance Data'!$B$2:$B$529)="SO. 004/TR/AVI/0226")*('Variance Data'!$E$2:$E$529=IF($C$7="Semua",'Variance Data'!$E$2:$E$529,$C$7))*('Variance Data'!$K$2:$K$529=IF($C$8="Semua",'Variance Data'!$K$2:$K$529,$C$8))*1)</f>
        <v>14</v>
      </c>
      <c r="D36" s="495" cm="1">
        <f t="array" ref="D36">SUMPRODUCT((TRIM('Variance Data'!$B$2:$B$529)="SO. 004/TR/AVI/0226")*('Variance Data'!$E$2:$E$529=IF($C$7="Semua",'Variance Data'!$E$2:$E$529,$C$7))*('Variance Data'!$K$2:$K$529=IF($C$8="Semua",'Variance Data'!$K$2:$K$529,$C$8))*'Variance Data'!$L$2:$L$529)</f>
        <v>0</v>
      </c>
      <c r="E36" s="498">
        <f t="shared" si="0"/>
        <v>0</v>
      </c>
      <c r="F36" s="495" cm="1">
        <f t="array" ref="F36">SUMPRODUCT((TRIM('Variance Data'!$B$2:$B$529)="SO. 004/TR/AVI/0226")*('Variance Data'!$E$2:$E$529=IF($C$7="Semua",'Variance Data'!$E$2:$E$529,$C$7))*('Variance Data'!$K$2:$K$529=IF($C$8="Semua",'Variance Data'!$K$2:$K$529,$C$8))*'Variance Data'!$N$2:$N$529)</f>
        <v>0</v>
      </c>
      <c r="G36" s="495" cm="1">
        <f t="array" aca="1" ref="G36" ca="1">SUMPRODUCT((TRIM('Variance Data'!$B$2:$B$529)="SO. 004/TR/AVI/0226")*('Variance Data'!$E$2:$E$529=IF($C$7="Semua",'Variance Data'!$E$2:$E$529,$C$7))*('Variance Data'!$K$2:$K$529=IF($C$8="Semua",'Variance Data'!$K$2:$K$529,$C$8))*'Variance Data'!$P$2:$P$529)</f>
        <v>14</v>
      </c>
      <c r="H36" s="561" t="str" cm="1">
        <f t="array" aca="1" ref="H36" ca="1">IFERROR(SUMPRODUCT((TRIM('Variance Data'!$B$2:$B$529)="SO. 004/TR/AVI/0226")*('Variance Data'!$E$2:$E$529=IF($C$7="Semua",'Variance Data'!$E$2:$E$529,$C$7))*('Variance Data'!$K$2:$K$529=IF($C$8="Semua",'Variance Data'!$K$2:$K$529,$C$8))*'Variance Data'!$L$2:$L$529*'Variance Data'!$Q$2:$Q$529)/SUMPRODUCT((TRIM('Variance Data'!$B$2:$B$529)="SO. 004/TR/AVI/0226")*('Variance Data'!$E$2:$E$529=IF($C$7="Semua",'Variance Data'!$E$2:$E$529,$C$7))*('Variance Data'!$K$2:$K$529=IF($C$8="Semua",'Variance Data'!$K$2:$K$529,$C$8))*'Variance Data'!$L$2:$L$529),"")</f>
        <v/>
      </c>
    </row>
    <row r="37" spans="2:8" x14ac:dyDescent="0.25">
      <c r="B37" s="495" t="s">
        <v>59</v>
      </c>
      <c r="C37" s="495" cm="1">
        <f t="array" ref="C37">SUMPRODUCT((TRIM('Variance Data'!$B$2:$B$529)="SO. 005/TR/AVI/0226")*('Variance Data'!$E$2:$E$529=IF($C$7="Semua",'Variance Data'!$E$2:$E$529,$C$7))*('Variance Data'!$K$2:$K$529=IF($C$8="Semua",'Variance Data'!$K$2:$K$529,$C$8))*1)</f>
        <v>14</v>
      </c>
      <c r="D37" s="495" cm="1">
        <f t="array" ref="D37">SUMPRODUCT((TRIM('Variance Data'!$B$2:$B$529)="SO. 005/TR/AVI/0226")*('Variance Data'!$E$2:$E$529=IF($C$7="Semua",'Variance Data'!$E$2:$E$529,$C$7))*('Variance Data'!$K$2:$K$529=IF($C$8="Semua",'Variance Data'!$K$2:$K$529,$C$8))*'Variance Data'!$L$2:$L$529)</f>
        <v>0</v>
      </c>
      <c r="E37" s="498">
        <f t="shared" si="0"/>
        <v>0</v>
      </c>
      <c r="F37" s="495" cm="1">
        <f t="array" ref="F37">SUMPRODUCT((TRIM('Variance Data'!$B$2:$B$529)="SO. 005/TR/AVI/0226")*('Variance Data'!$E$2:$E$529=IF($C$7="Semua",'Variance Data'!$E$2:$E$529,$C$7))*('Variance Data'!$K$2:$K$529=IF($C$8="Semua",'Variance Data'!$K$2:$K$529,$C$8))*'Variance Data'!$N$2:$N$529)</f>
        <v>0</v>
      </c>
      <c r="G37" s="495" cm="1">
        <f t="array" aca="1" ref="G37" ca="1">SUMPRODUCT((TRIM('Variance Data'!$B$2:$B$529)="SO. 005/TR/AVI/0226")*('Variance Data'!$E$2:$E$529=IF($C$7="Semua",'Variance Data'!$E$2:$E$529,$C$7))*('Variance Data'!$K$2:$K$529=IF($C$8="Semua",'Variance Data'!$K$2:$K$529,$C$8))*'Variance Data'!$P$2:$P$529)</f>
        <v>0</v>
      </c>
      <c r="H37" s="561" t="str" cm="1">
        <f t="array" aca="1" ref="H37" ca="1">IFERROR(SUMPRODUCT((TRIM('Variance Data'!$B$2:$B$529)="SO. 005/TR/AVI/0226")*('Variance Data'!$E$2:$E$529=IF($C$7="Semua",'Variance Data'!$E$2:$E$529,$C$7))*('Variance Data'!$K$2:$K$529=IF($C$8="Semua",'Variance Data'!$K$2:$K$529,$C$8))*'Variance Data'!$L$2:$L$529*'Variance Data'!$Q$2:$Q$529)/SUMPRODUCT((TRIM('Variance Data'!$B$2:$B$529)="SO. 005/TR/AVI/0226")*('Variance Data'!$E$2:$E$529=IF($C$7="Semua",'Variance Data'!$E$2:$E$529,$C$7))*('Variance Data'!$K$2:$K$529=IF($C$8="Semua",'Variance Data'!$K$2:$K$529,$C$8))*'Variance Data'!$L$2:$L$529),"")</f>
        <v/>
      </c>
    </row>
    <row r="38" spans="2:8" x14ac:dyDescent="0.25">
      <c r="B38" s="495" t="s">
        <v>60</v>
      </c>
      <c r="C38" s="495" cm="1">
        <f t="array" ref="C38">SUMPRODUCT((TRIM('Variance Data'!$B$2:$B$529)="SO. 006/TR/AVI/0226")*('Variance Data'!$E$2:$E$529=IF($C$7="Semua",'Variance Data'!$E$2:$E$529,$C$7))*('Variance Data'!$K$2:$K$529=IF($C$8="Semua",'Variance Data'!$K$2:$K$529,$C$8))*1)</f>
        <v>14</v>
      </c>
      <c r="D38" s="495" cm="1">
        <f t="array" ref="D38">SUMPRODUCT((TRIM('Variance Data'!$B$2:$B$529)="SO. 006/TR/AVI/0226")*('Variance Data'!$E$2:$E$529=IF($C$7="Semua",'Variance Data'!$E$2:$E$529,$C$7))*('Variance Data'!$K$2:$K$529=IF($C$8="Semua",'Variance Data'!$K$2:$K$529,$C$8))*'Variance Data'!$L$2:$L$529)</f>
        <v>0</v>
      </c>
      <c r="E38" s="498">
        <f t="shared" si="0"/>
        <v>0</v>
      </c>
      <c r="F38" s="495" cm="1">
        <f t="array" ref="F38">SUMPRODUCT((TRIM('Variance Data'!$B$2:$B$529)="SO. 006/TR/AVI/0226")*('Variance Data'!$E$2:$E$529=IF($C$7="Semua",'Variance Data'!$E$2:$E$529,$C$7))*('Variance Data'!$K$2:$K$529=IF($C$8="Semua",'Variance Data'!$K$2:$K$529,$C$8))*'Variance Data'!$N$2:$N$529)</f>
        <v>0</v>
      </c>
      <c r="G38" s="495" cm="1">
        <f t="array" aca="1" ref="G38" ca="1">SUMPRODUCT((TRIM('Variance Data'!$B$2:$B$529)="SO. 006/TR/AVI/0226")*('Variance Data'!$E$2:$E$529=IF($C$7="Semua",'Variance Data'!$E$2:$E$529,$C$7))*('Variance Data'!$K$2:$K$529=IF($C$8="Semua",'Variance Data'!$K$2:$K$529,$C$8))*'Variance Data'!$P$2:$P$529)</f>
        <v>1</v>
      </c>
      <c r="H38" s="561" t="str" cm="1">
        <f t="array" aca="1" ref="H38" ca="1">IFERROR(SUMPRODUCT((TRIM('Variance Data'!$B$2:$B$529)="SO. 006/TR/AVI/0226")*('Variance Data'!$E$2:$E$529=IF($C$7="Semua",'Variance Data'!$E$2:$E$529,$C$7))*('Variance Data'!$K$2:$K$529=IF($C$8="Semua",'Variance Data'!$K$2:$K$529,$C$8))*'Variance Data'!$L$2:$L$529*'Variance Data'!$Q$2:$Q$529)/SUMPRODUCT((TRIM('Variance Data'!$B$2:$B$529)="SO. 006/TR/AVI/0226")*('Variance Data'!$E$2:$E$529=IF($C$7="Semua",'Variance Data'!$E$2:$E$529,$C$7))*('Variance Data'!$K$2:$K$529=IF($C$8="Semua",'Variance Data'!$K$2:$K$529,$C$8))*'Variance Data'!$L$2:$L$529),"")</f>
        <v/>
      </c>
    </row>
    <row r="39" spans="2:8" x14ac:dyDescent="0.25">
      <c r="B39" s="495" t="s">
        <v>61</v>
      </c>
      <c r="C39" s="495" cm="1">
        <f t="array" ref="C39">SUMPRODUCT((TRIM('Variance Data'!$B$2:$B$529)="SO. 007/TR/AVI/0226")*('Variance Data'!$E$2:$E$529=IF($C$7="Semua",'Variance Data'!$E$2:$E$529,$C$7))*('Variance Data'!$K$2:$K$529=IF($C$8="Semua",'Variance Data'!$K$2:$K$529,$C$8))*1)</f>
        <v>14</v>
      </c>
      <c r="D39" s="495" cm="1">
        <f t="array" ref="D39">SUMPRODUCT((TRIM('Variance Data'!$B$2:$B$529)="SO. 007/TR/AVI/0226")*('Variance Data'!$E$2:$E$529=IF($C$7="Semua",'Variance Data'!$E$2:$E$529,$C$7))*('Variance Data'!$K$2:$K$529=IF($C$8="Semua",'Variance Data'!$K$2:$K$529,$C$8))*'Variance Data'!$L$2:$L$529)</f>
        <v>0</v>
      </c>
      <c r="E39" s="498">
        <f t="shared" si="0"/>
        <v>0</v>
      </c>
      <c r="F39" s="495" cm="1">
        <f t="array" ref="F39">SUMPRODUCT((TRIM('Variance Data'!$B$2:$B$529)="SO. 007/TR/AVI/0226")*('Variance Data'!$E$2:$E$529=IF($C$7="Semua",'Variance Data'!$E$2:$E$529,$C$7))*('Variance Data'!$K$2:$K$529=IF($C$8="Semua",'Variance Data'!$K$2:$K$529,$C$8))*'Variance Data'!$N$2:$N$529)</f>
        <v>0</v>
      </c>
      <c r="G39" s="495" cm="1">
        <f t="array" aca="1" ref="G39" ca="1">SUMPRODUCT((TRIM('Variance Data'!$B$2:$B$529)="SO. 007/TR/AVI/0226")*('Variance Data'!$E$2:$E$529=IF($C$7="Semua",'Variance Data'!$E$2:$E$529,$C$7))*('Variance Data'!$K$2:$K$529=IF($C$8="Semua",'Variance Data'!$K$2:$K$529,$C$8))*'Variance Data'!$P$2:$P$529)</f>
        <v>0</v>
      </c>
      <c r="H39" s="561" t="str" cm="1">
        <f t="array" aca="1" ref="H39" ca="1">IFERROR(SUMPRODUCT((TRIM('Variance Data'!$B$2:$B$529)="SO. 007/TR/AVI/0226")*('Variance Data'!$E$2:$E$529=IF($C$7="Semua",'Variance Data'!$E$2:$E$529,$C$7))*('Variance Data'!$K$2:$K$529=IF($C$8="Semua",'Variance Data'!$K$2:$K$529,$C$8))*'Variance Data'!$L$2:$L$529*'Variance Data'!$Q$2:$Q$529)/SUMPRODUCT((TRIM('Variance Data'!$B$2:$B$529)="SO. 007/TR/AVI/0226")*('Variance Data'!$E$2:$E$529=IF($C$7="Semua",'Variance Data'!$E$2:$E$529,$C$7))*('Variance Data'!$K$2:$K$529=IF($C$8="Semua",'Variance Data'!$K$2:$K$529,$C$8))*'Variance Data'!$L$2:$L$529),"")</f>
        <v/>
      </c>
    </row>
    <row r="40" spans="2:8" x14ac:dyDescent="0.25">
      <c r="B40" s="495" t="s">
        <v>62</v>
      </c>
      <c r="C40" s="495" cm="1">
        <f t="array" ref="C40">SUMPRODUCT((TRIM('Variance Data'!$B$2:$B$529)="SO. 008/TR/AVI/0326")*('Variance Data'!$E$2:$E$529=IF($C$7="Semua",'Variance Data'!$E$2:$E$529,$C$7))*('Variance Data'!$K$2:$K$529=IF($C$8="Semua",'Variance Data'!$K$2:$K$529,$C$8))*1)</f>
        <v>14</v>
      </c>
      <c r="D40" s="495" cm="1">
        <f t="array" ref="D40">SUMPRODUCT((TRIM('Variance Data'!$B$2:$B$529)="SO. 008/TR/AVI/0326")*('Variance Data'!$E$2:$E$529=IF($C$7="Semua",'Variance Data'!$E$2:$E$529,$C$7))*('Variance Data'!$K$2:$K$529=IF($C$8="Semua",'Variance Data'!$K$2:$K$529,$C$8))*'Variance Data'!$L$2:$L$529)</f>
        <v>0</v>
      </c>
      <c r="E40" s="498">
        <f t="shared" si="0"/>
        <v>0</v>
      </c>
      <c r="F40" s="495" cm="1">
        <f t="array" ref="F40">SUMPRODUCT((TRIM('Variance Data'!$B$2:$B$529)="SO. 008/TR/AVI/0326")*('Variance Data'!$E$2:$E$529=IF($C$7="Semua",'Variance Data'!$E$2:$E$529,$C$7))*('Variance Data'!$K$2:$K$529=IF($C$8="Semua",'Variance Data'!$K$2:$K$529,$C$8))*'Variance Data'!$N$2:$N$529)</f>
        <v>0</v>
      </c>
      <c r="G40" s="495" cm="1">
        <f t="array" aca="1" ref="G40" ca="1">SUMPRODUCT((TRIM('Variance Data'!$B$2:$B$529)="SO. 008/TR/AVI/0326")*('Variance Data'!$E$2:$E$529=IF($C$7="Semua",'Variance Data'!$E$2:$E$529,$C$7))*('Variance Data'!$K$2:$K$529=IF($C$8="Semua",'Variance Data'!$K$2:$K$529,$C$8))*'Variance Data'!$P$2:$P$529)</f>
        <v>0</v>
      </c>
      <c r="H40" s="561" t="str" cm="1">
        <f t="array" aca="1" ref="H40" ca="1">IFERROR(SUMPRODUCT((TRIM('Variance Data'!$B$2:$B$529)="SO. 008/TR/AVI/0326")*('Variance Data'!$E$2:$E$529=IF($C$7="Semua",'Variance Data'!$E$2:$E$529,$C$7))*('Variance Data'!$K$2:$K$529=IF($C$8="Semua",'Variance Data'!$K$2:$K$529,$C$8))*'Variance Data'!$L$2:$L$529*'Variance Data'!$Q$2:$Q$529)/SUMPRODUCT((TRIM('Variance Data'!$B$2:$B$529)="SO. 008/TR/AVI/0326")*('Variance Data'!$E$2:$E$529=IF($C$7="Semua",'Variance Data'!$E$2:$E$529,$C$7))*('Variance Data'!$K$2:$K$529=IF($C$8="Semua",'Variance Data'!$K$2:$K$529,$C$8))*'Variance Data'!$L$2:$L$529),"")</f>
        <v/>
      </c>
    </row>
    <row r="41" spans="2:8" x14ac:dyDescent="0.25">
      <c r="B41" s="495" t="s">
        <v>63</v>
      </c>
      <c r="C41" s="495" cm="1">
        <f t="array" ref="C41">SUMPRODUCT((TRIM('Variance Data'!$B$2:$B$529)="SO. 010/TR/AVI/0326")*('Variance Data'!$E$2:$E$529=IF($C$7="Semua",'Variance Data'!$E$2:$E$529,$C$7))*('Variance Data'!$K$2:$K$529=IF($C$8="Semua",'Variance Data'!$K$2:$K$529,$C$8))*1)</f>
        <v>14</v>
      </c>
      <c r="D41" s="495" cm="1">
        <f t="array" ref="D41">SUMPRODUCT((TRIM('Variance Data'!$B$2:$B$529)="SO. 010/TR/AVI/0326")*('Variance Data'!$E$2:$E$529=IF($C$7="Semua",'Variance Data'!$E$2:$E$529,$C$7))*('Variance Data'!$K$2:$K$529=IF($C$8="Semua",'Variance Data'!$K$2:$K$529,$C$8))*'Variance Data'!$L$2:$L$529)</f>
        <v>0</v>
      </c>
      <c r="E41" s="498">
        <f t="shared" si="0"/>
        <v>0</v>
      </c>
      <c r="F41" s="495" cm="1">
        <f t="array" ref="F41">SUMPRODUCT((TRIM('Variance Data'!$B$2:$B$529)="SO. 010/TR/AVI/0326")*('Variance Data'!$E$2:$E$529=IF($C$7="Semua",'Variance Data'!$E$2:$E$529,$C$7))*('Variance Data'!$K$2:$K$529=IF($C$8="Semua",'Variance Data'!$K$2:$K$529,$C$8))*'Variance Data'!$N$2:$N$529)</f>
        <v>0</v>
      </c>
      <c r="G41" s="495" cm="1">
        <f t="array" aca="1" ref="G41" ca="1">SUMPRODUCT((TRIM('Variance Data'!$B$2:$B$529)="SO. 010/TR/AVI/0326")*('Variance Data'!$E$2:$E$529=IF($C$7="Semua",'Variance Data'!$E$2:$E$529,$C$7))*('Variance Data'!$K$2:$K$529=IF($C$8="Semua",'Variance Data'!$K$2:$K$529,$C$8))*'Variance Data'!$P$2:$P$529)</f>
        <v>14</v>
      </c>
      <c r="H41" s="561" t="str" cm="1">
        <f t="array" aca="1" ref="H41" ca="1">IFERROR(SUMPRODUCT((TRIM('Variance Data'!$B$2:$B$529)="SO. 010/TR/AVI/0326")*('Variance Data'!$E$2:$E$529=IF($C$7="Semua",'Variance Data'!$E$2:$E$529,$C$7))*('Variance Data'!$K$2:$K$529=IF($C$8="Semua",'Variance Data'!$K$2:$K$529,$C$8))*'Variance Data'!$L$2:$L$529*'Variance Data'!$Q$2:$Q$529)/SUMPRODUCT((TRIM('Variance Data'!$B$2:$B$529)="SO. 010/TR/AVI/0326")*('Variance Data'!$E$2:$E$529=IF($C$7="Semua",'Variance Data'!$E$2:$E$529,$C$7))*('Variance Data'!$K$2:$K$529=IF($C$8="Semua",'Variance Data'!$K$2:$K$529,$C$8))*'Variance Data'!$L$2:$L$529),"")</f>
        <v/>
      </c>
    </row>
    <row r="42" spans="2:8" x14ac:dyDescent="0.25">
      <c r="B42" s="495" t="s">
        <v>64</v>
      </c>
      <c r="C42" s="495" cm="1">
        <f t="array" ref="C42">SUMPRODUCT((TRIM('Variance Data'!$B$2:$B$529)="SO. 012/TR/AVI/0326")*('Variance Data'!$E$2:$E$529=IF($C$7="Semua",'Variance Data'!$E$2:$E$529,$C$7))*('Variance Data'!$K$2:$K$529=IF($C$8="Semua",'Variance Data'!$K$2:$K$529,$C$8))*1)</f>
        <v>14</v>
      </c>
      <c r="D42" s="495" cm="1">
        <f t="array" ref="D42">SUMPRODUCT((TRIM('Variance Data'!$B$2:$B$529)="SO. 012/TR/AVI/0326")*('Variance Data'!$E$2:$E$529=IF($C$7="Semua",'Variance Data'!$E$2:$E$529,$C$7))*('Variance Data'!$K$2:$K$529=IF($C$8="Semua",'Variance Data'!$K$2:$K$529,$C$8))*'Variance Data'!$L$2:$L$529)</f>
        <v>0</v>
      </c>
      <c r="E42" s="498">
        <f t="shared" si="0"/>
        <v>0</v>
      </c>
      <c r="F42" s="495" cm="1">
        <f t="array" ref="F42">SUMPRODUCT((TRIM('Variance Data'!$B$2:$B$529)="SO. 012/TR/AVI/0326")*('Variance Data'!$E$2:$E$529=IF($C$7="Semua",'Variance Data'!$E$2:$E$529,$C$7))*('Variance Data'!$K$2:$K$529=IF($C$8="Semua",'Variance Data'!$K$2:$K$529,$C$8))*'Variance Data'!$N$2:$N$529)</f>
        <v>0</v>
      </c>
      <c r="G42" s="495" cm="1">
        <f t="array" aca="1" ref="G42" ca="1">SUMPRODUCT((TRIM('Variance Data'!$B$2:$B$529)="SO. 012/TR/AVI/0326")*('Variance Data'!$E$2:$E$529=IF($C$7="Semua",'Variance Data'!$E$2:$E$529,$C$7))*('Variance Data'!$K$2:$K$529=IF($C$8="Semua",'Variance Data'!$K$2:$K$529,$C$8))*'Variance Data'!$P$2:$P$529)</f>
        <v>0</v>
      </c>
      <c r="H42" s="561" t="str" cm="1">
        <f t="array" aca="1" ref="H42" ca="1">IFERROR(SUMPRODUCT((TRIM('Variance Data'!$B$2:$B$529)="SO. 012/TR/AVI/0326")*('Variance Data'!$E$2:$E$529=IF($C$7="Semua",'Variance Data'!$E$2:$E$529,$C$7))*('Variance Data'!$K$2:$K$529=IF($C$8="Semua",'Variance Data'!$K$2:$K$529,$C$8))*'Variance Data'!$L$2:$L$529*'Variance Data'!$Q$2:$Q$529)/SUMPRODUCT((TRIM('Variance Data'!$B$2:$B$529)="SO. 012/TR/AVI/0326")*('Variance Data'!$E$2:$E$529=IF($C$7="Semua",'Variance Data'!$E$2:$E$529,$C$7))*('Variance Data'!$K$2:$K$529=IF($C$8="Semua",'Variance Data'!$K$2:$K$529,$C$8))*'Variance Data'!$L$2:$L$529),"")</f>
        <v/>
      </c>
    </row>
    <row r="43" spans="2:8" x14ac:dyDescent="0.25">
      <c r="B43" s="495" t="s">
        <v>65</v>
      </c>
      <c r="C43" s="495" cm="1">
        <f t="array" ref="C43">SUMPRODUCT((TRIM('Variance Data'!$B$2:$B$529)="SO. 013/TR/AVI/0326")*('Variance Data'!$E$2:$E$529=IF($C$7="Semua",'Variance Data'!$E$2:$E$529,$C$7))*('Variance Data'!$K$2:$K$529=IF($C$8="Semua",'Variance Data'!$K$2:$K$529,$C$8))*1)</f>
        <v>14</v>
      </c>
      <c r="D43" s="495" cm="1">
        <f t="array" ref="D43">SUMPRODUCT((TRIM('Variance Data'!$B$2:$B$529)="SO. 013/TR/AVI/0326")*('Variance Data'!$E$2:$E$529=IF($C$7="Semua",'Variance Data'!$E$2:$E$529,$C$7))*('Variance Data'!$K$2:$K$529=IF($C$8="Semua",'Variance Data'!$K$2:$K$529,$C$8))*'Variance Data'!$L$2:$L$529)</f>
        <v>0</v>
      </c>
      <c r="E43" s="498">
        <f t="shared" si="0"/>
        <v>0</v>
      </c>
      <c r="F43" s="495" cm="1">
        <f t="array" ref="F43">SUMPRODUCT((TRIM('Variance Data'!$B$2:$B$529)="SO. 013/TR/AVI/0326")*('Variance Data'!$E$2:$E$529=IF($C$7="Semua",'Variance Data'!$E$2:$E$529,$C$7))*('Variance Data'!$K$2:$K$529=IF($C$8="Semua",'Variance Data'!$K$2:$K$529,$C$8))*'Variance Data'!$N$2:$N$529)</f>
        <v>0</v>
      </c>
      <c r="G43" s="495" cm="1">
        <f t="array" aca="1" ref="G43" ca="1">SUMPRODUCT((TRIM('Variance Data'!$B$2:$B$529)="SO. 013/TR/AVI/0326")*('Variance Data'!$E$2:$E$529=IF($C$7="Semua",'Variance Data'!$E$2:$E$529,$C$7))*('Variance Data'!$K$2:$K$529=IF($C$8="Semua",'Variance Data'!$K$2:$K$529,$C$8))*'Variance Data'!$P$2:$P$529)</f>
        <v>0</v>
      </c>
      <c r="H43" s="561" t="str" cm="1">
        <f t="array" aca="1" ref="H43" ca="1">IFERROR(SUMPRODUCT((TRIM('Variance Data'!$B$2:$B$529)="SO. 013/TR/AVI/0326")*('Variance Data'!$E$2:$E$529=IF($C$7="Semua",'Variance Data'!$E$2:$E$529,$C$7))*('Variance Data'!$K$2:$K$529=IF($C$8="Semua",'Variance Data'!$K$2:$K$529,$C$8))*'Variance Data'!$L$2:$L$529*'Variance Data'!$Q$2:$Q$529)/SUMPRODUCT((TRIM('Variance Data'!$B$2:$B$529)="SO. 013/TR/AVI/0326")*('Variance Data'!$E$2:$E$529=IF($C$7="Semua",'Variance Data'!$E$2:$E$529,$C$7))*('Variance Data'!$K$2:$K$529=IF($C$8="Semua",'Variance Data'!$K$2:$K$529,$C$8))*'Variance Data'!$L$2:$L$529),"")</f>
        <v/>
      </c>
    </row>
    <row r="44" spans="2:8" x14ac:dyDescent="0.25">
      <c r="B44" s="495" t="s">
        <v>66</v>
      </c>
      <c r="C44" s="495" cm="1">
        <f t="array" ref="C44">SUMPRODUCT((TRIM('Variance Data'!$B$2:$B$529)="SO. 014/TR/AVI/0426")*('Variance Data'!$E$2:$E$529=IF($C$7="Semua",'Variance Data'!$E$2:$E$529,$C$7))*('Variance Data'!$K$2:$K$529=IF($C$8="Semua",'Variance Data'!$K$2:$K$529,$C$8))*1)</f>
        <v>14</v>
      </c>
      <c r="D44" s="495" cm="1">
        <f t="array" ref="D44">SUMPRODUCT((TRIM('Variance Data'!$B$2:$B$529)="SO. 014/TR/AVI/0426")*('Variance Data'!$E$2:$E$529=IF($C$7="Semua",'Variance Data'!$E$2:$E$529,$C$7))*('Variance Data'!$K$2:$K$529=IF($C$8="Semua",'Variance Data'!$K$2:$K$529,$C$8))*'Variance Data'!$L$2:$L$529)</f>
        <v>0</v>
      </c>
      <c r="E44" s="498">
        <f t="shared" si="0"/>
        <v>0</v>
      </c>
      <c r="F44" s="495" cm="1">
        <f t="array" ref="F44">SUMPRODUCT((TRIM('Variance Data'!$B$2:$B$529)="SO. 014/TR/AVI/0426")*('Variance Data'!$E$2:$E$529=IF($C$7="Semua",'Variance Data'!$E$2:$E$529,$C$7))*('Variance Data'!$K$2:$K$529=IF($C$8="Semua",'Variance Data'!$K$2:$K$529,$C$8))*'Variance Data'!$N$2:$N$529)</f>
        <v>0</v>
      </c>
      <c r="G44" s="495" cm="1">
        <f t="array" aca="1" ref="G44" ca="1">SUMPRODUCT((TRIM('Variance Data'!$B$2:$B$529)="SO. 014/TR/AVI/0426")*('Variance Data'!$E$2:$E$529=IF($C$7="Semua",'Variance Data'!$E$2:$E$529,$C$7))*('Variance Data'!$K$2:$K$529=IF($C$8="Semua",'Variance Data'!$K$2:$K$529,$C$8))*'Variance Data'!$P$2:$P$529)</f>
        <v>0</v>
      </c>
      <c r="H44" s="561" t="str" cm="1">
        <f t="array" aca="1" ref="H44" ca="1">IFERROR(SUMPRODUCT((TRIM('Variance Data'!$B$2:$B$529)="SO. 014/TR/AVI/0426")*('Variance Data'!$E$2:$E$529=IF($C$7="Semua",'Variance Data'!$E$2:$E$529,$C$7))*('Variance Data'!$K$2:$K$529=IF($C$8="Semua",'Variance Data'!$K$2:$K$529,$C$8))*'Variance Data'!$L$2:$L$529*'Variance Data'!$Q$2:$Q$529)/SUMPRODUCT((TRIM('Variance Data'!$B$2:$B$529)="SO. 014/TR/AVI/0426")*('Variance Data'!$E$2:$E$529=IF($C$7="Semua",'Variance Data'!$E$2:$E$529,$C$7))*('Variance Data'!$K$2:$K$529=IF($C$8="Semua",'Variance Data'!$K$2:$K$529,$C$8))*'Variance Data'!$L$2:$L$529),"")</f>
        <v/>
      </c>
    </row>
    <row r="45" spans="2:8" x14ac:dyDescent="0.25">
      <c r="B45" s="495" t="s">
        <v>67</v>
      </c>
      <c r="C45" s="495" cm="1">
        <f t="array" ref="C45">SUMPRODUCT((TRIM('Variance Data'!$B$2:$B$529)="SO. 015/TR/AVI/0426")*('Variance Data'!$E$2:$E$529=IF($C$7="Semua",'Variance Data'!$E$2:$E$529,$C$7))*('Variance Data'!$K$2:$K$529=IF($C$8="Semua",'Variance Data'!$K$2:$K$529,$C$8))*1)</f>
        <v>14</v>
      </c>
      <c r="D45" s="495" cm="1">
        <f t="array" ref="D45">SUMPRODUCT((TRIM('Variance Data'!$B$2:$B$529)="SO. 015/TR/AVI/0426")*('Variance Data'!$E$2:$E$529=IF($C$7="Semua",'Variance Data'!$E$2:$E$529,$C$7))*('Variance Data'!$K$2:$K$529=IF($C$8="Semua",'Variance Data'!$K$2:$K$529,$C$8))*'Variance Data'!$L$2:$L$529)</f>
        <v>0</v>
      </c>
      <c r="E45" s="498">
        <f t="shared" si="0"/>
        <v>0</v>
      </c>
      <c r="F45" s="495" cm="1">
        <f t="array" ref="F45">SUMPRODUCT((TRIM('Variance Data'!$B$2:$B$529)="SO. 015/TR/AVI/0426")*('Variance Data'!$E$2:$E$529=IF($C$7="Semua",'Variance Data'!$E$2:$E$529,$C$7))*('Variance Data'!$K$2:$K$529=IF($C$8="Semua",'Variance Data'!$K$2:$K$529,$C$8))*'Variance Data'!$N$2:$N$529)</f>
        <v>0</v>
      </c>
      <c r="G45" s="495" cm="1">
        <f t="array" aca="1" ref="G45" ca="1">SUMPRODUCT((TRIM('Variance Data'!$B$2:$B$529)="SO. 015/TR/AVI/0426")*('Variance Data'!$E$2:$E$529=IF($C$7="Semua",'Variance Data'!$E$2:$E$529,$C$7))*('Variance Data'!$K$2:$K$529=IF($C$8="Semua",'Variance Data'!$K$2:$K$529,$C$8))*'Variance Data'!$P$2:$P$529)</f>
        <v>14</v>
      </c>
      <c r="H45" s="561" t="str" cm="1">
        <f t="array" aca="1" ref="H45" ca="1">IFERROR(SUMPRODUCT((TRIM('Variance Data'!$B$2:$B$529)="SO. 015/TR/AVI/0426")*('Variance Data'!$E$2:$E$529=IF($C$7="Semua",'Variance Data'!$E$2:$E$529,$C$7))*('Variance Data'!$K$2:$K$529=IF($C$8="Semua",'Variance Data'!$K$2:$K$529,$C$8))*'Variance Data'!$L$2:$L$529*'Variance Data'!$Q$2:$Q$529)/SUMPRODUCT((TRIM('Variance Data'!$B$2:$B$529)="SO. 015/TR/AVI/0426")*('Variance Data'!$E$2:$E$529=IF($C$7="Semua",'Variance Data'!$E$2:$E$529,$C$7))*('Variance Data'!$K$2:$K$529=IF($C$8="Semua",'Variance Data'!$K$2:$K$529,$C$8))*'Variance Data'!$L$2:$L$529),"")</f>
        <v/>
      </c>
    </row>
    <row r="46" spans="2:8" x14ac:dyDescent="0.25">
      <c r="B46" s="495" t="s">
        <v>68</v>
      </c>
      <c r="C46" s="495" cm="1">
        <f t="array" ref="C46">SUMPRODUCT((TRIM('Variance Data'!$B$2:$B$529)="SO. 016/TR/AVI/0426")*('Variance Data'!$E$2:$E$529=IF($C$7="Semua",'Variance Data'!$E$2:$E$529,$C$7))*('Variance Data'!$K$2:$K$529=IF($C$8="Semua",'Variance Data'!$K$2:$K$529,$C$8))*1)</f>
        <v>14</v>
      </c>
      <c r="D46" s="495" cm="1">
        <f t="array" ref="D46">SUMPRODUCT((TRIM('Variance Data'!$B$2:$B$529)="SO. 016/TR/AVI/0426")*('Variance Data'!$E$2:$E$529=IF($C$7="Semua",'Variance Data'!$E$2:$E$529,$C$7))*('Variance Data'!$K$2:$K$529=IF($C$8="Semua",'Variance Data'!$K$2:$K$529,$C$8))*'Variance Data'!$L$2:$L$529)</f>
        <v>0</v>
      </c>
      <c r="E46" s="498">
        <f t="shared" si="0"/>
        <v>0</v>
      </c>
      <c r="F46" s="495" cm="1">
        <f t="array" ref="F46">SUMPRODUCT((TRIM('Variance Data'!$B$2:$B$529)="SO. 016/TR/AVI/0426")*('Variance Data'!$E$2:$E$529=IF($C$7="Semua",'Variance Data'!$E$2:$E$529,$C$7))*('Variance Data'!$K$2:$K$529=IF($C$8="Semua",'Variance Data'!$K$2:$K$529,$C$8))*'Variance Data'!$N$2:$N$529)</f>
        <v>0</v>
      </c>
      <c r="G46" s="495" cm="1">
        <f t="array" aca="1" ref="G46" ca="1">SUMPRODUCT((TRIM('Variance Data'!$B$2:$B$529)="SO. 016/TR/AVI/0426")*('Variance Data'!$E$2:$E$529=IF($C$7="Semua",'Variance Data'!$E$2:$E$529,$C$7))*('Variance Data'!$K$2:$K$529=IF($C$8="Semua",'Variance Data'!$K$2:$K$529,$C$8))*'Variance Data'!$P$2:$P$529)</f>
        <v>0</v>
      </c>
      <c r="H46" s="561" t="str" cm="1">
        <f t="array" aca="1" ref="H46" ca="1">IFERROR(SUMPRODUCT((TRIM('Variance Data'!$B$2:$B$529)="SO. 016/TR/AVI/0426")*('Variance Data'!$E$2:$E$529=IF($C$7="Semua",'Variance Data'!$E$2:$E$529,$C$7))*('Variance Data'!$K$2:$K$529=IF($C$8="Semua",'Variance Data'!$K$2:$K$529,$C$8))*'Variance Data'!$L$2:$L$529*'Variance Data'!$Q$2:$Q$529)/SUMPRODUCT((TRIM('Variance Data'!$B$2:$B$529)="SO. 016/TR/AVI/0426")*('Variance Data'!$E$2:$E$529=IF($C$7="Semua",'Variance Data'!$E$2:$E$529,$C$7))*('Variance Data'!$K$2:$K$529=IF($C$8="Semua",'Variance Data'!$K$2:$K$529,$C$8))*'Variance Data'!$L$2:$L$529),"")</f>
        <v/>
      </c>
    </row>
    <row r="47" spans="2:8" x14ac:dyDescent="0.25">
      <c r="B47" s="495" t="s">
        <v>69</v>
      </c>
      <c r="C47" s="495" cm="1">
        <f t="array" ref="C47">SUMPRODUCT((TRIM('Variance Data'!$B$2:$B$529)="SO. 017/TR/AVI/0426")*('Variance Data'!$E$2:$E$529=IF($C$7="Semua",'Variance Data'!$E$2:$E$529,$C$7))*('Variance Data'!$K$2:$K$529=IF($C$8="Semua",'Variance Data'!$K$2:$K$529,$C$8))*1)</f>
        <v>14</v>
      </c>
      <c r="D47" s="495" cm="1">
        <f t="array" ref="D47">SUMPRODUCT((TRIM('Variance Data'!$B$2:$B$529)="SO. 017/TR/AVI/0426")*('Variance Data'!$E$2:$E$529=IF($C$7="Semua",'Variance Data'!$E$2:$E$529,$C$7))*('Variance Data'!$K$2:$K$529=IF($C$8="Semua",'Variance Data'!$K$2:$K$529,$C$8))*'Variance Data'!$L$2:$L$529)</f>
        <v>0</v>
      </c>
      <c r="E47" s="498">
        <f t="shared" si="0"/>
        <v>0</v>
      </c>
      <c r="F47" s="495" cm="1">
        <f t="array" ref="F47">SUMPRODUCT((TRIM('Variance Data'!$B$2:$B$529)="SO. 017/TR/AVI/0426")*('Variance Data'!$E$2:$E$529=IF($C$7="Semua",'Variance Data'!$E$2:$E$529,$C$7))*('Variance Data'!$K$2:$K$529=IF($C$8="Semua",'Variance Data'!$K$2:$K$529,$C$8))*'Variance Data'!$N$2:$N$529)</f>
        <v>0</v>
      </c>
      <c r="G47" s="495" cm="1">
        <f t="array" aca="1" ref="G47" ca="1">SUMPRODUCT((TRIM('Variance Data'!$B$2:$B$529)="SO. 017/TR/AVI/0426")*('Variance Data'!$E$2:$E$529=IF($C$7="Semua",'Variance Data'!$E$2:$E$529,$C$7))*('Variance Data'!$K$2:$K$529=IF($C$8="Semua",'Variance Data'!$K$2:$K$529,$C$8))*'Variance Data'!$P$2:$P$529)</f>
        <v>0</v>
      </c>
      <c r="H47" s="561" t="str" cm="1">
        <f t="array" aca="1" ref="H47" ca="1">IFERROR(SUMPRODUCT((TRIM('Variance Data'!$B$2:$B$529)="SO. 017/TR/AVI/0426")*('Variance Data'!$E$2:$E$529=IF($C$7="Semua",'Variance Data'!$E$2:$E$529,$C$7))*('Variance Data'!$K$2:$K$529=IF($C$8="Semua",'Variance Data'!$K$2:$K$529,$C$8))*'Variance Data'!$L$2:$L$529*'Variance Data'!$Q$2:$Q$529)/SUMPRODUCT((TRIM('Variance Data'!$B$2:$B$529)="SO. 017/TR/AVI/0426")*('Variance Data'!$E$2:$E$529=IF($C$7="Semua",'Variance Data'!$E$2:$E$529,$C$7))*('Variance Data'!$K$2:$K$529=IF($C$8="Semua",'Variance Data'!$K$2:$K$529,$C$8))*'Variance Data'!$L$2:$L$529),"")</f>
        <v/>
      </c>
    </row>
    <row r="48" spans="2:8" x14ac:dyDescent="0.25">
      <c r="B48" s="495" t="s">
        <v>70</v>
      </c>
      <c r="C48" s="495" cm="1">
        <f t="array" ref="C48">SUMPRODUCT((TRIM('Variance Data'!$B$2:$B$529)="SO. 018/TR/AVI/0426")*('Variance Data'!$E$2:$E$529=IF($C$7="Semua",'Variance Data'!$E$2:$E$529,$C$7))*('Variance Data'!$K$2:$K$529=IF($C$8="Semua",'Variance Data'!$K$2:$K$529,$C$8))*1)</f>
        <v>14</v>
      </c>
      <c r="D48" s="495" cm="1">
        <f t="array" ref="D48">SUMPRODUCT((TRIM('Variance Data'!$B$2:$B$529)="SO. 018/TR/AVI/0426")*('Variance Data'!$E$2:$E$529=IF($C$7="Semua",'Variance Data'!$E$2:$E$529,$C$7))*('Variance Data'!$K$2:$K$529=IF($C$8="Semua",'Variance Data'!$K$2:$K$529,$C$8))*'Variance Data'!$L$2:$L$529)</f>
        <v>0</v>
      </c>
      <c r="E48" s="498">
        <f t="shared" si="0"/>
        <v>0</v>
      </c>
      <c r="F48" s="495" cm="1">
        <f t="array" ref="F48">SUMPRODUCT((TRIM('Variance Data'!$B$2:$B$529)="SO. 018/TR/AVI/0426")*('Variance Data'!$E$2:$E$529=IF($C$7="Semua",'Variance Data'!$E$2:$E$529,$C$7))*('Variance Data'!$K$2:$K$529=IF($C$8="Semua",'Variance Data'!$K$2:$K$529,$C$8))*'Variance Data'!$N$2:$N$529)</f>
        <v>0</v>
      </c>
      <c r="G48" s="495" cm="1">
        <f t="array" aca="1" ref="G48" ca="1">SUMPRODUCT((TRIM('Variance Data'!$B$2:$B$529)="SO. 018/TR/AVI/0426")*('Variance Data'!$E$2:$E$529=IF($C$7="Semua",'Variance Data'!$E$2:$E$529,$C$7))*('Variance Data'!$K$2:$K$529=IF($C$8="Semua",'Variance Data'!$K$2:$K$529,$C$8))*'Variance Data'!$P$2:$P$529)</f>
        <v>0</v>
      </c>
      <c r="H48" s="561" t="str" cm="1">
        <f t="array" aca="1" ref="H48" ca="1">IFERROR(SUMPRODUCT((TRIM('Variance Data'!$B$2:$B$529)="SO. 018/TR/AVI/0426")*('Variance Data'!$E$2:$E$529=IF($C$7="Semua",'Variance Data'!$E$2:$E$529,$C$7))*('Variance Data'!$K$2:$K$529=IF($C$8="Semua",'Variance Data'!$K$2:$K$529,$C$8))*'Variance Data'!$L$2:$L$529*'Variance Data'!$Q$2:$Q$529)/SUMPRODUCT((TRIM('Variance Data'!$B$2:$B$529)="SO. 018/TR/AVI/0426")*('Variance Data'!$E$2:$E$529=IF($C$7="Semua",'Variance Data'!$E$2:$E$529,$C$7))*('Variance Data'!$K$2:$K$529=IF($C$8="Semua",'Variance Data'!$K$2:$K$529,$C$8))*'Variance Data'!$L$2:$L$529),"")</f>
        <v/>
      </c>
    </row>
    <row r="49" spans="2:8" x14ac:dyDescent="0.25">
      <c r="B49" s="495" t="s">
        <v>71</v>
      </c>
      <c r="C49" s="495" cm="1">
        <f t="array" ref="C49">SUMPRODUCT((TRIM('Variance Data'!$B$2:$B$529)="SO. 019/TR/AVI/0426")*('Variance Data'!$E$2:$E$529=IF($C$7="Semua",'Variance Data'!$E$2:$E$529,$C$7))*('Variance Data'!$K$2:$K$529=IF($C$8="Semua",'Variance Data'!$K$2:$K$529,$C$8))*1)</f>
        <v>14</v>
      </c>
      <c r="D49" s="495" cm="1">
        <f t="array" ref="D49">SUMPRODUCT((TRIM('Variance Data'!$B$2:$B$529)="SO. 019/TR/AVI/0426")*('Variance Data'!$E$2:$E$529=IF($C$7="Semua",'Variance Data'!$E$2:$E$529,$C$7))*('Variance Data'!$K$2:$K$529=IF($C$8="Semua",'Variance Data'!$K$2:$K$529,$C$8))*'Variance Data'!$L$2:$L$529)</f>
        <v>0</v>
      </c>
      <c r="E49" s="498">
        <f t="shared" si="0"/>
        <v>0</v>
      </c>
      <c r="F49" s="495" cm="1">
        <f t="array" ref="F49">SUMPRODUCT((TRIM('Variance Data'!$B$2:$B$529)="SO. 019/TR/AVI/0426")*('Variance Data'!$E$2:$E$529=IF($C$7="Semua",'Variance Data'!$E$2:$E$529,$C$7))*('Variance Data'!$K$2:$K$529=IF($C$8="Semua",'Variance Data'!$K$2:$K$529,$C$8))*'Variance Data'!$N$2:$N$529)</f>
        <v>0</v>
      </c>
      <c r="G49" s="495" cm="1">
        <f t="array" aca="1" ref="G49" ca="1">SUMPRODUCT((TRIM('Variance Data'!$B$2:$B$529)="SO. 019/TR/AVI/0426")*('Variance Data'!$E$2:$E$529=IF($C$7="Semua",'Variance Data'!$E$2:$E$529,$C$7))*('Variance Data'!$K$2:$K$529=IF($C$8="Semua",'Variance Data'!$K$2:$K$529,$C$8))*'Variance Data'!$P$2:$P$529)</f>
        <v>0</v>
      </c>
      <c r="H49" s="561" t="str" cm="1">
        <f t="array" aca="1" ref="H49" ca="1">IFERROR(SUMPRODUCT((TRIM('Variance Data'!$B$2:$B$529)="SO. 019/TR/AVI/0426")*('Variance Data'!$E$2:$E$529=IF($C$7="Semua",'Variance Data'!$E$2:$E$529,$C$7))*('Variance Data'!$K$2:$K$529=IF($C$8="Semua",'Variance Data'!$K$2:$K$529,$C$8))*'Variance Data'!$L$2:$L$529*'Variance Data'!$Q$2:$Q$529)/SUMPRODUCT((TRIM('Variance Data'!$B$2:$B$529)="SO. 019/TR/AVI/0426")*('Variance Data'!$E$2:$E$529=IF($C$7="Semua",'Variance Data'!$E$2:$E$529,$C$7))*('Variance Data'!$K$2:$K$529=IF($C$8="Semua",'Variance Data'!$K$2:$K$529,$C$8))*'Variance Data'!$L$2:$L$529),"")</f>
        <v/>
      </c>
    </row>
    <row r="50" spans="2:8" x14ac:dyDescent="0.25">
      <c r="B50" s="495" t="s">
        <v>1449</v>
      </c>
      <c r="C50" s="495" cm="1">
        <f t="array" ref="C50">SUMPRODUCT((TRIM('Variance Data'!$B$2:$B$529)="SO. 020/TR/AVI/0526")*('Variance Data'!$E$2:$E$529=IF($C$7="Semua",'Variance Data'!$E$2:$E$529,$C$7))*('Variance Data'!$K$2:$K$529=IF($C$8="Semua",'Variance Data'!$K$2:$K$529,$C$8))*1)</f>
        <v>14</v>
      </c>
      <c r="D50" s="495" cm="1">
        <f t="array" ref="D50">SUMPRODUCT((TRIM('Variance Data'!$B$2:$B$529)="SO. 020/TR/AVI/0526")*('Variance Data'!$E$2:$E$529=IF($C$7="Semua",'Variance Data'!$E$2:$E$529,$C$7))*('Variance Data'!$K$2:$K$529=IF($C$8="Semua",'Variance Data'!$K$2:$K$529,$C$8))*'Variance Data'!$L$2:$L$529)</f>
        <v>0</v>
      </c>
      <c r="E50" s="498">
        <f t="shared" si="0"/>
        <v>0</v>
      </c>
      <c r="F50" s="495" cm="1">
        <f t="array" ref="F50">SUMPRODUCT((TRIM('Variance Data'!$B$2:$B$529)="SO. 020/TR/AVI/0526")*('Variance Data'!$E$2:$E$529=IF($C$7="Semua",'Variance Data'!$E$2:$E$529,$C$7))*('Variance Data'!$K$2:$K$529=IF($C$8="Semua",'Variance Data'!$K$2:$K$529,$C$8))*'Variance Data'!$N$2:$N$529)</f>
        <v>0</v>
      </c>
      <c r="G50" s="495" cm="1">
        <f t="array" aca="1" ref="G50" ca="1">SUMPRODUCT((TRIM('Variance Data'!$B$2:$B$529)="SO. 020/TR/AVI/0526")*('Variance Data'!$E$2:$E$529=IF($C$7="Semua",'Variance Data'!$E$2:$E$529,$C$7))*('Variance Data'!$K$2:$K$529=IF($C$8="Semua",'Variance Data'!$K$2:$K$529,$C$8))*'Variance Data'!$P$2:$P$529)</f>
        <v>0</v>
      </c>
      <c r="H50" s="561" t="str" cm="1">
        <f t="array" aca="1" ref="H50" ca="1">IFERROR(SUMPRODUCT((TRIM('Variance Data'!$B$2:$B$529)="SO. 020/TR/AVI/0526")*('Variance Data'!$E$2:$E$529=IF($C$7="Semua",'Variance Data'!$E$2:$E$529,$C$7))*('Variance Data'!$K$2:$K$529=IF($C$8="Semua",'Variance Data'!$K$2:$K$529,$C$8))*'Variance Data'!$L$2:$L$529*'Variance Data'!$Q$2:$Q$529)/SUMPRODUCT((TRIM('Variance Data'!$B$2:$B$529)="SO. 020/TR/AVI/0526")*('Variance Data'!$E$2:$E$529=IF($C$7="Semua",'Variance Data'!$E$2:$E$529,$C$7))*('Variance Data'!$K$2:$K$529=IF($C$8="Semua",'Variance Data'!$K$2:$K$529,$C$8))*'Variance Data'!$L$2:$L$529),"")</f>
        <v/>
      </c>
    </row>
    <row r="51" spans="2:8" x14ac:dyDescent="0.25">
      <c r="B51" s="532" t="s">
        <v>57</v>
      </c>
      <c r="C51" s="495" cm="1">
        <f t="array" ref="C51">SUMPRODUCT((TRIM('Variance Data'!$B$2:$B$529)="SO. 003/TR/AVI/0126")*('Variance Data'!$E$2:$E$529=IF($C$7="Semua",'Variance Data'!$E$2:$E$529,$C$7))*('Variance Data'!$K$2:$K$529=IF($C$8="Semua",'Variance Data'!$K$2:$K$529,$C$8))*1)</f>
        <v>14</v>
      </c>
      <c r="D51" s="495" cm="1">
        <f t="array" ref="D51">SUMPRODUCT((TRIM('Variance Data'!$B$2:$B$529)="SO. 003/TR/AVI/0126")*('Variance Data'!$E$2:$E$529=IF($C$7="Semua",'Variance Data'!$E$2:$E$529,$C$7))*('Variance Data'!$K$2:$K$529=IF($C$8="Semua",'Variance Data'!$K$2:$K$529,$C$8))*'Variance Data'!$L$2:$L$529)</f>
        <v>0</v>
      </c>
      <c r="E51" s="498">
        <f t="shared" ref="E51:E59" si="1">IFERROR(D51/C51,"")</f>
        <v>0</v>
      </c>
      <c r="F51" s="495" cm="1">
        <f t="array" ref="F51">SUMPRODUCT((TRIM('Variance Data'!$B$2:$B$529)="SO. 003/TR/AVI/0126")*('Variance Data'!$E$2:$E$529=IF($C$7="Semua",'Variance Data'!$E$2:$E$529,$C$7))*('Variance Data'!$K$2:$K$529=IF($C$8="Semua",'Variance Data'!$K$2:$K$529,$C$8))*'Variance Data'!$N$2:$N$529)</f>
        <v>0</v>
      </c>
      <c r="G51" s="495" cm="1">
        <f t="array" aca="1" ref="G51" ca="1">SUMPRODUCT((TRIM('Variance Data'!$B$2:$B$529)="SO. 003/TR/AVI/0126")*('Variance Data'!$E$2:$E$529=IF($C$7="Semua",'Variance Data'!$E$2:$E$529,$C$7))*('Variance Data'!$K$2:$K$529=IF($C$8="Semua",'Variance Data'!$K$2:$K$529,$C$8))*'Variance Data'!$P$2:$P$529)</f>
        <v>0</v>
      </c>
      <c r="H51" s="561" t="str" cm="1">
        <f t="array" aca="1" ref="H51" ca="1">IFERROR(SUMPRODUCT((TRIM('Variance Data'!$B$2:$B$529)="SO. 003/TR/AVI/0126")*('Variance Data'!$E$2:$E$529=IF($C$7="Semua",'Variance Data'!$E$2:$E$529,$C$7))*('Variance Data'!$K$2:$K$529=IF($C$8="Semua",'Variance Data'!$K$2:$K$529,$C$8))*'Variance Data'!$L$2:$L$529*'Variance Data'!$Q$2:$Q$529)/SUMPRODUCT((TRIM('Variance Data'!$B$2:$B$529)="SO. 003/TR/AVI/0126")*('Variance Data'!$E$2:$E$529=IF($C$7="Semua",'Variance Data'!$E$2:$E$529,$C$7))*('Variance Data'!$K$2:$K$529=IF($C$8="Semua",'Variance Data'!$K$2:$K$529,$C$8))*'Variance Data'!$L$2:$L$529),"")</f>
        <v/>
      </c>
    </row>
    <row r="52" spans="2:8" x14ac:dyDescent="0.25">
      <c r="B52" s="532" t="s">
        <v>62</v>
      </c>
      <c r="C52" s="495" cm="1">
        <f t="array" ref="C52">SUMPRODUCT((TRIM('Variance Data'!$B$2:$B$529)="SO. 008/TR/AVI/0326")*('Variance Data'!$E$2:$E$529=IF($C$7="Semua",'Variance Data'!$E$2:$E$529,$C$7))*('Variance Data'!$K$2:$K$529=IF($C$8="Semua",'Variance Data'!$K$2:$K$529,$C$8))*1)</f>
        <v>14</v>
      </c>
      <c r="D52" s="495" cm="1">
        <f t="array" ref="D52">SUMPRODUCT((TRIM('Variance Data'!$B$2:$B$529)="SO. 008/TR/AVI/0326")*('Variance Data'!$E$2:$E$529=IF($C$7="Semua",'Variance Data'!$E$2:$E$529,$C$7))*('Variance Data'!$K$2:$K$529=IF($C$8="Semua",'Variance Data'!$K$2:$K$529,$C$8))*'Variance Data'!$L$2:$L$529)</f>
        <v>0</v>
      </c>
      <c r="E52" s="498">
        <f t="shared" si="1"/>
        <v>0</v>
      </c>
      <c r="F52" s="495" cm="1">
        <f t="array" ref="F52">SUMPRODUCT((TRIM('Variance Data'!$B$2:$B$529)="SO. 008/TR/AVI/0326")*('Variance Data'!$E$2:$E$529=IF($C$7="Semua",'Variance Data'!$E$2:$E$529,$C$7))*('Variance Data'!$K$2:$K$529=IF($C$8="Semua",'Variance Data'!$K$2:$K$529,$C$8))*'Variance Data'!$N$2:$N$529)</f>
        <v>0</v>
      </c>
      <c r="G52" s="495" cm="1">
        <f t="array" aca="1" ref="G52" ca="1">SUMPRODUCT((TRIM('Variance Data'!$B$2:$B$529)="SO. 008/TR/AVI/0326")*('Variance Data'!$E$2:$E$529=IF($C$7="Semua",'Variance Data'!$E$2:$E$529,$C$7))*('Variance Data'!$K$2:$K$529=IF($C$8="Semua",'Variance Data'!$K$2:$K$529,$C$8))*'Variance Data'!$P$2:$P$529)</f>
        <v>0</v>
      </c>
      <c r="H52" s="561" t="str" cm="1">
        <f t="array" aca="1" ref="H52" ca="1">IFERROR(SUMPRODUCT((TRIM('Variance Data'!$B$2:$B$529)="SO. 008/TR/AVI/0326")*('Variance Data'!$E$2:$E$529=IF($C$7="Semua",'Variance Data'!$E$2:$E$529,$C$7))*('Variance Data'!$K$2:$K$529=IF($C$8="Semua",'Variance Data'!$K$2:$K$529,$C$8))*'Variance Data'!$L$2:$L$529*'Variance Data'!$Q$2:$Q$529)/SUMPRODUCT((TRIM('Variance Data'!$B$2:$B$529)="SO. 008/TR/AVI/0326")*('Variance Data'!$E$2:$E$529=IF($C$7="Semua",'Variance Data'!$E$2:$E$529,$C$7))*('Variance Data'!$K$2:$K$529=IF($C$8="Semua",'Variance Data'!$K$2:$K$529,$C$8))*'Variance Data'!$L$2:$L$529),"")</f>
        <v/>
      </c>
    </row>
    <row r="53" spans="2:8" x14ac:dyDescent="0.25">
      <c r="B53" s="532" t="s">
        <v>1816</v>
      </c>
      <c r="C53" s="495" cm="1">
        <f t="array" ref="C53">SUMPRODUCT((TRIM('Variance Data'!$B$2:$B$529)="SO. 022/AVI/TR/0526")*('Variance Data'!$E$2:$E$529=IF($C$7="Semua",'Variance Data'!$E$2:$E$529,$C$7))*('Variance Data'!$K$2:$K$529=IF($C$8="Semua",'Variance Data'!$K$2:$K$529,$C$8))*1)</f>
        <v>14</v>
      </c>
      <c r="D53" s="495" cm="1">
        <f t="array" ref="D53">SUMPRODUCT((TRIM('Variance Data'!$B$2:$B$529)="SO. 022/AVI/TR/0526")*('Variance Data'!$E$2:$E$529=IF($C$7="Semua",'Variance Data'!$E$2:$E$529,$C$7))*('Variance Data'!$K$2:$K$529=IF($C$8="Semua",'Variance Data'!$K$2:$K$529,$C$8))*'Variance Data'!$L$2:$L$529)</f>
        <v>0</v>
      </c>
      <c r="E53" s="498">
        <f t="shared" si="1"/>
        <v>0</v>
      </c>
      <c r="F53" s="495" cm="1">
        <f t="array" ref="F53">SUMPRODUCT((TRIM('Variance Data'!$B$2:$B$529)="SO. 022/AVI/TR/0526")*('Variance Data'!$E$2:$E$529=IF($C$7="Semua",'Variance Data'!$E$2:$E$529,$C$7))*('Variance Data'!$K$2:$K$529=IF($C$8="Semua",'Variance Data'!$K$2:$K$529,$C$8))*'Variance Data'!$N$2:$N$529)</f>
        <v>0</v>
      </c>
      <c r="G53" s="495" cm="1">
        <f t="array" aca="1" ref="G53" ca="1">SUMPRODUCT((TRIM('Variance Data'!$B$2:$B$529)="SO. 022/AVI/TR/0526")*('Variance Data'!$E$2:$E$529=IF($C$7="Semua",'Variance Data'!$E$2:$E$529,$C$7))*('Variance Data'!$K$2:$K$529=IF($C$8="Semua",'Variance Data'!$K$2:$K$529,$C$8))*'Variance Data'!$P$2:$P$529)</f>
        <v>0</v>
      </c>
      <c r="H53" s="561" t="str" cm="1">
        <f t="array" aca="1" ref="H53" ca="1">IFERROR(SUMPRODUCT((TRIM('Variance Data'!$B$2:$B$529)="SO. 022/AVI/TR/0526")*('Variance Data'!$E$2:$E$529=IF($C$7="Semua",'Variance Data'!$E$2:$E$529,$C$7))*('Variance Data'!$K$2:$K$529=IF($C$8="Semua",'Variance Data'!$K$2:$K$529,$C$8))*'Variance Data'!$L$2:$L$529*'Variance Data'!$Q$2:$Q$529)/SUMPRODUCT((TRIM('Variance Data'!$B$2:$B$529)="SO. 022/AVI/TR/0526")*('Variance Data'!$E$2:$E$529=IF($C$7="Semua",'Variance Data'!$E$2:$E$529,$C$7))*('Variance Data'!$K$2:$K$529=IF($C$8="Semua",'Variance Data'!$K$2:$K$529,$C$8))*'Variance Data'!$L$2:$L$529),"")</f>
        <v/>
      </c>
    </row>
    <row r="54" spans="2:8" x14ac:dyDescent="0.25">
      <c r="B54" s="532" t="s">
        <v>1817</v>
      </c>
      <c r="C54" s="495" cm="1">
        <f t="array" ref="C54">SUMPRODUCT((TRIM('Variance Data'!$B$2:$B$529)="SO. 023/TR/AVI/0526")*('Variance Data'!$E$2:$E$529=IF($C$7="Semua",'Variance Data'!$E$2:$E$529,$C$7))*('Variance Data'!$K$2:$K$529=IF($C$8="Semua",'Variance Data'!$K$2:$K$529,$C$8))*1)</f>
        <v>14</v>
      </c>
      <c r="D54" s="495" cm="1">
        <f t="array" ref="D54">SUMPRODUCT((TRIM('Variance Data'!$B$2:$B$529)="SO. 023/TR/AVI/0526")*('Variance Data'!$E$2:$E$529=IF($C$7="Semua",'Variance Data'!$E$2:$E$529,$C$7))*('Variance Data'!$K$2:$K$529=IF($C$8="Semua",'Variance Data'!$K$2:$K$529,$C$8))*'Variance Data'!$L$2:$L$529)</f>
        <v>0</v>
      </c>
      <c r="E54" s="498">
        <f t="shared" si="1"/>
        <v>0</v>
      </c>
      <c r="F54" s="495" cm="1">
        <f t="array" ref="F54">SUMPRODUCT((TRIM('Variance Data'!$B$2:$B$529)="SO. 023/TR/AVI/0526")*('Variance Data'!$E$2:$E$529=IF($C$7="Semua",'Variance Data'!$E$2:$E$529,$C$7))*('Variance Data'!$K$2:$K$529=IF($C$8="Semua",'Variance Data'!$K$2:$K$529,$C$8))*'Variance Data'!$N$2:$N$529)</f>
        <v>0</v>
      </c>
      <c r="G54" s="495" cm="1">
        <f t="array" aca="1" ref="G54" ca="1">SUMPRODUCT((TRIM('Variance Data'!$B$2:$B$529)="SO. 023/TR/AVI/0526")*('Variance Data'!$E$2:$E$529=IF($C$7="Semua",'Variance Data'!$E$2:$E$529,$C$7))*('Variance Data'!$K$2:$K$529=IF($C$8="Semua",'Variance Data'!$K$2:$K$529,$C$8))*'Variance Data'!$P$2:$P$529)</f>
        <v>0</v>
      </c>
      <c r="H54" s="561" t="str" cm="1">
        <f t="array" aca="1" ref="H54" ca="1">IFERROR(SUMPRODUCT((TRIM('Variance Data'!$B$2:$B$529)="SO. 023/TR/AVI/0526")*('Variance Data'!$E$2:$E$529=IF($C$7="Semua",'Variance Data'!$E$2:$E$529,$C$7))*('Variance Data'!$K$2:$K$529=IF($C$8="Semua",'Variance Data'!$K$2:$K$529,$C$8))*'Variance Data'!$L$2:$L$529*'Variance Data'!$Q$2:$Q$529)/SUMPRODUCT((TRIM('Variance Data'!$B$2:$B$529)="SO. 023/TR/AVI/0526")*('Variance Data'!$E$2:$E$529=IF($C$7="Semua",'Variance Data'!$E$2:$E$529,$C$7))*('Variance Data'!$K$2:$K$529=IF($C$8="Semua",'Variance Data'!$K$2:$K$529,$C$8))*'Variance Data'!$L$2:$L$529),"")</f>
        <v/>
      </c>
    </row>
    <row r="55" spans="2:8" x14ac:dyDescent="0.25">
      <c r="B55" s="532" t="s">
        <v>1818</v>
      </c>
      <c r="C55" s="495" cm="1">
        <f t="array" ref="C55">SUMPRODUCT((TRIM('Variance Data'!$B$2:$B$529)="SO. 024/TR/AVI/0626")*('Variance Data'!$E$2:$E$529=IF($C$7="Semua",'Variance Data'!$E$2:$E$529,$C$7))*('Variance Data'!$K$2:$K$529=IF($C$8="Semua",'Variance Data'!$K$2:$K$529,$C$8))*1)</f>
        <v>14</v>
      </c>
      <c r="D55" s="495" cm="1">
        <f t="array" ref="D55">SUMPRODUCT((TRIM('Variance Data'!$B$2:$B$529)="SO. 024/TR/AVI/0626")*('Variance Data'!$E$2:$E$529=IF($C$7="Semua",'Variance Data'!$E$2:$E$529,$C$7))*('Variance Data'!$K$2:$K$529=IF($C$8="Semua",'Variance Data'!$K$2:$K$529,$C$8))*'Variance Data'!$L$2:$L$529)</f>
        <v>0</v>
      </c>
      <c r="E55" s="498">
        <f t="shared" si="1"/>
        <v>0</v>
      </c>
      <c r="F55" s="495" cm="1">
        <f t="array" ref="F55">SUMPRODUCT((TRIM('Variance Data'!$B$2:$B$529)="SO. 024/TR/AVI/0626")*('Variance Data'!$E$2:$E$529=IF($C$7="Semua",'Variance Data'!$E$2:$E$529,$C$7))*('Variance Data'!$K$2:$K$529=IF($C$8="Semua",'Variance Data'!$K$2:$K$529,$C$8))*'Variance Data'!$N$2:$N$529)</f>
        <v>0</v>
      </c>
      <c r="G55" s="495" cm="1">
        <f t="array" aca="1" ref="G55" ca="1">SUMPRODUCT((TRIM('Variance Data'!$B$2:$B$529)="SO. 024/TR/AVI/0626")*('Variance Data'!$E$2:$E$529=IF($C$7="Semua",'Variance Data'!$E$2:$E$529,$C$7))*('Variance Data'!$K$2:$K$529=IF($C$8="Semua",'Variance Data'!$K$2:$K$529,$C$8))*'Variance Data'!$P$2:$P$529)</f>
        <v>0</v>
      </c>
      <c r="H55" s="561" t="str" cm="1">
        <f t="array" aca="1" ref="H55" ca="1">IFERROR(SUMPRODUCT((TRIM('Variance Data'!$B$2:$B$529)="SO. 024/TR/AVI/0626")*('Variance Data'!$E$2:$E$529=IF($C$7="Semua",'Variance Data'!$E$2:$E$529,$C$7))*('Variance Data'!$K$2:$K$529=IF($C$8="Semua",'Variance Data'!$K$2:$K$529,$C$8))*'Variance Data'!$L$2:$L$529*'Variance Data'!$Q$2:$Q$529)/SUMPRODUCT((TRIM('Variance Data'!$B$2:$B$529)="SO. 024/TR/AVI/0626")*('Variance Data'!$E$2:$E$529=IF($C$7="Semua",'Variance Data'!$E$2:$E$529,$C$7))*('Variance Data'!$K$2:$K$529=IF($C$8="Semua",'Variance Data'!$K$2:$K$529,$C$8))*'Variance Data'!$L$2:$L$529),"")</f>
        <v/>
      </c>
    </row>
    <row r="56" spans="2:8" x14ac:dyDescent="0.25">
      <c r="B56" s="532" t="s">
        <v>1820</v>
      </c>
      <c r="C56" s="495" cm="1">
        <f t="array" ref="C56">SUMPRODUCT((TRIM('Variance Data'!$B$2:$B$529)="SO. 026/TR/AVI/0726")*('Variance Data'!$E$2:$E$529=IF($C$7="Semua",'Variance Data'!$E$2:$E$529,$C$7))*('Variance Data'!$K$2:$K$529=IF($C$8="Semua",'Variance Data'!$K$2:$K$529,$C$8))*1)</f>
        <v>14</v>
      </c>
      <c r="D56" s="495" cm="1">
        <f t="array" ref="D56">SUMPRODUCT((TRIM('Variance Data'!$B$2:$B$529)="SO. 026/TR/AVI/0726")*('Variance Data'!$E$2:$E$529=IF($C$7="Semua",'Variance Data'!$E$2:$E$529,$C$7))*('Variance Data'!$K$2:$K$529=IF($C$8="Semua",'Variance Data'!$K$2:$K$529,$C$8))*'Variance Data'!$L$2:$L$529)</f>
        <v>0</v>
      </c>
      <c r="E56" s="498">
        <f t="shared" si="1"/>
        <v>0</v>
      </c>
      <c r="F56" s="495" cm="1">
        <f t="array" ref="F56">SUMPRODUCT((TRIM('Variance Data'!$B$2:$B$529)="SO. 026/TR/AVI/0726")*('Variance Data'!$E$2:$E$529=IF($C$7="Semua",'Variance Data'!$E$2:$E$529,$C$7))*('Variance Data'!$K$2:$K$529=IF($C$8="Semua",'Variance Data'!$K$2:$K$529,$C$8))*'Variance Data'!$N$2:$N$529)</f>
        <v>0</v>
      </c>
      <c r="G56" s="495" cm="1">
        <f t="array" aca="1" ref="G56" ca="1">SUMPRODUCT((TRIM('Variance Data'!$B$2:$B$529)="SO. 026/TR/AVI/0726")*('Variance Data'!$E$2:$E$529=IF($C$7="Semua",'Variance Data'!$E$2:$E$529,$C$7))*('Variance Data'!$K$2:$K$529=IF($C$8="Semua",'Variance Data'!$K$2:$K$529,$C$8))*'Variance Data'!$P$2:$P$529)</f>
        <v>0</v>
      </c>
      <c r="H56" s="561" t="str" cm="1">
        <f t="array" aca="1" ref="H56" ca="1">IFERROR(SUMPRODUCT((TRIM('Variance Data'!$B$2:$B$529)="SO. 026/TR/AVI/0726")*('Variance Data'!$E$2:$E$529=IF($C$7="Semua",'Variance Data'!$E$2:$E$529,$C$7))*('Variance Data'!$K$2:$K$529=IF($C$8="Semua",'Variance Data'!$K$2:$K$529,$C$8))*'Variance Data'!$L$2:$L$529*'Variance Data'!$Q$2:$Q$529)/SUMPRODUCT((TRIM('Variance Data'!$B$2:$B$529)="SO. 026/TR/AVI/0726")*('Variance Data'!$E$2:$E$529=IF($C$7="Semua",'Variance Data'!$E$2:$E$529,$C$7))*('Variance Data'!$K$2:$K$529=IF($C$8="Semua",'Variance Data'!$K$2:$K$529,$C$8))*'Variance Data'!$L$2:$L$529),"")</f>
        <v/>
      </c>
    </row>
    <row r="57" spans="2:8" x14ac:dyDescent="0.25">
      <c r="B57" s="532" t="s">
        <v>1821</v>
      </c>
      <c r="C57" s="495" cm="1">
        <f t="array" ref="C57">SUMPRODUCT((TRIM('Variance Data'!$B$2:$B$529)="SO. 027/AVI/TR/0726")*('Variance Data'!$E$2:$E$529=IF($C$7="Semua",'Variance Data'!$E$2:$E$529,$C$7))*('Variance Data'!$K$2:$K$529=IF($C$8="Semua",'Variance Data'!$K$2:$K$529,$C$8))*1)</f>
        <v>14</v>
      </c>
      <c r="D57" s="495" cm="1">
        <f t="array" ref="D57">SUMPRODUCT((TRIM('Variance Data'!$B$2:$B$529)="SO. 027/AVI/TR/0726")*('Variance Data'!$E$2:$E$529=IF($C$7="Semua",'Variance Data'!$E$2:$E$529,$C$7))*('Variance Data'!$K$2:$K$529=IF($C$8="Semua",'Variance Data'!$K$2:$K$529,$C$8))*'Variance Data'!$L$2:$L$529)</f>
        <v>0</v>
      </c>
      <c r="E57" s="498">
        <f t="shared" si="1"/>
        <v>0</v>
      </c>
      <c r="F57" s="495" cm="1">
        <f t="array" ref="F57">SUMPRODUCT((TRIM('Variance Data'!$B$2:$B$529)="SO. 027/AVI/TR/0726")*('Variance Data'!$E$2:$E$529=IF($C$7="Semua",'Variance Data'!$E$2:$E$529,$C$7))*('Variance Data'!$K$2:$K$529=IF($C$8="Semua",'Variance Data'!$K$2:$K$529,$C$8))*'Variance Data'!$N$2:$N$529)</f>
        <v>0</v>
      </c>
      <c r="G57" s="495" cm="1">
        <f t="array" aca="1" ref="G57" ca="1">SUMPRODUCT((TRIM('Variance Data'!$B$2:$B$529)="SO. 027/AVI/TR/0726")*('Variance Data'!$E$2:$E$529=IF($C$7="Semua",'Variance Data'!$E$2:$E$529,$C$7))*('Variance Data'!$K$2:$K$529=IF($C$8="Semua",'Variance Data'!$K$2:$K$529,$C$8))*'Variance Data'!$P$2:$P$529)</f>
        <v>0</v>
      </c>
      <c r="H57" s="561" t="str" cm="1">
        <f t="array" aca="1" ref="H57" ca="1">IFERROR(SUMPRODUCT((TRIM('Variance Data'!$B$2:$B$529)="SO. 027/AVI/TR/0726")*('Variance Data'!$E$2:$E$529=IF($C$7="Semua",'Variance Data'!$E$2:$E$529,$C$7))*('Variance Data'!$K$2:$K$529=IF($C$8="Semua",'Variance Data'!$K$2:$K$529,$C$8))*'Variance Data'!$L$2:$L$529*'Variance Data'!$Q$2:$Q$529)/SUMPRODUCT((TRIM('Variance Data'!$B$2:$B$529)="SO. 027/AVI/TR/0726")*('Variance Data'!$E$2:$E$529=IF($C$7="Semua",'Variance Data'!$E$2:$E$529,$C$7))*('Variance Data'!$K$2:$K$529=IF($C$8="Semua",'Variance Data'!$K$2:$K$529,$C$8))*'Variance Data'!$L$2:$L$529),"")</f>
        <v/>
      </c>
    </row>
    <row r="58" spans="2:8" x14ac:dyDescent="0.25">
      <c r="B58" s="532" t="s">
        <v>1822</v>
      </c>
      <c r="C58" s="495" cm="1">
        <f t="array" ref="C58">SUMPRODUCT((TRIM('Variance Data'!$B$2:$B$529)="SO. 028/AVI/TR/0726")*('Variance Data'!$E$2:$E$529=IF($C$7="Semua",'Variance Data'!$E$2:$E$529,$C$7))*('Variance Data'!$K$2:$K$529=IF($C$8="Semua",'Variance Data'!$K$2:$K$529,$C$8))*1)</f>
        <v>14</v>
      </c>
      <c r="D58" s="495" cm="1">
        <f t="array" ref="D58">SUMPRODUCT((TRIM('Variance Data'!$B$2:$B$529)="SO. 028/AVI/TR/0726")*('Variance Data'!$E$2:$E$529=IF($C$7="Semua",'Variance Data'!$E$2:$E$529,$C$7))*('Variance Data'!$K$2:$K$529=IF($C$8="Semua",'Variance Data'!$K$2:$K$529,$C$8))*'Variance Data'!$L$2:$L$529)</f>
        <v>0</v>
      </c>
      <c r="E58" s="498">
        <f t="shared" si="1"/>
        <v>0</v>
      </c>
      <c r="F58" s="495" cm="1">
        <f t="array" ref="F58">SUMPRODUCT((TRIM('Variance Data'!$B$2:$B$529)="SO. 028/AVI/TR/0726")*('Variance Data'!$E$2:$E$529=IF($C$7="Semua",'Variance Data'!$E$2:$E$529,$C$7))*('Variance Data'!$K$2:$K$529=IF($C$8="Semua",'Variance Data'!$K$2:$K$529,$C$8))*'Variance Data'!$N$2:$N$529)</f>
        <v>0</v>
      </c>
      <c r="G58" s="495" cm="1">
        <f t="array" aca="1" ref="G58" ca="1">SUMPRODUCT((TRIM('Variance Data'!$B$2:$B$529)="SO. 028/AVI/TR/0726")*('Variance Data'!$E$2:$E$529=IF($C$7="Semua",'Variance Data'!$E$2:$E$529,$C$7))*('Variance Data'!$K$2:$K$529=IF($C$8="Semua",'Variance Data'!$K$2:$K$529,$C$8))*'Variance Data'!$P$2:$P$529)</f>
        <v>0</v>
      </c>
      <c r="H58" s="561" t="str" cm="1">
        <f t="array" aca="1" ref="H58" ca="1">IFERROR(SUMPRODUCT((TRIM('Variance Data'!$B$2:$B$529)="SO. 028/AVI/TR/0726")*('Variance Data'!$E$2:$E$529=IF($C$7="Semua",'Variance Data'!$E$2:$E$529,$C$7))*('Variance Data'!$K$2:$K$529=IF($C$8="Semua",'Variance Data'!$K$2:$K$529,$C$8))*'Variance Data'!$L$2:$L$529*'Variance Data'!$Q$2:$Q$529)/SUMPRODUCT((TRIM('Variance Data'!$B$2:$B$529)="SO. 028/AVI/TR/0726")*('Variance Data'!$E$2:$E$529=IF($C$7="Semua",'Variance Data'!$E$2:$E$529,$C$7))*('Variance Data'!$K$2:$K$529=IF($C$8="Semua",'Variance Data'!$K$2:$K$529,$C$8))*'Variance Data'!$L$2:$L$529),"")</f>
        <v/>
      </c>
    </row>
    <row r="59" spans="2:8" x14ac:dyDescent="0.25">
      <c r="B59" s="532" t="s">
        <v>1823</v>
      </c>
      <c r="C59" s="495" cm="1">
        <f t="array" ref="C59">SUMPRODUCT((TRIM('Variance Data'!$B$2:$B$529)="SO. 029/AVI/TR/0726")*('Variance Data'!$E$2:$E$529=IF($C$7="Semua",'Variance Data'!$E$2:$E$529,$C$7))*('Variance Data'!$K$2:$K$529=IF($C$8="Semua",'Variance Data'!$K$2:$K$529,$C$8))*1)</f>
        <v>14</v>
      </c>
      <c r="D59" s="495" cm="1">
        <f t="array" ref="D59">SUMPRODUCT((TRIM('Variance Data'!$B$2:$B$529)="SO. 029/AVI/TR/0726")*('Variance Data'!$E$2:$E$529=IF($C$7="Semua",'Variance Data'!$E$2:$E$529,$C$7))*('Variance Data'!$K$2:$K$529=IF($C$8="Semua",'Variance Data'!$K$2:$K$529,$C$8))*'Variance Data'!$L$2:$L$529)</f>
        <v>0</v>
      </c>
      <c r="E59" s="498">
        <f t="shared" si="1"/>
        <v>0</v>
      </c>
      <c r="F59" s="495" cm="1">
        <f t="array" ref="F59">SUMPRODUCT((TRIM('Variance Data'!$B$2:$B$529)="SO. 029/AVI/TR/0726")*('Variance Data'!$E$2:$E$529=IF($C$7="Semua",'Variance Data'!$E$2:$E$529,$C$7))*('Variance Data'!$K$2:$K$529=IF($C$8="Semua",'Variance Data'!$K$2:$K$529,$C$8))*'Variance Data'!$N$2:$N$529)</f>
        <v>0</v>
      </c>
      <c r="G59" s="495" cm="1">
        <f t="array" aca="1" ref="G59" ca="1">SUMPRODUCT((TRIM('Variance Data'!$B$2:$B$529)="SO. 029/AVI/TR/0726")*('Variance Data'!$E$2:$E$529=IF($C$7="Semua",'Variance Data'!$E$2:$E$529,$C$7))*('Variance Data'!$K$2:$K$529=IF($C$8="Semua",'Variance Data'!$K$2:$K$529,$C$8))*'Variance Data'!$P$2:$P$529)</f>
        <v>0</v>
      </c>
      <c r="H59" s="561" t="str" cm="1">
        <f t="array" aca="1" ref="H59" ca="1">IFERROR(SUMPRODUCT((TRIM('Variance Data'!$B$2:$B$529)="SO. 029/AVI/TR/0726")*('Variance Data'!$E$2:$E$529=IF($C$7="Semua",'Variance Data'!$E$2:$E$529,$C$7))*('Variance Data'!$K$2:$K$529=IF($C$8="Semua",'Variance Data'!$K$2:$K$529,$C$8))*'Variance Data'!$L$2:$L$529*'Variance Data'!$Q$2:$Q$529)/SUMPRODUCT((TRIM('Variance Data'!$B$2:$B$529)="SO. 029/AVI/TR/0726")*('Variance Data'!$E$2:$E$529=IF($C$7="Semua",'Variance Data'!$E$2:$E$529,$C$7))*('Variance Data'!$K$2:$K$529=IF($C$8="Semua",'Variance Data'!$K$2:$K$529,$C$8))*'Variance Data'!$L$2:$L$529),"")</f>
        <v/>
      </c>
    </row>
    <row r="60" spans="2:8" x14ac:dyDescent="0.25">
      <c r="B60" s="532"/>
      <c r="C60" s="532"/>
      <c r="D60" s="532"/>
      <c r="E60" s="533"/>
      <c r="F60" s="532"/>
      <c r="G60" s="532"/>
      <c r="H60" s="532"/>
    </row>
    <row r="62" spans="2:8" ht="15.5" x14ac:dyDescent="0.35">
      <c r="B62" s="570" t="s">
        <v>1512</v>
      </c>
      <c r="C62" s="570"/>
      <c r="D62" s="570"/>
      <c r="E62" s="570"/>
      <c r="F62" s="570"/>
      <c r="G62" s="570"/>
    </row>
    <row r="63" spans="2:8" ht="23" x14ac:dyDescent="0.25">
      <c r="B63" s="496" t="s">
        <v>1511</v>
      </c>
      <c r="C63" s="496" t="s">
        <v>1502</v>
      </c>
      <c r="D63" s="496" t="s">
        <v>1503</v>
      </c>
      <c r="E63" s="496" t="s">
        <v>1504</v>
      </c>
      <c r="F63" s="496" t="s">
        <v>1505</v>
      </c>
      <c r="G63" s="496" t="s">
        <v>1481</v>
      </c>
      <c r="H63" s="496" t="s">
        <v>1506</v>
      </c>
    </row>
    <row r="64" spans="2:8" x14ac:dyDescent="0.25">
      <c r="B64" s="495" t="s">
        <v>1421</v>
      </c>
      <c r="C64" s="495" cm="1">
        <f t="array" ref="C64">SUMPRODUCT((TRIM('Variance Data'!$B$2:$B$529)=IF($C$6="Semua",TRIM(_xlfn.SINGLE('Variance Data'!$B$2:$B$529)),$C$6))*('Variance Data'!$E$2:$E$529=IF($C$7="Semua",'Variance Data'!$E$2:$E$529,$C$7))*('Variance Data'!$K$2:$K$529="Minggu 16 (2026)")*1)</f>
        <v>0</v>
      </c>
      <c r="D64" s="495" cm="1">
        <f t="array" ref="D64">SUMPRODUCT((TRIM('Variance Data'!$B$2:$B$529)=IF($C$6="Semua",TRIM(_xlfn.SINGLE('Variance Data'!$B$2:$B$529)),$C$6))*('Variance Data'!$E$2:$E$529=IF($C$7="Semua",'Variance Data'!$E$2:$E$529,$C$7))*('Variance Data'!$K$2:$K$529="Minggu 16 (2026)")*'Variance Data'!$M$2:$M$529)</f>
        <v>0</v>
      </c>
      <c r="E64" s="495" cm="1">
        <f t="array" ref="E64">SUMPRODUCT((TRIM('Variance Data'!$B$2:$B$529)=IF($C$6="Semua",TRIM(_xlfn.SINGLE('Variance Data'!$B$2:$B$529)),$C$6))*('Variance Data'!$E$2:$E$529=IF($C$7="Semua",'Variance Data'!$E$2:$E$529,$C$7))*('Variance Data'!$K$2:$K$529="Minggu 16 (2026)")*'Variance Data'!$N$2:$N$529)</f>
        <v>0</v>
      </c>
      <c r="F64" s="495" cm="1">
        <f t="array" aca="1" ref="F64" ca="1">SUMPRODUCT((TRIM('Variance Data'!$B$2:$B$529)=IF($C$6="Semua",TRIM(_xlfn.SINGLE('Variance Data'!$B$2:$B$529)),$C$6))*('Variance Data'!$E$2:$E$529=IF($C$7="Semua",'Variance Data'!$E$2:$E$529,$C$7))*('Variance Data'!$K$2:$K$529="Minggu 16 (2026)")*('Variance Data'!$O$2:$O$529-'Variance Data'!$P$2:$P$529))</f>
        <v>0</v>
      </c>
      <c r="G64" s="495" cm="1">
        <f t="array" aca="1" ref="G64" ca="1">SUMPRODUCT((TRIM('Variance Data'!$B$2:$B$529)=IF($C$6="Semua",TRIM(_xlfn.SINGLE('Variance Data'!$B$2:$B$529)),$C$6))*('Variance Data'!$E$2:$E$529=IF($C$7="Semua",'Variance Data'!$E$2:$E$529,$C$7))*('Variance Data'!$K$2:$K$529="Minggu 16 (2026)")*'Variance Data'!$P$2:$P$529)</f>
        <v>0</v>
      </c>
      <c r="H64" s="495" t="str" cm="1">
        <f t="array" aca="1" ref="H64" ca="1">IFERROR(SUMPRODUCT((TRIM('Variance Data'!$B$2:$B$529)=IF($C$6="Semua",TRIM(_xlfn.SINGLE('Variance Data'!$B$2:$B$529)),$C$6))*('Variance Data'!$E$2:$E$529=IF($C$7="Semua",'Variance Data'!$E$2:$E$529,$C$7))*('Variance Data'!$K$2:$K$529="Minggu 16 (2026)")*'Variance Data'!$L$2:$L$529*'Variance Data'!$Q$2:$Q$529)/SUMPRODUCT((TRIM('Variance Data'!$B$2:$B$529)=IF($C$6="Semua",TRIM(_xlfn.SINGLE('Variance Data'!$B$2:$B$529)),$C$6))*('Variance Data'!$E$2:$E$529=IF($C$7="Semua",'Variance Data'!$E$2:$E$529,$C$7))*('Variance Data'!$K$2:$K$529="Minggu 16 (2026)")*'Variance Data'!$L$2:$L$529),"")</f>
        <v/>
      </c>
    </row>
    <row r="65" spans="2:8" x14ac:dyDescent="0.25">
      <c r="B65" s="495" t="s">
        <v>1423</v>
      </c>
      <c r="C65" s="495" cm="1">
        <f t="array" ref="C65">SUMPRODUCT((TRIM('Variance Data'!$B$2:$B$529)=IF($C$6="Semua",TRIM(_xlfn.SINGLE('Variance Data'!$B$2:$B$529)),$C$6))*('Variance Data'!$E$2:$E$529=IF($C$7="Semua",'Variance Data'!$E$2:$E$529,$C$7))*('Variance Data'!$K$2:$K$529="Minggu 17 (2026)")*1)</f>
        <v>0</v>
      </c>
      <c r="D65" s="495" cm="1">
        <f t="array" ref="D65">SUMPRODUCT((TRIM('Variance Data'!$B$2:$B$529)=IF($C$6="Semua",TRIM(_xlfn.SINGLE('Variance Data'!$B$2:$B$529)),$C$6))*('Variance Data'!$E$2:$E$529=IF($C$7="Semua",'Variance Data'!$E$2:$E$529,$C$7))*('Variance Data'!$K$2:$K$529="Minggu 17 (2026)")*'Variance Data'!$M$2:$M$529)</f>
        <v>0</v>
      </c>
      <c r="E65" s="495" cm="1">
        <f t="array" ref="E65">SUMPRODUCT((TRIM('Variance Data'!$B$2:$B$529)=IF($C$6="Semua",TRIM(_xlfn.SINGLE('Variance Data'!$B$2:$B$529)),$C$6))*('Variance Data'!$E$2:$E$529=IF($C$7="Semua",'Variance Data'!$E$2:$E$529,$C$7))*('Variance Data'!$K$2:$K$529="Minggu 17 (2026)")*'Variance Data'!$N$2:$N$529)</f>
        <v>0</v>
      </c>
      <c r="F65" s="495" cm="1">
        <f t="array" aca="1" ref="F65" ca="1">SUMPRODUCT((TRIM('Variance Data'!$B$2:$B$529)=IF($C$6="Semua",TRIM(_xlfn.SINGLE('Variance Data'!$B$2:$B$529)),$C$6))*('Variance Data'!$E$2:$E$529=IF($C$7="Semua",'Variance Data'!$E$2:$E$529,$C$7))*('Variance Data'!$K$2:$K$529="Minggu 17 (2026)")*('Variance Data'!$O$2:$O$529-'Variance Data'!$P$2:$P$529))</f>
        <v>0</v>
      </c>
      <c r="G65" s="495" cm="1">
        <f t="array" aca="1" ref="G65" ca="1">SUMPRODUCT((TRIM('Variance Data'!$B$2:$B$529)=IF($C$6="Semua",TRIM(_xlfn.SINGLE('Variance Data'!$B$2:$B$529)),$C$6))*('Variance Data'!$E$2:$E$529=IF($C$7="Semua",'Variance Data'!$E$2:$E$529,$C$7))*('Variance Data'!$K$2:$K$529="Minggu 17 (2026)")*'Variance Data'!$P$2:$P$529)</f>
        <v>0</v>
      </c>
      <c r="H65" s="495" t="str" cm="1">
        <f t="array" aca="1" ref="H65" ca="1">IFERROR(SUMPRODUCT((TRIM('Variance Data'!$B$2:$B$529)=IF($C$6="Semua",TRIM(_xlfn.SINGLE('Variance Data'!$B$2:$B$529)),$C$6))*('Variance Data'!$E$2:$E$529=IF($C$7="Semua",'Variance Data'!$E$2:$E$529,$C$7))*('Variance Data'!$K$2:$K$529="Minggu 17 (2026)")*'Variance Data'!$L$2:$L$529*'Variance Data'!$Q$2:$Q$529)/SUMPRODUCT((TRIM('Variance Data'!$B$2:$B$529)=IF($C$6="Semua",TRIM(_xlfn.SINGLE('Variance Data'!$B$2:$B$529)),$C$6))*('Variance Data'!$E$2:$E$529=IF($C$7="Semua",'Variance Data'!$E$2:$E$529,$C$7))*('Variance Data'!$K$2:$K$529="Minggu 17 (2026)")*'Variance Data'!$L$2:$L$529),"")</f>
        <v/>
      </c>
    </row>
    <row r="66" spans="2:8" x14ac:dyDescent="0.25">
      <c r="B66" s="495" t="s">
        <v>1425</v>
      </c>
      <c r="C66" s="495" cm="1">
        <f t="array" ref="C66">SUMPRODUCT((TRIM('Variance Data'!$B$2:$B$529)=IF($C$6="Semua",TRIM(_xlfn.SINGLE('Variance Data'!$B$2:$B$529)),$C$6))*('Variance Data'!$E$2:$E$529=IF($C$7="Semua",'Variance Data'!$E$2:$E$529,$C$7))*('Variance Data'!$K$2:$K$529="Minggu 21 (2026)")*1)</f>
        <v>0</v>
      </c>
      <c r="D66" s="495" cm="1">
        <f t="array" ref="D66">SUMPRODUCT((TRIM('Variance Data'!$B$2:$B$529)=IF($C$6="Semua",TRIM(_xlfn.SINGLE('Variance Data'!$B$2:$B$529)),$C$6))*('Variance Data'!$E$2:$E$529=IF($C$7="Semua",'Variance Data'!$E$2:$E$529,$C$7))*('Variance Data'!$K$2:$K$529="Minggu 21 (2026)")*'Variance Data'!$M$2:$M$529)</f>
        <v>0</v>
      </c>
      <c r="E66" s="495" cm="1">
        <f t="array" ref="E66">SUMPRODUCT((TRIM('Variance Data'!$B$2:$B$529)=IF($C$6="Semua",TRIM(_xlfn.SINGLE('Variance Data'!$B$2:$B$529)),$C$6))*('Variance Data'!$E$2:$E$529=IF($C$7="Semua",'Variance Data'!$E$2:$E$529,$C$7))*('Variance Data'!$K$2:$K$529="Minggu 21 (2026)")*'Variance Data'!$N$2:$N$529)</f>
        <v>0</v>
      </c>
      <c r="F66" s="495" cm="1">
        <f t="array" aca="1" ref="F66" ca="1">SUMPRODUCT((TRIM('Variance Data'!$B$2:$B$529)=IF($C$6="Semua",TRIM(_xlfn.SINGLE('Variance Data'!$B$2:$B$529)),$C$6))*('Variance Data'!$E$2:$E$529=IF($C$7="Semua",'Variance Data'!$E$2:$E$529,$C$7))*('Variance Data'!$K$2:$K$529="Minggu 21 (2026)")*('Variance Data'!$O$2:$O$529-'Variance Data'!$P$2:$P$529))</f>
        <v>0</v>
      </c>
      <c r="G66" s="495" cm="1">
        <f t="array" aca="1" ref="G66" ca="1">SUMPRODUCT((TRIM('Variance Data'!$B$2:$B$529)=IF($C$6="Semua",TRIM(_xlfn.SINGLE('Variance Data'!$B$2:$B$529)),$C$6))*('Variance Data'!$E$2:$E$529=IF($C$7="Semua",'Variance Data'!$E$2:$E$529,$C$7))*('Variance Data'!$K$2:$K$529="Minggu 21 (2026)")*'Variance Data'!$P$2:$P$529)</f>
        <v>0</v>
      </c>
      <c r="H66" s="495" t="str" cm="1">
        <f t="array" aca="1" ref="H66" ca="1">IFERROR(SUMPRODUCT((TRIM('Variance Data'!$B$2:$B$529)=IF($C$6="Semua",TRIM(_xlfn.SINGLE('Variance Data'!$B$2:$B$529)),$C$6))*('Variance Data'!$E$2:$E$529=IF($C$7="Semua",'Variance Data'!$E$2:$E$529,$C$7))*('Variance Data'!$K$2:$K$529="Minggu 21 (2026)")*'Variance Data'!$L$2:$L$529*'Variance Data'!$Q$2:$Q$529)/SUMPRODUCT((TRIM('Variance Data'!$B$2:$B$529)=IF($C$6="Semua",TRIM(_xlfn.SINGLE('Variance Data'!$B$2:$B$529)),$C$6))*('Variance Data'!$E$2:$E$529=IF($C$7="Semua",'Variance Data'!$E$2:$E$529,$C$7))*('Variance Data'!$K$2:$K$529="Minggu 21 (2026)")*'Variance Data'!$L$2:$L$529),"")</f>
        <v/>
      </c>
    </row>
    <row r="67" spans="2:8" x14ac:dyDescent="0.25">
      <c r="B67" s="495" t="s">
        <v>1427</v>
      </c>
      <c r="C67" s="495" cm="1">
        <f t="array" ref="C67">SUMPRODUCT((TRIM('Variance Data'!$B$2:$B$529)=IF($C$6="Semua",TRIM(_xlfn.SINGLE('Variance Data'!$B$2:$B$529)),$C$6))*('Variance Data'!$E$2:$E$529=IF($C$7="Semua",'Variance Data'!$E$2:$E$529,$C$7))*('Variance Data'!$K$2:$K$529="Minggu 22 (2026)")*1)</f>
        <v>0</v>
      </c>
      <c r="D67" s="495" cm="1">
        <f t="array" ref="D67">SUMPRODUCT((TRIM('Variance Data'!$B$2:$B$529)=IF($C$6="Semua",TRIM(_xlfn.SINGLE('Variance Data'!$B$2:$B$529)),$C$6))*('Variance Data'!$E$2:$E$529=IF($C$7="Semua",'Variance Data'!$E$2:$E$529,$C$7))*('Variance Data'!$K$2:$K$529="Minggu 22 (2026)")*'Variance Data'!$M$2:$M$529)</f>
        <v>0</v>
      </c>
      <c r="E67" s="495" cm="1">
        <f t="array" ref="E67">SUMPRODUCT((TRIM('Variance Data'!$B$2:$B$529)=IF($C$6="Semua",TRIM(_xlfn.SINGLE('Variance Data'!$B$2:$B$529)),$C$6))*('Variance Data'!$E$2:$E$529=IF($C$7="Semua",'Variance Data'!$E$2:$E$529,$C$7))*('Variance Data'!$K$2:$K$529="Minggu 22 (2026)")*'Variance Data'!$N$2:$N$529)</f>
        <v>0</v>
      </c>
      <c r="F67" s="495" cm="1">
        <f t="array" aca="1" ref="F67" ca="1">SUMPRODUCT((TRIM('Variance Data'!$B$2:$B$529)=IF($C$6="Semua",TRIM(_xlfn.SINGLE('Variance Data'!$B$2:$B$529)),$C$6))*('Variance Data'!$E$2:$E$529=IF($C$7="Semua",'Variance Data'!$E$2:$E$529,$C$7))*('Variance Data'!$K$2:$K$529="Minggu 22 (2026)")*('Variance Data'!$O$2:$O$529-'Variance Data'!$P$2:$P$529))</f>
        <v>0</v>
      </c>
      <c r="G67" s="495" cm="1">
        <f t="array" aca="1" ref="G67" ca="1">SUMPRODUCT((TRIM('Variance Data'!$B$2:$B$529)=IF($C$6="Semua",TRIM(_xlfn.SINGLE('Variance Data'!$B$2:$B$529)),$C$6))*('Variance Data'!$E$2:$E$529=IF($C$7="Semua",'Variance Data'!$E$2:$E$529,$C$7))*('Variance Data'!$K$2:$K$529="Minggu 22 (2026)")*'Variance Data'!$P$2:$P$529)</f>
        <v>0</v>
      </c>
      <c r="H67" s="495" t="str" cm="1">
        <f t="array" aca="1" ref="H67" ca="1">IFERROR(SUMPRODUCT((TRIM('Variance Data'!$B$2:$B$529)=IF($C$6="Semua",TRIM(_xlfn.SINGLE('Variance Data'!$B$2:$B$529)),$C$6))*('Variance Data'!$E$2:$E$529=IF($C$7="Semua",'Variance Data'!$E$2:$E$529,$C$7))*('Variance Data'!$K$2:$K$529="Minggu 22 (2026)")*'Variance Data'!$L$2:$L$529*'Variance Data'!$Q$2:$Q$529)/SUMPRODUCT((TRIM('Variance Data'!$B$2:$B$529)=IF($C$6="Semua",TRIM(_xlfn.SINGLE('Variance Data'!$B$2:$B$529)),$C$6))*('Variance Data'!$E$2:$E$529=IF($C$7="Semua",'Variance Data'!$E$2:$E$529,$C$7))*('Variance Data'!$K$2:$K$529="Minggu 22 (2026)")*'Variance Data'!$L$2:$L$529),"")</f>
        <v/>
      </c>
    </row>
    <row r="68" spans="2:8" x14ac:dyDescent="0.25">
      <c r="B68" s="495" t="s">
        <v>1430</v>
      </c>
      <c r="C68" s="495" cm="1">
        <f t="array" ref="C68">SUMPRODUCT((TRIM('Variance Data'!$B$2:$B$529)=IF($C$6="Semua",TRIM(_xlfn.SINGLE('Variance Data'!$B$2:$B$529)),$C$6))*('Variance Data'!$E$2:$E$529=IF($C$7="Semua",'Variance Data'!$E$2:$E$529,$C$7))*('Variance Data'!$K$2:$K$529="Minggu 23 (2026)")*1)</f>
        <v>0</v>
      </c>
      <c r="D68" s="495" cm="1">
        <f t="array" ref="D68">SUMPRODUCT((TRIM('Variance Data'!$B$2:$B$529)=IF($C$6="Semua",TRIM(_xlfn.SINGLE('Variance Data'!$B$2:$B$529)),$C$6))*('Variance Data'!$E$2:$E$529=IF($C$7="Semua",'Variance Data'!$E$2:$E$529,$C$7))*('Variance Data'!$K$2:$K$529="Minggu 23 (2026)")*'Variance Data'!$M$2:$M$529)</f>
        <v>0</v>
      </c>
      <c r="E68" s="495" cm="1">
        <f t="array" ref="E68">SUMPRODUCT((TRIM('Variance Data'!$B$2:$B$529)=IF($C$6="Semua",TRIM(_xlfn.SINGLE('Variance Data'!$B$2:$B$529)),$C$6))*('Variance Data'!$E$2:$E$529=IF($C$7="Semua",'Variance Data'!$E$2:$E$529,$C$7))*('Variance Data'!$K$2:$K$529="Minggu 23 (2026)")*'Variance Data'!$N$2:$N$529)</f>
        <v>0</v>
      </c>
      <c r="F68" s="495" cm="1">
        <f t="array" aca="1" ref="F68" ca="1">SUMPRODUCT((TRIM('Variance Data'!$B$2:$B$529)=IF($C$6="Semua",TRIM(_xlfn.SINGLE('Variance Data'!$B$2:$B$529)),$C$6))*('Variance Data'!$E$2:$E$529=IF($C$7="Semua",'Variance Data'!$E$2:$E$529,$C$7))*('Variance Data'!$K$2:$K$529="Minggu 23 (2026)")*('Variance Data'!$O$2:$O$529-'Variance Data'!$P$2:$P$529))</f>
        <v>0</v>
      </c>
      <c r="G68" s="495" cm="1">
        <f t="array" aca="1" ref="G68" ca="1">SUMPRODUCT((TRIM('Variance Data'!$B$2:$B$529)=IF($C$6="Semua",TRIM(_xlfn.SINGLE('Variance Data'!$B$2:$B$529)),$C$6))*('Variance Data'!$E$2:$E$529=IF($C$7="Semua",'Variance Data'!$E$2:$E$529,$C$7))*('Variance Data'!$K$2:$K$529="Minggu 23 (2026)")*'Variance Data'!$P$2:$P$529)</f>
        <v>0</v>
      </c>
      <c r="H68" s="495" t="str" cm="1">
        <f t="array" aca="1" ref="H68" ca="1">IFERROR(SUMPRODUCT((TRIM('Variance Data'!$B$2:$B$529)=IF($C$6="Semua",TRIM(_xlfn.SINGLE('Variance Data'!$B$2:$B$529)),$C$6))*('Variance Data'!$E$2:$E$529=IF($C$7="Semua",'Variance Data'!$E$2:$E$529,$C$7))*('Variance Data'!$K$2:$K$529="Minggu 23 (2026)")*'Variance Data'!$L$2:$L$529*'Variance Data'!$Q$2:$Q$529)/SUMPRODUCT((TRIM('Variance Data'!$B$2:$B$529)=IF($C$6="Semua",TRIM(_xlfn.SINGLE('Variance Data'!$B$2:$B$529)),$C$6))*('Variance Data'!$E$2:$E$529=IF($C$7="Semua",'Variance Data'!$E$2:$E$529,$C$7))*('Variance Data'!$K$2:$K$529="Minggu 23 (2026)")*'Variance Data'!$L$2:$L$529),"")</f>
        <v/>
      </c>
    </row>
    <row r="69" spans="2:8" x14ac:dyDescent="0.25">
      <c r="B69" s="495" t="s">
        <v>1431</v>
      </c>
      <c r="C69" s="495" cm="1">
        <f t="array" ref="C69">SUMPRODUCT((TRIM('Variance Data'!$B$2:$B$529)=IF($C$6="Semua",TRIM(_xlfn.SINGLE('Variance Data'!$B$2:$B$529)),$C$6))*('Variance Data'!$E$2:$E$529=IF($C$7="Semua",'Variance Data'!$E$2:$E$529,$C$7))*('Variance Data'!$K$2:$K$529="Minggu 24 (2026)")*1)</f>
        <v>0</v>
      </c>
      <c r="D69" s="495" cm="1">
        <f t="array" ref="D69">SUMPRODUCT((TRIM('Variance Data'!$B$2:$B$529)=IF($C$6="Semua",TRIM(_xlfn.SINGLE('Variance Data'!$B$2:$B$529)),$C$6))*('Variance Data'!$E$2:$E$529=IF($C$7="Semua",'Variance Data'!$E$2:$E$529,$C$7))*('Variance Data'!$K$2:$K$529="Minggu 24 (2026)")*'Variance Data'!$M$2:$M$529)</f>
        <v>0</v>
      </c>
      <c r="E69" s="495" cm="1">
        <f t="array" ref="E69">SUMPRODUCT((TRIM('Variance Data'!$B$2:$B$529)=IF($C$6="Semua",TRIM(_xlfn.SINGLE('Variance Data'!$B$2:$B$529)),$C$6))*('Variance Data'!$E$2:$E$529=IF($C$7="Semua",'Variance Data'!$E$2:$E$529,$C$7))*('Variance Data'!$K$2:$K$529="Minggu 24 (2026)")*'Variance Data'!$N$2:$N$529)</f>
        <v>0</v>
      </c>
      <c r="F69" s="495" cm="1">
        <f t="array" aca="1" ref="F69" ca="1">SUMPRODUCT((TRIM('Variance Data'!$B$2:$B$529)=IF($C$6="Semua",TRIM(_xlfn.SINGLE('Variance Data'!$B$2:$B$529)),$C$6))*('Variance Data'!$E$2:$E$529=IF($C$7="Semua",'Variance Data'!$E$2:$E$529,$C$7))*('Variance Data'!$K$2:$K$529="Minggu 24 (2026)")*('Variance Data'!$O$2:$O$529-'Variance Data'!$P$2:$P$529))</f>
        <v>0</v>
      </c>
      <c r="G69" s="495" cm="1">
        <f t="array" aca="1" ref="G69" ca="1">SUMPRODUCT((TRIM('Variance Data'!$B$2:$B$529)=IF($C$6="Semua",TRIM(_xlfn.SINGLE('Variance Data'!$B$2:$B$529)),$C$6))*('Variance Data'!$E$2:$E$529=IF($C$7="Semua",'Variance Data'!$E$2:$E$529,$C$7))*('Variance Data'!$K$2:$K$529="Minggu 24 (2026)")*'Variance Data'!$P$2:$P$529)</f>
        <v>0</v>
      </c>
      <c r="H69" s="495" t="str" cm="1">
        <f t="array" aca="1" ref="H69" ca="1">IFERROR(SUMPRODUCT((TRIM('Variance Data'!$B$2:$B$529)=IF($C$6="Semua",TRIM(_xlfn.SINGLE('Variance Data'!$B$2:$B$529)),$C$6))*('Variance Data'!$E$2:$E$529=IF($C$7="Semua",'Variance Data'!$E$2:$E$529,$C$7))*('Variance Data'!$K$2:$K$529="Minggu 24 (2026)")*'Variance Data'!$L$2:$L$529*'Variance Data'!$Q$2:$Q$529)/SUMPRODUCT((TRIM('Variance Data'!$B$2:$B$529)=IF($C$6="Semua",TRIM(_xlfn.SINGLE('Variance Data'!$B$2:$B$529)),$C$6))*('Variance Data'!$E$2:$E$529=IF($C$7="Semua",'Variance Data'!$E$2:$E$529,$C$7))*('Variance Data'!$K$2:$K$529="Minggu 24 (2026)")*'Variance Data'!$L$2:$L$529),"")</f>
        <v/>
      </c>
    </row>
    <row r="70" spans="2:8" x14ac:dyDescent="0.25">
      <c r="B70" s="495" t="s">
        <v>1432</v>
      </c>
      <c r="C70" s="495" cm="1">
        <f t="array" ref="C70">SUMPRODUCT((TRIM('Variance Data'!$B$2:$B$529)=IF($C$6="Semua",TRIM(_xlfn.SINGLE('Variance Data'!$B$2:$B$529)),$C$6))*('Variance Data'!$E$2:$E$529=IF($C$7="Semua",'Variance Data'!$E$2:$E$529,$C$7))*('Variance Data'!$K$2:$K$529="Minggu 25 (2026)")*1)</f>
        <v>0</v>
      </c>
      <c r="D70" s="495" cm="1">
        <f t="array" ref="D70">SUMPRODUCT((TRIM('Variance Data'!$B$2:$B$529)=IF($C$6="Semua",TRIM(_xlfn.SINGLE('Variance Data'!$B$2:$B$529)),$C$6))*('Variance Data'!$E$2:$E$529=IF($C$7="Semua",'Variance Data'!$E$2:$E$529,$C$7))*('Variance Data'!$K$2:$K$529="Minggu 25 (2026)")*'Variance Data'!$M$2:$M$529)</f>
        <v>0</v>
      </c>
      <c r="E70" s="495" cm="1">
        <f t="array" ref="E70">SUMPRODUCT((TRIM('Variance Data'!$B$2:$B$529)=IF($C$6="Semua",TRIM(_xlfn.SINGLE('Variance Data'!$B$2:$B$529)),$C$6))*('Variance Data'!$E$2:$E$529=IF($C$7="Semua",'Variance Data'!$E$2:$E$529,$C$7))*('Variance Data'!$K$2:$K$529="Minggu 25 (2026)")*'Variance Data'!$N$2:$N$529)</f>
        <v>0</v>
      </c>
      <c r="F70" s="495" cm="1">
        <f t="array" aca="1" ref="F70" ca="1">SUMPRODUCT((TRIM('Variance Data'!$B$2:$B$529)=IF($C$6="Semua",TRIM(_xlfn.SINGLE('Variance Data'!$B$2:$B$529)),$C$6))*('Variance Data'!$E$2:$E$529=IF($C$7="Semua",'Variance Data'!$E$2:$E$529,$C$7))*('Variance Data'!$K$2:$K$529="Minggu 25 (2026)")*('Variance Data'!$O$2:$O$529-'Variance Data'!$P$2:$P$529))</f>
        <v>0</v>
      </c>
      <c r="G70" s="495" cm="1">
        <f t="array" aca="1" ref="G70" ca="1">SUMPRODUCT((TRIM('Variance Data'!$B$2:$B$529)=IF($C$6="Semua",TRIM(_xlfn.SINGLE('Variance Data'!$B$2:$B$529)),$C$6))*('Variance Data'!$E$2:$E$529=IF($C$7="Semua",'Variance Data'!$E$2:$E$529,$C$7))*('Variance Data'!$K$2:$K$529="Minggu 25 (2026)")*'Variance Data'!$P$2:$P$529)</f>
        <v>0</v>
      </c>
      <c r="H70" s="495" t="str" cm="1">
        <f t="array" aca="1" ref="H70" ca="1">IFERROR(SUMPRODUCT((TRIM('Variance Data'!$B$2:$B$529)=IF($C$6="Semua",TRIM(_xlfn.SINGLE('Variance Data'!$B$2:$B$529)),$C$6))*('Variance Data'!$E$2:$E$529=IF($C$7="Semua",'Variance Data'!$E$2:$E$529,$C$7))*('Variance Data'!$K$2:$K$529="Minggu 25 (2026)")*'Variance Data'!$L$2:$L$529*'Variance Data'!$Q$2:$Q$529)/SUMPRODUCT((TRIM('Variance Data'!$B$2:$B$529)=IF($C$6="Semua",TRIM(_xlfn.SINGLE('Variance Data'!$B$2:$B$529)),$C$6))*('Variance Data'!$E$2:$E$529=IF($C$7="Semua",'Variance Data'!$E$2:$E$529,$C$7))*('Variance Data'!$K$2:$K$529="Minggu 25 (2026)")*'Variance Data'!$L$2:$L$529),"")</f>
        <v/>
      </c>
    </row>
    <row r="71" spans="2:8" x14ac:dyDescent="0.25">
      <c r="B71" s="495" t="s">
        <v>1433</v>
      </c>
      <c r="C71" s="495" cm="1">
        <f t="array" ref="C71">SUMPRODUCT((TRIM('Variance Data'!$B$2:$B$529)=IF($C$6="Semua",TRIM(_xlfn.SINGLE('Variance Data'!$B$2:$B$529)),$C$6))*('Variance Data'!$E$2:$E$529=IF($C$7="Semua",'Variance Data'!$E$2:$E$529,$C$7))*('Variance Data'!$K$2:$K$529="Minggu 26 (2026)")*1)</f>
        <v>0</v>
      </c>
      <c r="D71" s="495" cm="1">
        <f t="array" ref="D71">SUMPRODUCT((TRIM('Variance Data'!$B$2:$B$529)=IF($C$6="Semua",TRIM(_xlfn.SINGLE('Variance Data'!$B$2:$B$529)),$C$6))*('Variance Data'!$E$2:$E$529=IF($C$7="Semua",'Variance Data'!$E$2:$E$529,$C$7))*('Variance Data'!$K$2:$K$529="Minggu 26 (2026)")*'Variance Data'!$M$2:$M$529)</f>
        <v>0</v>
      </c>
      <c r="E71" s="495" cm="1">
        <f t="array" ref="E71">SUMPRODUCT((TRIM('Variance Data'!$B$2:$B$529)=IF($C$6="Semua",TRIM(_xlfn.SINGLE('Variance Data'!$B$2:$B$529)),$C$6))*('Variance Data'!$E$2:$E$529=IF($C$7="Semua",'Variance Data'!$E$2:$E$529,$C$7))*('Variance Data'!$K$2:$K$529="Minggu 26 (2026)")*'Variance Data'!$N$2:$N$529)</f>
        <v>0</v>
      </c>
      <c r="F71" s="495" cm="1">
        <f t="array" aca="1" ref="F71" ca="1">SUMPRODUCT((TRIM('Variance Data'!$B$2:$B$529)=IF($C$6="Semua",TRIM(_xlfn.SINGLE('Variance Data'!$B$2:$B$529)),$C$6))*('Variance Data'!$E$2:$E$529=IF($C$7="Semua",'Variance Data'!$E$2:$E$529,$C$7))*('Variance Data'!$K$2:$K$529="Minggu 26 (2026)")*('Variance Data'!$O$2:$O$529-'Variance Data'!$P$2:$P$529))</f>
        <v>0</v>
      </c>
      <c r="G71" s="495" cm="1">
        <f t="array" aca="1" ref="G71" ca="1">SUMPRODUCT((TRIM('Variance Data'!$B$2:$B$529)=IF($C$6="Semua",TRIM(_xlfn.SINGLE('Variance Data'!$B$2:$B$529)),$C$6))*('Variance Data'!$E$2:$E$529=IF($C$7="Semua",'Variance Data'!$E$2:$E$529,$C$7))*('Variance Data'!$K$2:$K$529="Minggu 26 (2026)")*'Variance Data'!$P$2:$P$529)</f>
        <v>0</v>
      </c>
      <c r="H71" s="495" t="str" cm="1">
        <f t="array" aca="1" ref="H71" ca="1">IFERROR(SUMPRODUCT((TRIM('Variance Data'!$B$2:$B$529)=IF($C$6="Semua",TRIM(_xlfn.SINGLE('Variance Data'!$B$2:$B$529)),$C$6))*('Variance Data'!$E$2:$E$529=IF($C$7="Semua",'Variance Data'!$E$2:$E$529,$C$7))*('Variance Data'!$K$2:$K$529="Minggu 26 (2026)")*'Variance Data'!$L$2:$L$529*'Variance Data'!$Q$2:$Q$529)/SUMPRODUCT((TRIM('Variance Data'!$B$2:$B$529)=IF($C$6="Semua",TRIM(_xlfn.SINGLE('Variance Data'!$B$2:$B$529)),$C$6))*('Variance Data'!$E$2:$E$529=IF($C$7="Semua",'Variance Data'!$E$2:$E$529,$C$7))*('Variance Data'!$K$2:$K$529="Minggu 26 (2026)")*'Variance Data'!$L$2:$L$529),"")</f>
        <v/>
      </c>
    </row>
    <row r="72" spans="2:8" x14ac:dyDescent="0.25">
      <c r="B72" s="495" t="s">
        <v>1434</v>
      </c>
      <c r="C72" s="495" cm="1">
        <f t="array" ref="C72">SUMPRODUCT((TRIM('Variance Data'!$B$2:$B$529)=IF($C$6="Semua",TRIM(_xlfn.SINGLE('Variance Data'!$B$2:$B$529)),$C$6))*('Variance Data'!$E$2:$E$529=IF($C$7="Semua",'Variance Data'!$E$2:$E$529,$C$7))*('Variance Data'!$K$2:$K$529="Minggu 27 (2026)")*1)</f>
        <v>0</v>
      </c>
      <c r="D72" s="495" cm="1">
        <f t="array" ref="D72">SUMPRODUCT((TRIM('Variance Data'!$B$2:$B$529)=IF($C$6="Semua",TRIM(_xlfn.SINGLE('Variance Data'!$B$2:$B$529)),$C$6))*('Variance Data'!$E$2:$E$529=IF($C$7="Semua",'Variance Data'!$E$2:$E$529,$C$7))*('Variance Data'!$K$2:$K$529="Minggu 27 (2026)")*'Variance Data'!$M$2:$M$529)</f>
        <v>0</v>
      </c>
      <c r="E72" s="495" cm="1">
        <f t="array" ref="E72">SUMPRODUCT((TRIM('Variance Data'!$B$2:$B$529)=IF($C$6="Semua",TRIM(_xlfn.SINGLE('Variance Data'!$B$2:$B$529)),$C$6))*('Variance Data'!$E$2:$E$529=IF($C$7="Semua",'Variance Data'!$E$2:$E$529,$C$7))*('Variance Data'!$K$2:$K$529="Minggu 27 (2026)")*'Variance Data'!$N$2:$N$529)</f>
        <v>0</v>
      </c>
      <c r="F72" s="495" cm="1">
        <f t="array" aca="1" ref="F72" ca="1">SUMPRODUCT((TRIM('Variance Data'!$B$2:$B$529)=IF($C$6="Semua",TRIM(_xlfn.SINGLE('Variance Data'!$B$2:$B$529)),$C$6))*('Variance Data'!$E$2:$E$529=IF($C$7="Semua",'Variance Data'!$E$2:$E$529,$C$7))*('Variance Data'!$K$2:$K$529="Minggu 27 (2026)")*('Variance Data'!$O$2:$O$529-'Variance Data'!$P$2:$P$529))</f>
        <v>0</v>
      </c>
      <c r="G72" s="495" cm="1">
        <f t="array" aca="1" ref="G72" ca="1">SUMPRODUCT((TRIM('Variance Data'!$B$2:$B$529)=IF($C$6="Semua",TRIM(_xlfn.SINGLE('Variance Data'!$B$2:$B$529)),$C$6))*('Variance Data'!$E$2:$E$529=IF($C$7="Semua",'Variance Data'!$E$2:$E$529,$C$7))*('Variance Data'!$K$2:$K$529="Minggu 27 (2026)")*'Variance Data'!$P$2:$P$529)</f>
        <v>0</v>
      </c>
      <c r="H72" s="495" t="str" cm="1">
        <f t="array" aca="1" ref="H72" ca="1">IFERROR(SUMPRODUCT((TRIM('Variance Data'!$B$2:$B$529)=IF($C$6="Semua",TRIM(_xlfn.SINGLE('Variance Data'!$B$2:$B$529)),$C$6))*('Variance Data'!$E$2:$E$529=IF($C$7="Semua",'Variance Data'!$E$2:$E$529,$C$7))*('Variance Data'!$K$2:$K$529="Minggu 27 (2026)")*'Variance Data'!$L$2:$L$529*'Variance Data'!$Q$2:$Q$529)/SUMPRODUCT((TRIM('Variance Data'!$B$2:$B$529)=IF($C$6="Semua",TRIM(_xlfn.SINGLE('Variance Data'!$B$2:$B$529)),$C$6))*('Variance Data'!$E$2:$E$529=IF($C$7="Semua",'Variance Data'!$E$2:$E$529,$C$7))*('Variance Data'!$K$2:$K$529="Minggu 27 (2026)")*'Variance Data'!$L$2:$L$529),"")</f>
        <v/>
      </c>
    </row>
    <row r="73" spans="2:8" x14ac:dyDescent="0.25">
      <c r="B73" s="495" t="s">
        <v>1435</v>
      </c>
      <c r="C73" s="495" cm="1">
        <f t="array" ref="C73">SUMPRODUCT((TRIM('Variance Data'!$B$2:$B$529)=IF($C$6="Semua",TRIM(_xlfn.SINGLE('Variance Data'!$B$2:$B$529)),$C$6))*('Variance Data'!$E$2:$E$529=IF($C$7="Semua",'Variance Data'!$E$2:$E$529,$C$7))*('Variance Data'!$K$2:$K$529="Minggu 28 (2026)")*1)</f>
        <v>0</v>
      </c>
      <c r="D73" s="495" cm="1">
        <f t="array" ref="D73">SUMPRODUCT((TRIM('Variance Data'!$B$2:$B$529)=IF($C$6="Semua",TRIM(_xlfn.SINGLE('Variance Data'!$B$2:$B$529)),$C$6))*('Variance Data'!$E$2:$E$529=IF($C$7="Semua",'Variance Data'!$E$2:$E$529,$C$7))*('Variance Data'!$K$2:$K$529="Minggu 28 (2026)")*'Variance Data'!$M$2:$M$529)</f>
        <v>0</v>
      </c>
      <c r="E73" s="495" cm="1">
        <f t="array" ref="E73">SUMPRODUCT((TRIM('Variance Data'!$B$2:$B$529)=IF($C$6="Semua",TRIM(_xlfn.SINGLE('Variance Data'!$B$2:$B$529)),$C$6))*('Variance Data'!$E$2:$E$529=IF($C$7="Semua",'Variance Data'!$E$2:$E$529,$C$7))*('Variance Data'!$K$2:$K$529="Minggu 28 (2026)")*'Variance Data'!$N$2:$N$529)</f>
        <v>0</v>
      </c>
      <c r="F73" s="495" cm="1">
        <f t="array" aca="1" ref="F73" ca="1">SUMPRODUCT((TRIM('Variance Data'!$B$2:$B$529)=IF($C$6="Semua",TRIM(_xlfn.SINGLE('Variance Data'!$B$2:$B$529)),$C$6))*('Variance Data'!$E$2:$E$529=IF($C$7="Semua",'Variance Data'!$E$2:$E$529,$C$7))*('Variance Data'!$K$2:$K$529="Minggu 28 (2026)")*('Variance Data'!$O$2:$O$529-'Variance Data'!$P$2:$P$529))</f>
        <v>0</v>
      </c>
      <c r="G73" s="495" cm="1">
        <f t="array" aca="1" ref="G73" ca="1">SUMPRODUCT((TRIM('Variance Data'!$B$2:$B$529)=IF($C$6="Semua",TRIM(_xlfn.SINGLE('Variance Data'!$B$2:$B$529)),$C$6))*('Variance Data'!$E$2:$E$529=IF($C$7="Semua",'Variance Data'!$E$2:$E$529,$C$7))*('Variance Data'!$K$2:$K$529="Minggu 28 (2026)")*'Variance Data'!$P$2:$P$529)</f>
        <v>0</v>
      </c>
      <c r="H73" s="495" t="str" cm="1">
        <f t="array" aca="1" ref="H73" ca="1">IFERROR(SUMPRODUCT((TRIM('Variance Data'!$B$2:$B$529)=IF($C$6="Semua",TRIM(_xlfn.SINGLE('Variance Data'!$B$2:$B$529)),$C$6))*('Variance Data'!$E$2:$E$529=IF($C$7="Semua",'Variance Data'!$E$2:$E$529,$C$7))*('Variance Data'!$K$2:$K$529="Minggu 28 (2026)")*'Variance Data'!$L$2:$L$529*'Variance Data'!$Q$2:$Q$529)/SUMPRODUCT((TRIM('Variance Data'!$B$2:$B$529)=IF($C$6="Semua",TRIM(_xlfn.SINGLE('Variance Data'!$B$2:$B$529)),$C$6))*('Variance Data'!$E$2:$E$529=IF($C$7="Semua",'Variance Data'!$E$2:$E$529,$C$7))*('Variance Data'!$K$2:$K$529="Minggu 28 (2026)")*'Variance Data'!$L$2:$L$529),"")</f>
        <v/>
      </c>
    </row>
    <row r="74" spans="2:8" x14ac:dyDescent="0.25">
      <c r="B74" s="495" t="s">
        <v>1436</v>
      </c>
      <c r="C74" s="495" cm="1">
        <f t="array" ref="C74">SUMPRODUCT((TRIM('Variance Data'!$B$2:$B$529)=IF($C$6="Semua",TRIM(_xlfn.SINGLE('Variance Data'!$B$2:$B$529)),$C$6))*('Variance Data'!$E$2:$E$529=IF($C$7="Semua",'Variance Data'!$E$2:$E$529,$C$7))*('Variance Data'!$K$2:$K$529="Minggu 29 (2026)")*1)</f>
        <v>0</v>
      </c>
      <c r="D74" s="495" cm="1">
        <f t="array" ref="D74">SUMPRODUCT((TRIM('Variance Data'!$B$2:$B$529)=IF($C$6="Semua",TRIM(_xlfn.SINGLE('Variance Data'!$B$2:$B$529)),$C$6))*('Variance Data'!$E$2:$E$529=IF($C$7="Semua",'Variance Data'!$E$2:$E$529,$C$7))*('Variance Data'!$K$2:$K$529="Minggu 29 (2026)")*'Variance Data'!$M$2:$M$529)</f>
        <v>0</v>
      </c>
      <c r="E74" s="495" cm="1">
        <f t="array" ref="E74">SUMPRODUCT((TRIM('Variance Data'!$B$2:$B$529)=IF($C$6="Semua",TRIM(_xlfn.SINGLE('Variance Data'!$B$2:$B$529)),$C$6))*('Variance Data'!$E$2:$E$529=IF($C$7="Semua",'Variance Data'!$E$2:$E$529,$C$7))*('Variance Data'!$K$2:$K$529="Minggu 29 (2026)")*'Variance Data'!$N$2:$N$529)</f>
        <v>0</v>
      </c>
      <c r="F74" s="495" cm="1">
        <f t="array" aca="1" ref="F74" ca="1">SUMPRODUCT((TRIM('Variance Data'!$B$2:$B$529)=IF($C$6="Semua",TRIM(_xlfn.SINGLE('Variance Data'!$B$2:$B$529)),$C$6))*('Variance Data'!$E$2:$E$529=IF($C$7="Semua",'Variance Data'!$E$2:$E$529,$C$7))*('Variance Data'!$K$2:$K$529="Minggu 29 (2026)")*('Variance Data'!$O$2:$O$529-'Variance Data'!$P$2:$P$529))</f>
        <v>0</v>
      </c>
      <c r="G74" s="495" cm="1">
        <f t="array" aca="1" ref="G74" ca="1">SUMPRODUCT((TRIM('Variance Data'!$B$2:$B$529)=IF($C$6="Semua",TRIM(_xlfn.SINGLE('Variance Data'!$B$2:$B$529)),$C$6))*('Variance Data'!$E$2:$E$529=IF($C$7="Semua",'Variance Data'!$E$2:$E$529,$C$7))*('Variance Data'!$K$2:$K$529="Minggu 29 (2026)")*'Variance Data'!$P$2:$P$529)</f>
        <v>0</v>
      </c>
      <c r="H74" s="495" t="str" cm="1">
        <f t="array" aca="1" ref="H74" ca="1">IFERROR(SUMPRODUCT((TRIM('Variance Data'!$B$2:$B$529)=IF($C$6="Semua",TRIM(_xlfn.SINGLE('Variance Data'!$B$2:$B$529)),$C$6))*('Variance Data'!$E$2:$E$529=IF($C$7="Semua",'Variance Data'!$E$2:$E$529,$C$7))*('Variance Data'!$K$2:$K$529="Minggu 29 (2026)")*'Variance Data'!$L$2:$L$529*'Variance Data'!$Q$2:$Q$529)/SUMPRODUCT((TRIM('Variance Data'!$B$2:$B$529)=IF($C$6="Semua",TRIM(_xlfn.SINGLE('Variance Data'!$B$2:$B$529)),$C$6))*('Variance Data'!$E$2:$E$529=IF($C$7="Semua",'Variance Data'!$E$2:$E$529,$C$7))*('Variance Data'!$K$2:$K$529="Minggu 29 (2026)")*'Variance Data'!$L$2:$L$529),"")</f>
        <v/>
      </c>
    </row>
    <row r="75" spans="2:8" x14ac:dyDescent="0.25">
      <c r="B75" s="495" t="s">
        <v>1437</v>
      </c>
      <c r="C75" s="495" cm="1">
        <f t="array" ref="C75">SUMPRODUCT((TRIM('Variance Data'!$B$2:$B$529)=IF($C$6="Semua",TRIM(_xlfn.SINGLE('Variance Data'!$B$2:$B$529)),$C$6))*('Variance Data'!$E$2:$E$529=IF($C$7="Semua",'Variance Data'!$E$2:$E$529,$C$7))*('Variance Data'!$K$2:$K$529="Minggu 35 (2026)")*1)</f>
        <v>0</v>
      </c>
      <c r="D75" s="495" cm="1">
        <f t="array" ref="D75">SUMPRODUCT((TRIM('Variance Data'!$B$2:$B$529)=IF($C$6="Semua",TRIM(_xlfn.SINGLE('Variance Data'!$B$2:$B$529)),$C$6))*('Variance Data'!$E$2:$E$529=IF($C$7="Semua",'Variance Data'!$E$2:$E$529,$C$7))*('Variance Data'!$K$2:$K$529="Minggu 35 (2026)")*'Variance Data'!$M$2:$M$529)</f>
        <v>0</v>
      </c>
      <c r="E75" s="495" cm="1">
        <f t="array" ref="E75">SUMPRODUCT((TRIM('Variance Data'!$B$2:$B$529)=IF($C$6="Semua",TRIM(_xlfn.SINGLE('Variance Data'!$B$2:$B$529)),$C$6))*('Variance Data'!$E$2:$E$529=IF($C$7="Semua",'Variance Data'!$E$2:$E$529,$C$7))*('Variance Data'!$K$2:$K$529="Minggu 35 (2026)")*'Variance Data'!$N$2:$N$529)</f>
        <v>0</v>
      </c>
      <c r="F75" s="495" cm="1">
        <f t="array" aca="1" ref="F75" ca="1">SUMPRODUCT((TRIM('Variance Data'!$B$2:$B$529)=IF($C$6="Semua",TRIM(_xlfn.SINGLE('Variance Data'!$B$2:$B$529)),$C$6))*('Variance Data'!$E$2:$E$529=IF($C$7="Semua",'Variance Data'!$E$2:$E$529,$C$7))*('Variance Data'!$K$2:$K$529="Minggu 35 (2026)")*('Variance Data'!$O$2:$O$529-'Variance Data'!$P$2:$P$529))</f>
        <v>0</v>
      </c>
      <c r="G75" s="495" cm="1">
        <f t="array" aca="1" ref="G75" ca="1">SUMPRODUCT((TRIM('Variance Data'!$B$2:$B$529)=IF($C$6="Semua",TRIM(_xlfn.SINGLE('Variance Data'!$B$2:$B$529)),$C$6))*('Variance Data'!$E$2:$E$529=IF($C$7="Semua",'Variance Data'!$E$2:$E$529,$C$7))*('Variance Data'!$K$2:$K$529="Minggu 35 (2026)")*'Variance Data'!$P$2:$P$529)</f>
        <v>0</v>
      </c>
      <c r="H75" s="495" t="str" cm="1">
        <f t="array" aca="1" ref="H75" ca="1">IFERROR(SUMPRODUCT((TRIM('Variance Data'!$B$2:$B$529)=IF($C$6="Semua",TRIM(_xlfn.SINGLE('Variance Data'!$B$2:$B$529)),$C$6))*('Variance Data'!$E$2:$E$529=IF($C$7="Semua",'Variance Data'!$E$2:$E$529,$C$7))*('Variance Data'!$K$2:$K$529="Minggu 35 (2026)")*'Variance Data'!$L$2:$L$529*'Variance Data'!$Q$2:$Q$529)/SUMPRODUCT((TRIM('Variance Data'!$B$2:$B$529)=IF($C$6="Semua",TRIM(_xlfn.SINGLE('Variance Data'!$B$2:$B$529)),$C$6))*('Variance Data'!$E$2:$E$529=IF($C$7="Semua",'Variance Data'!$E$2:$E$529,$C$7))*('Variance Data'!$K$2:$K$529="Minggu 35 (2026)")*'Variance Data'!$L$2:$L$529),"")</f>
        <v/>
      </c>
    </row>
    <row r="76" spans="2:8" x14ac:dyDescent="0.25">
      <c r="B76" s="495" t="s">
        <v>1438</v>
      </c>
      <c r="C76" s="495" cm="1">
        <f t="array" ref="C76">SUMPRODUCT((TRIM('Variance Data'!$B$2:$B$529)=IF($C$6="Semua",TRIM(_xlfn.SINGLE('Variance Data'!$B$2:$B$529)),$C$6))*('Variance Data'!$E$2:$E$529=IF($C$7="Semua",'Variance Data'!$E$2:$E$529,$C$7))*('Variance Data'!$K$2:$K$529="Minggu 36 (2026)")*1)</f>
        <v>0</v>
      </c>
      <c r="D76" s="495" cm="1">
        <f t="array" ref="D76">SUMPRODUCT((TRIM('Variance Data'!$B$2:$B$529)=IF($C$6="Semua",TRIM(_xlfn.SINGLE('Variance Data'!$B$2:$B$529)),$C$6))*('Variance Data'!$E$2:$E$529=IF($C$7="Semua",'Variance Data'!$E$2:$E$529,$C$7))*('Variance Data'!$K$2:$K$529="Minggu 36 (2026)")*'Variance Data'!$M$2:$M$529)</f>
        <v>0</v>
      </c>
      <c r="E76" s="495" cm="1">
        <f t="array" ref="E76">SUMPRODUCT((TRIM('Variance Data'!$B$2:$B$529)=IF($C$6="Semua",TRIM(_xlfn.SINGLE('Variance Data'!$B$2:$B$529)),$C$6))*('Variance Data'!$E$2:$E$529=IF($C$7="Semua",'Variance Data'!$E$2:$E$529,$C$7))*('Variance Data'!$K$2:$K$529="Minggu 36 (2026)")*'Variance Data'!$N$2:$N$529)</f>
        <v>0</v>
      </c>
      <c r="F76" s="495" cm="1">
        <f t="array" aca="1" ref="F76" ca="1">SUMPRODUCT((TRIM('Variance Data'!$B$2:$B$529)=IF($C$6="Semua",TRIM(_xlfn.SINGLE('Variance Data'!$B$2:$B$529)),$C$6))*('Variance Data'!$E$2:$E$529=IF($C$7="Semua",'Variance Data'!$E$2:$E$529,$C$7))*('Variance Data'!$K$2:$K$529="Minggu 36 (2026)")*('Variance Data'!$O$2:$O$529-'Variance Data'!$P$2:$P$529))</f>
        <v>0</v>
      </c>
      <c r="G76" s="495" cm="1">
        <f t="array" aca="1" ref="G76" ca="1">SUMPRODUCT((TRIM('Variance Data'!$B$2:$B$529)=IF($C$6="Semua",TRIM(_xlfn.SINGLE('Variance Data'!$B$2:$B$529)),$C$6))*('Variance Data'!$E$2:$E$529=IF($C$7="Semua",'Variance Data'!$E$2:$E$529,$C$7))*('Variance Data'!$K$2:$K$529="Minggu 36 (2026)")*'Variance Data'!$P$2:$P$529)</f>
        <v>0</v>
      </c>
      <c r="H76" s="495" t="str" cm="1">
        <f t="array" aca="1" ref="H76" ca="1">IFERROR(SUMPRODUCT((TRIM('Variance Data'!$B$2:$B$529)=IF($C$6="Semua",TRIM(_xlfn.SINGLE('Variance Data'!$B$2:$B$529)),$C$6))*('Variance Data'!$E$2:$E$529=IF($C$7="Semua",'Variance Data'!$E$2:$E$529,$C$7))*('Variance Data'!$K$2:$K$529="Minggu 36 (2026)")*'Variance Data'!$L$2:$L$529*'Variance Data'!$Q$2:$Q$529)/SUMPRODUCT((TRIM('Variance Data'!$B$2:$B$529)=IF($C$6="Semua",TRIM(_xlfn.SINGLE('Variance Data'!$B$2:$B$529)),$C$6))*('Variance Data'!$E$2:$E$529=IF($C$7="Semua",'Variance Data'!$E$2:$E$529,$C$7))*('Variance Data'!$K$2:$K$529="Minggu 36 (2026)")*'Variance Data'!$L$2:$L$529),"")</f>
        <v/>
      </c>
    </row>
    <row r="77" spans="2:8" x14ac:dyDescent="0.25">
      <c r="B77" s="495" t="s">
        <v>1439</v>
      </c>
      <c r="C77" s="495" cm="1">
        <f t="array" ref="C77">SUMPRODUCT((TRIM('Variance Data'!$B$2:$B$529)=IF($C$6="Semua",TRIM(_xlfn.SINGLE('Variance Data'!$B$2:$B$529)),$C$6))*('Variance Data'!$E$2:$E$529=IF($C$7="Semua",'Variance Data'!$E$2:$E$529,$C$7))*('Variance Data'!$K$2:$K$529="Minggu 37 (2026)")*1)</f>
        <v>0</v>
      </c>
      <c r="D77" s="495" cm="1">
        <f t="array" ref="D77">SUMPRODUCT((TRIM('Variance Data'!$B$2:$B$529)=IF($C$6="Semua",TRIM(_xlfn.SINGLE('Variance Data'!$B$2:$B$529)),$C$6))*('Variance Data'!$E$2:$E$529=IF($C$7="Semua",'Variance Data'!$E$2:$E$529,$C$7))*('Variance Data'!$K$2:$K$529="Minggu 37 (2026)")*'Variance Data'!$M$2:$M$529)</f>
        <v>0</v>
      </c>
      <c r="E77" s="495" cm="1">
        <f t="array" ref="E77">SUMPRODUCT((TRIM('Variance Data'!$B$2:$B$529)=IF($C$6="Semua",TRIM(_xlfn.SINGLE('Variance Data'!$B$2:$B$529)),$C$6))*('Variance Data'!$E$2:$E$529=IF($C$7="Semua",'Variance Data'!$E$2:$E$529,$C$7))*('Variance Data'!$K$2:$K$529="Minggu 37 (2026)")*'Variance Data'!$N$2:$N$529)</f>
        <v>0</v>
      </c>
      <c r="F77" s="495" cm="1">
        <f t="array" aca="1" ref="F77" ca="1">SUMPRODUCT((TRIM('Variance Data'!$B$2:$B$529)=IF($C$6="Semua",TRIM(_xlfn.SINGLE('Variance Data'!$B$2:$B$529)),$C$6))*('Variance Data'!$E$2:$E$529=IF($C$7="Semua",'Variance Data'!$E$2:$E$529,$C$7))*('Variance Data'!$K$2:$K$529="Minggu 37 (2026)")*('Variance Data'!$O$2:$O$529-'Variance Data'!$P$2:$P$529))</f>
        <v>0</v>
      </c>
      <c r="G77" s="495" cm="1">
        <f t="array" aca="1" ref="G77" ca="1">SUMPRODUCT((TRIM('Variance Data'!$B$2:$B$529)=IF($C$6="Semua",TRIM(_xlfn.SINGLE('Variance Data'!$B$2:$B$529)),$C$6))*('Variance Data'!$E$2:$E$529=IF($C$7="Semua",'Variance Data'!$E$2:$E$529,$C$7))*('Variance Data'!$K$2:$K$529="Minggu 37 (2026)")*'Variance Data'!$P$2:$P$529)</f>
        <v>0</v>
      </c>
      <c r="H77" s="495" t="str" cm="1">
        <f t="array" aca="1" ref="H77" ca="1">IFERROR(SUMPRODUCT((TRIM('Variance Data'!$B$2:$B$529)=IF($C$6="Semua",TRIM(_xlfn.SINGLE('Variance Data'!$B$2:$B$529)),$C$6))*('Variance Data'!$E$2:$E$529=IF($C$7="Semua",'Variance Data'!$E$2:$E$529,$C$7))*('Variance Data'!$K$2:$K$529="Minggu 37 (2026)")*'Variance Data'!$L$2:$L$529*'Variance Data'!$Q$2:$Q$529)/SUMPRODUCT((TRIM('Variance Data'!$B$2:$B$529)=IF($C$6="Semua",TRIM(_xlfn.SINGLE('Variance Data'!$B$2:$B$529)),$C$6))*('Variance Data'!$E$2:$E$529=IF($C$7="Semua",'Variance Data'!$E$2:$E$529,$C$7))*('Variance Data'!$K$2:$K$529="Minggu 37 (2026)")*'Variance Data'!$L$2:$L$529),"")</f>
        <v/>
      </c>
    </row>
    <row r="78" spans="2:8" x14ac:dyDescent="0.25">
      <c r="B78" s="495" t="s">
        <v>1440</v>
      </c>
      <c r="C78" s="495" cm="1">
        <f t="array" ref="C78">SUMPRODUCT((TRIM('Variance Data'!$B$2:$B$529)=IF($C$6="Semua",TRIM(_xlfn.SINGLE('Variance Data'!$B$2:$B$529)),$C$6))*('Variance Data'!$E$2:$E$529=IF($C$7="Semua",'Variance Data'!$E$2:$E$529,$C$7))*('Variance Data'!$K$2:$K$529="Minggu 38 (2026)")*1)</f>
        <v>0</v>
      </c>
      <c r="D78" s="495" cm="1">
        <f t="array" ref="D78">SUMPRODUCT((TRIM('Variance Data'!$B$2:$B$529)=IF($C$6="Semua",TRIM(_xlfn.SINGLE('Variance Data'!$B$2:$B$529)),$C$6))*('Variance Data'!$E$2:$E$529=IF($C$7="Semua",'Variance Data'!$E$2:$E$529,$C$7))*('Variance Data'!$K$2:$K$529="Minggu 38 (2026)")*'Variance Data'!$M$2:$M$529)</f>
        <v>0</v>
      </c>
      <c r="E78" s="495" cm="1">
        <f t="array" ref="E78">SUMPRODUCT((TRIM('Variance Data'!$B$2:$B$529)=IF($C$6="Semua",TRIM(_xlfn.SINGLE('Variance Data'!$B$2:$B$529)),$C$6))*('Variance Data'!$E$2:$E$529=IF($C$7="Semua",'Variance Data'!$E$2:$E$529,$C$7))*('Variance Data'!$K$2:$K$529="Minggu 38 (2026)")*'Variance Data'!$N$2:$N$529)</f>
        <v>0</v>
      </c>
      <c r="F78" s="495" cm="1">
        <f t="array" aca="1" ref="F78" ca="1">SUMPRODUCT((TRIM('Variance Data'!$B$2:$B$529)=IF($C$6="Semua",TRIM(_xlfn.SINGLE('Variance Data'!$B$2:$B$529)),$C$6))*('Variance Data'!$E$2:$E$529=IF($C$7="Semua",'Variance Data'!$E$2:$E$529,$C$7))*('Variance Data'!$K$2:$K$529="Minggu 38 (2026)")*('Variance Data'!$O$2:$O$529-'Variance Data'!$P$2:$P$529))</f>
        <v>0</v>
      </c>
      <c r="G78" s="495" cm="1">
        <f t="array" aca="1" ref="G78" ca="1">SUMPRODUCT((TRIM('Variance Data'!$B$2:$B$529)=IF($C$6="Semua",TRIM(_xlfn.SINGLE('Variance Data'!$B$2:$B$529)),$C$6))*('Variance Data'!$E$2:$E$529=IF($C$7="Semua",'Variance Data'!$E$2:$E$529,$C$7))*('Variance Data'!$K$2:$K$529="Minggu 38 (2026)")*'Variance Data'!$P$2:$P$529)</f>
        <v>0</v>
      </c>
      <c r="H78" s="495" t="str" cm="1">
        <f t="array" aca="1" ref="H78" ca="1">IFERROR(SUMPRODUCT((TRIM('Variance Data'!$B$2:$B$529)=IF($C$6="Semua",TRIM(_xlfn.SINGLE('Variance Data'!$B$2:$B$529)),$C$6))*('Variance Data'!$E$2:$E$529=IF($C$7="Semua",'Variance Data'!$E$2:$E$529,$C$7))*('Variance Data'!$K$2:$K$529="Minggu 38 (2026)")*'Variance Data'!$L$2:$L$529*'Variance Data'!$Q$2:$Q$529)/SUMPRODUCT((TRIM('Variance Data'!$B$2:$B$529)=IF($C$6="Semua",TRIM(_xlfn.SINGLE('Variance Data'!$B$2:$B$529)),$C$6))*('Variance Data'!$E$2:$E$529=IF($C$7="Semua",'Variance Data'!$E$2:$E$529,$C$7))*('Variance Data'!$K$2:$K$529="Minggu 38 (2026)")*'Variance Data'!$L$2:$L$529),"")</f>
        <v/>
      </c>
    </row>
    <row r="79" spans="2:8" x14ac:dyDescent="0.25">
      <c r="B79" s="495" t="s">
        <v>1441</v>
      </c>
      <c r="C79" s="495" cm="1">
        <f t="array" ref="C79">SUMPRODUCT((TRIM('Variance Data'!$B$2:$B$529)=IF($C$6="Semua",TRIM(_xlfn.SINGLE('Variance Data'!$B$2:$B$529)),$C$6))*('Variance Data'!$E$2:$E$529=IF($C$7="Semua",'Variance Data'!$E$2:$E$529,$C$7))*('Variance Data'!$K$2:$K$529="Minggu 39 (2026)")*1)</f>
        <v>0</v>
      </c>
      <c r="D79" s="495" cm="1">
        <f t="array" ref="D79">SUMPRODUCT((TRIM('Variance Data'!$B$2:$B$529)=IF($C$6="Semua",TRIM(_xlfn.SINGLE('Variance Data'!$B$2:$B$529)),$C$6))*('Variance Data'!$E$2:$E$529=IF($C$7="Semua",'Variance Data'!$E$2:$E$529,$C$7))*('Variance Data'!$K$2:$K$529="Minggu 39 (2026)")*'Variance Data'!$M$2:$M$529)</f>
        <v>0</v>
      </c>
      <c r="E79" s="495" cm="1">
        <f t="array" ref="E79">SUMPRODUCT((TRIM('Variance Data'!$B$2:$B$529)=IF($C$6="Semua",TRIM(_xlfn.SINGLE('Variance Data'!$B$2:$B$529)),$C$6))*('Variance Data'!$E$2:$E$529=IF($C$7="Semua",'Variance Data'!$E$2:$E$529,$C$7))*('Variance Data'!$K$2:$K$529="Minggu 39 (2026)")*'Variance Data'!$N$2:$N$529)</f>
        <v>0</v>
      </c>
      <c r="F79" s="495" cm="1">
        <f t="array" aca="1" ref="F79" ca="1">SUMPRODUCT((TRIM('Variance Data'!$B$2:$B$529)=IF($C$6="Semua",TRIM(_xlfn.SINGLE('Variance Data'!$B$2:$B$529)),$C$6))*('Variance Data'!$E$2:$E$529=IF($C$7="Semua",'Variance Data'!$E$2:$E$529,$C$7))*('Variance Data'!$K$2:$K$529="Minggu 39 (2026)")*('Variance Data'!$O$2:$O$529-'Variance Data'!$P$2:$P$529))</f>
        <v>0</v>
      </c>
      <c r="G79" s="495" cm="1">
        <f t="array" aca="1" ref="G79" ca="1">SUMPRODUCT((TRIM('Variance Data'!$B$2:$B$529)=IF($C$6="Semua",TRIM(_xlfn.SINGLE('Variance Data'!$B$2:$B$529)),$C$6))*('Variance Data'!$E$2:$E$529=IF($C$7="Semua",'Variance Data'!$E$2:$E$529,$C$7))*('Variance Data'!$K$2:$K$529="Minggu 39 (2026)")*'Variance Data'!$P$2:$P$529)</f>
        <v>0</v>
      </c>
      <c r="H79" s="495" t="str" cm="1">
        <f t="array" aca="1" ref="H79" ca="1">IFERROR(SUMPRODUCT((TRIM('Variance Data'!$B$2:$B$529)=IF($C$6="Semua",TRIM(_xlfn.SINGLE('Variance Data'!$B$2:$B$529)),$C$6))*('Variance Data'!$E$2:$E$529=IF($C$7="Semua",'Variance Data'!$E$2:$E$529,$C$7))*('Variance Data'!$K$2:$K$529="Minggu 39 (2026)")*'Variance Data'!$L$2:$L$529*'Variance Data'!$Q$2:$Q$529)/SUMPRODUCT((TRIM('Variance Data'!$B$2:$B$529)=IF($C$6="Semua",TRIM(_xlfn.SINGLE('Variance Data'!$B$2:$B$529)),$C$6))*('Variance Data'!$E$2:$E$529=IF($C$7="Semua",'Variance Data'!$E$2:$E$529,$C$7))*('Variance Data'!$K$2:$K$529="Minggu 39 (2026)")*'Variance Data'!$L$2:$L$529),"")</f>
        <v/>
      </c>
    </row>
    <row r="80" spans="2:8" x14ac:dyDescent="0.25">
      <c r="B80" s="495" t="s">
        <v>1442</v>
      </c>
      <c r="C80" s="495" cm="1">
        <f t="array" ref="C80">SUMPRODUCT((TRIM('Variance Data'!$B$2:$B$529)=IF($C$6="Semua",TRIM(_xlfn.SINGLE('Variance Data'!$B$2:$B$529)),$C$6))*('Variance Data'!$E$2:$E$529=IF($C$7="Semua",'Variance Data'!$E$2:$E$529,$C$7))*('Variance Data'!$K$2:$K$529="Minggu 41 (2026)")*1)</f>
        <v>0</v>
      </c>
      <c r="D80" s="495" cm="1">
        <f t="array" ref="D80">SUMPRODUCT((TRIM('Variance Data'!$B$2:$B$529)=IF($C$6="Semua",TRIM(_xlfn.SINGLE('Variance Data'!$B$2:$B$529)),$C$6))*('Variance Data'!$E$2:$E$529=IF($C$7="Semua",'Variance Data'!$E$2:$E$529,$C$7))*('Variance Data'!$K$2:$K$529="Minggu 41 (2026)")*'Variance Data'!$M$2:$M$529)</f>
        <v>0</v>
      </c>
      <c r="E80" s="495" cm="1">
        <f t="array" ref="E80">SUMPRODUCT((TRIM('Variance Data'!$B$2:$B$529)=IF($C$6="Semua",TRIM(_xlfn.SINGLE('Variance Data'!$B$2:$B$529)),$C$6))*('Variance Data'!$E$2:$E$529=IF($C$7="Semua",'Variance Data'!$E$2:$E$529,$C$7))*('Variance Data'!$K$2:$K$529="Minggu 41 (2026)")*'Variance Data'!$N$2:$N$529)</f>
        <v>0</v>
      </c>
      <c r="F80" s="495" cm="1">
        <f t="array" aca="1" ref="F80" ca="1">SUMPRODUCT((TRIM('Variance Data'!$B$2:$B$529)=IF($C$6="Semua",TRIM(_xlfn.SINGLE('Variance Data'!$B$2:$B$529)),$C$6))*('Variance Data'!$E$2:$E$529=IF($C$7="Semua",'Variance Data'!$E$2:$E$529,$C$7))*('Variance Data'!$K$2:$K$529="Minggu 41 (2026)")*('Variance Data'!$O$2:$O$529-'Variance Data'!$P$2:$P$529))</f>
        <v>0</v>
      </c>
      <c r="G80" s="495" cm="1">
        <f t="array" aca="1" ref="G80" ca="1">SUMPRODUCT((TRIM('Variance Data'!$B$2:$B$529)=IF($C$6="Semua",TRIM(_xlfn.SINGLE('Variance Data'!$B$2:$B$529)),$C$6))*('Variance Data'!$E$2:$E$529=IF($C$7="Semua",'Variance Data'!$E$2:$E$529,$C$7))*('Variance Data'!$K$2:$K$529="Minggu 41 (2026)")*'Variance Data'!$P$2:$P$529)</f>
        <v>0</v>
      </c>
      <c r="H80" s="495" t="str" cm="1">
        <f t="array" aca="1" ref="H80" ca="1">IFERROR(SUMPRODUCT((TRIM('Variance Data'!$B$2:$B$529)=IF($C$6="Semua",TRIM(_xlfn.SINGLE('Variance Data'!$B$2:$B$529)),$C$6))*('Variance Data'!$E$2:$E$529=IF($C$7="Semua",'Variance Data'!$E$2:$E$529,$C$7))*('Variance Data'!$K$2:$K$529="Minggu 41 (2026)")*'Variance Data'!$L$2:$L$529*'Variance Data'!$Q$2:$Q$529)/SUMPRODUCT((TRIM('Variance Data'!$B$2:$B$529)=IF($C$6="Semua",TRIM(_xlfn.SINGLE('Variance Data'!$B$2:$B$529)),$C$6))*('Variance Data'!$E$2:$E$529=IF($C$7="Semua",'Variance Data'!$E$2:$E$529,$C$7))*('Variance Data'!$K$2:$K$529="Minggu 41 (2026)")*'Variance Data'!$L$2:$L$529),"")</f>
        <v/>
      </c>
    </row>
    <row r="81" spans="2:8" x14ac:dyDescent="0.25">
      <c r="B81" s="495" t="s">
        <v>1443</v>
      </c>
      <c r="C81" s="495" cm="1">
        <f t="array" ref="C81">SUMPRODUCT((TRIM('Variance Data'!$B$2:$B$529)=IF($C$6="Semua",TRIM(_xlfn.SINGLE('Variance Data'!$B$2:$B$529)),$C$6))*('Variance Data'!$E$2:$E$529=IF($C$7="Semua",'Variance Data'!$E$2:$E$529,$C$7))*('Variance Data'!$K$2:$K$529="Minggu 42 (2026)")*1)</f>
        <v>0</v>
      </c>
      <c r="D81" s="495" cm="1">
        <f t="array" ref="D81">SUMPRODUCT((TRIM('Variance Data'!$B$2:$B$529)=IF($C$6="Semua",TRIM(_xlfn.SINGLE('Variance Data'!$B$2:$B$529)),$C$6))*('Variance Data'!$E$2:$E$529=IF($C$7="Semua",'Variance Data'!$E$2:$E$529,$C$7))*('Variance Data'!$K$2:$K$529="Minggu 42 (2026)")*'Variance Data'!$M$2:$M$529)</f>
        <v>0</v>
      </c>
      <c r="E81" s="495" cm="1">
        <f t="array" ref="E81">SUMPRODUCT((TRIM('Variance Data'!$B$2:$B$529)=IF($C$6="Semua",TRIM(_xlfn.SINGLE('Variance Data'!$B$2:$B$529)),$C$6))*('Variance Data'!$E$2:$E$529=IF($C$7="Semua",'Variance Data'!$E$2:$E$529,$C$7))*('Variance Data'!$K$2:$K$529="Minggu 42 (2026)")*'Variance Data'!$N$2:$N$529)</f>
        <v>0</v>
      </c>
      <c r="F81" s="495" cm="1">
        <f t="array" aca="1" ref="F81" ca="1">SUMPRODUCT((TRIM('Variance Data'!$B$2:$B$529)=IF($C$6="Semua",TRIM(_xlfn.SINGLE('Variance Data'!$B$2:$B$529)),$C$6))*('Variance Data'!$E$2:$E$529=IF($C$7="Semua",'Variance Data'!$E$2:$E$529,$C$7))*('Variance Data'!$K$2:$K$529="Minggu 42 (2026)")*('Variance Data'!$O$2:$O$529-'Variance Data'!$P$2:$P$529))</f>
        <v>0</v>
      </c>
      <c r="G81" s="495" cm="1">
        <f t="array" aca="1" ref="G81" ca="1">SUMPRODUCT((TRIM('Variance Data'!$B$2:$B$529)=IF($C$6="Semua",TRIM(_xlfn.SINGLE('Variance Data'!$B$2:$B$529)),$C$6))*('Variance Data'!$E$2:$E$529=IF($C$7="Semua",'Variance Data'!$E$2:$E$529,$C$7))*('Variance Data'!$K$2:$K$529="Minggu 42 (2026)")*'Variance Data'!$P$2:$P$529)</f>
        <v>0</v>
      </c>
      <c r="H81" s="495" t="str" cm="1">
        <f t="array" aca="1" ref="H81" ca="1">IFERROR(SUMPRODUCT((TRIM('Variance Data'!$B$2:$B$529)=IF($C$6="Semua",TRIM(_xlfn.SINGLE('Variance Data'!$B$2:$B$529)),$C$6))*('Variance Data'!$E$2:$E$529=IF($C$7="Semua",'Variance Data'!$E$2:$E$529,$C$7))*('Variance Data'!$K$2:$K$529="Minggu 42 (2026)")*'Variance Data'!$L$2:$L$529*'Variance Data'!$Q$2:$Q$529)/SUMPRODUCT((TRIM('Variance Data'!$B$2:$B$529)=IF($C$6="Semua",TRIM(_xlfn.SINGLE('Variance Data'!$B$2:$B$529)),$C$6))*('Variance Data'!$E$2:$E$529=IF($C$7="Semua",'Variance Data'!$E$2:$E$529,$C$7))*('Variance Data'!$K$2:$K$529="Minggu 42 (2026)")*'Variance Data'!$L$2:$L$529),"")</f>
        <v/>
      </c>
    </row>
    <row r="82" spans="2:8" x14ac:dyDescent="0.25">
      <c r="B82" s="495" t="s">
        <v>1444</v>
      </c>
      <c r="C82" s="495" cm="1">
        <f t="array" ref="C82">SUMPRODUCT((TRIM('Variance Data'!$B$2:$B$529)=IF($C$6="Semua",TRIM(_xlfn.SINGLE('Variance Data'!$B$2:$B$529)),$C$6))*('Variance Data'!$E$2:$E$529=IF($C$7="Semua",'Variance Data'!$E$2:$E$529,$C$7))*('Variance Data'!$K$2:$K$529="Minggu 43 (2026)")*1)</f>
        <v>0</v>
      </c>
      <c r="D82" s="495" cm="1">
        <f t="array" ref="D82">SUMPRODUCT((TRIM('Variance Data'!$B$2:$B$529)=IF($C$6="Semua",TRIM(_xlfn.SINGLE('Variance Data'!$B$2:$B$529)),$C$6))*('Variance Data'!$E$2:$E$529=IF($C$7="Semua",'Variance Data'!$E$2:$E$529,$C$7))*('Variance Data'!$K$2:$K$529="Minggu 43 (2026)")*'Variance Data'!$M$2:$M$529)</f>
        <v>0</v>
      </c>
      <c r="E82" s="495" cm="1">
        <f t="array" ref="E82">SUMPRODUCT((TRIM('Variance Data'!$B$2:$B$529)=IF($C$6="Semua",TRIM(_xlfn.SINGLE('Variance Data'!$B$2:$B$529)),$C$6))*('Variance Data'!$E$2:$E$529=IF($C$7="Semua",'Variance Data'!$E$2:$E$529,$C$7))*('Variance Data'!$K$2:$K$529="Minggu 43 (2026)")*'Variance Data'!$N$2:$N$529)</f>
        <v>0</v>
      </c>
      <c r="F82" s="495" cm="1">
        <f t="array" aca="1" ref="F82" ca="1">SUMPRODUCT((TRIM('Variance Data'!$B$2:$B$529)=IF($C$6="Semua",TRIM(_xlfn.SINGLE('Variance Data'!$B$2:$B$529)),$C$6))*('Variance Data'!$E$2:$E$529=IF($C$7="Semua",'Variance Data'!$E$2:$E$529,$C$7))*('Variance Data'!$K$2:$K$529="Minggu 43 (2026)")*('Variance Data'!$O$2:$O$529-'Variance Data'!$P$2:$P$529))</f>
        <v>0</v>
      </c>
      <c r="G82" s="495" cm="1">
        <f t="array" aca="1" ref="G82" ca="1">SUMPRODUCT((TRIM('Variance Data'!$B$2:$B$529)=IF($C$6="Semua",TRIM(_xlfn.SINGLE('Variance Data'!$B$2:$B$529)),$C$6))*('Variance Data'!$E$2:$E$529=IF($C$7="Semua",'Variance Data'!$E$2:$E$529,$C$7))*('Variance Data'!$K$2:$K$529="Minggu 43 (2026)")*'Variance Data'!$P$2:$P$529)</f>
        <v>0</v>
      </c>
      <c r="H82" s="495" t="str" cm="1">
        <f t="array" aca="1" ref="H82" ca="1">IFERROR(SUMPRODUCT((TRIM('Variance Data'!$B$2:$B$529)=IF($C$6="Semua",TRIM(_xlfn.SINGLE('Variance Data'!$B$2:$B$529)),$C$6))*('Variance Data'!$E$2:$E$529=IF($C$7="Semua",'Variance Data'!$E$2:$E$529,$C$7))*('Variance Data'!$K$2:$K$529="Minggu 43 (2026)")*'Variance Data'!$L$2:$L$529*'Variance Data'!$Q$2:$Q$529)/SUMPRODUCT((TRIM('Variance Data'!$B$2:$B$529)=IF($C$6="Semua",TRIM(_xlfn.SINGLE('Variance Data'!$B$2:$B$529)),$C$6))*('Variance Data'!$E$2:$E$529=IF($C$7="Semua",'Variance Data'!$E$2:$E$529,$C$7))*('Variance Data'!$K$2:$K$529="Minggu 43 (2026)")*'Variance Data'!$L$2:$L$529),"")</f>
        <v/>
      </c>
    </row>
    <row r="83" spans="2:8" x14ac:dyDescent="0.25">
      <c r="B83" s="495" t="s">
        <v>1445</v>
      </c>
      <c r="C83" s="495" cm="1">
        <f t="array" ref="C83">SUMPRODUCT((TRIM('Variance Data'!$B$2:$B$529)=IF($C$6="Semua",TRIM(_xlfn.SINGLE('Variance Data'!$B$2:$B$529)),$C$6))*('Variance Data'!$E$2:$E$529=IF($C$7="Semua",'Variance Data'!$E$2:$E$529,$C$7))*('Variance Data'!$K$2:$K$529="Minggu 44 (2026)")*1)</f>
        <v>0</v>
      </c>
      <c r="D83" s="495" cm="1">
        <f t="array" ref="D83">SUMPRODUCT((TRIM('Variance Data'!$B$2:$B$529)=IF($C$6="Semua",TRIM(_xlfn.SINGLE('Variance Data'!$B$2:$B$529)),$C$6))*('Variance Data'!$E$2:$E$529=IF($C$7="Semua",'Variance Data'!$E$2:$E$529,$C$7))*('Variance Data'!$K$2:$K$529="Minggu 44 (2026)")*'Variance Data'!$M$2:$M$529)</f>
        <v>0</v>
      </c>
      <c r="E83" s="495" cm="1">
        <f t="array" ref="E83">SUMPRODUCT((TRIM('Variance Data'!$B$2:$B$529)=IF($C$6="Semua",TRIM(_xlfn.SINGLE('Variance Data'!$B$2:$B$529)),$C$6))*('Variance Data'!$E$2:$E$529=IF($C$7="Semua",'Variance Data'!$E$2:$E$529,$C$7))*('Variance Data'!$K$2:$K$529="Minggu 44 (2026)")*'Variance Data'!$N$2:$N$529)</f>
        <v>0</v>
      </c>
      <c r="F83" s="495" cm="1">
        <f t="array" aca="1" ref="F83" ca="1">SUMPRODUCT((TRIM('Variance Data'!$B$2:$B$529)=IF($C$6="Semua",TRIM(_xlfn.SINGLE('Variance Data'!$B$2:$B$529)),$C$6))*('Variance Data'!$E$2:$E$529=IF($C$7="Semua",'Variance Data'!$E$2:$E$529,$C$7))*('Variance Data'!$K$2:$K$529="Minggu 44 (2026)")*('Variance Data'!$O$2:$O$529-'Variance Data'!$P$2:$P$529))</f>
        <v>0</v>
      </c>
      <c r="G83" s="495" cm="1">
        <f t="array" aca="1" ref="G83" ca="1">SUMPRODUCT((TRIM('Variance Data'!$B$2:$B$529)=IF($C$6="Semua",TRIM(_xlfn.SINGLE('Variance Data'!$B$2:$B$529)),$C$6))*('Variance Data'!$E$2:$E$529=IF($C$7="Semua",'Variance Data'!$E$2:$E$529,$C$7))*('Variance Data'!$K$2:$K$529="Minggu 44 (2026)")*'Variance Data'!$P$2:$P$529)</f>
        <v>0</v>
      </c>
      <c r="H83" s="495" t="str" cm="1">
        <f t="array" aca="1" ref="H83" ca="1">IFERROR(SUMPRODUCT((TRIM('Variance Data'!$B$2:$B$529)=IF($C$6="Semua",TRIM(_xlfn.SINGLE('Variance Data'!$B$2:$B$529)),$C$6))*('Variance Data'!$E$2:$E$529=IF($C$7="Semua",'Variance Data'!$E$2:$E$529,$C$7))*('Variance Data'!$K$2:$K$529="Minggu 44 (2026)")*'Variance Data'!$L$2:$L$529*'Variance Data'!$Q$2:$Q$529)/SUMPRODUCT((TRIM('Variance Data'!$B$2:$B$529)=IF($C$6="Semua",TRIM(_xlfn.SINGLE('Variance Data'!$B$2:$B$529)),$C$6))*('Variance Data'!$E$2:$E$529=IF($C$7="Semua",'Variance Data'!$E$2:$E$529,$C$7))*('Variance Data'!$K$2:$K$529="Minggu 44 (2026)")*'Variance Data'!$L$2:$L$529),"")</f>
        <v/>
      </c>
    </row>
    <row r="84" spans="2:8" x14ac:dyDescent="0.25">
      <c r="B84" s="495" t="s">
        <v>1446</v>
      </c>
      <c r="C84" s="495" cm="1">
        <f t="array" ref="C84">SUMPRODUCT((TRIM('Variance Data'!$B$2:$B$529)=IF($C$6="Semua",TRIM(_xlfn.SINGLE('Variance Data'!$B$2:$B$529)),$C$6))*('Variance Data'!$E$2:$E$529=IF($C$7="Semua",'Variance Data'!$E$2:$E$529,$C$7))*('Variance Data'!$K$2:$K$529="Minggu 45 (2026)")*1)</f>
        <v>0</v>
      </c>
      <c r="D84" s="495" cm="1">
        <f t="array" ref="D84">SUMPRODUCT((TRIM('Variance Data'!$B$2:$B$529)=IF($C$6="Semua",TRIM(_xlfn.SINGLE('Variance Data'!$B$2:$B$529)),$C$6))*('Variance Data'!$E$2:$E$529=IF($C$7="Semua",'Variance Data'!$E$2:$E$529,$C$7))*('Variance Data'!$K$2:$K$529="Minggu 45 (2026)")*'Variance Data'!$M$2:$M$529)</f>
        <v>0</v>
      </c>
      <c r="E84" s="495" cm="1">
        <f t="array" ref="E84">SUMPRODUCT((TRIM('Variance Data'!$B$2:$B$529)=IF($C$6="Semua",TRIM(_xlfn.SINGLE('Variance Data'!$B$2:$B$529)),$C$6))*('Variance Data'!$E$2:$E$529=IF($C$7="Semua",'Variance Data'!$E$2:$E$529,$C$7))*('Variance Data'!$K$2:$K$529="Minggu 45 (2026)")*'Variance Data'!$N$2:$N$529)</f>
        <v>0</v>
      </c>
      <c r="F84" s="495" cm="1">
        <f t="array" aca="1" ref="F84" ca="1">SUMPRODUCT((TRIM('Variance Data'!$B$2:$B$529)=IF($C$6="Semua",TRIM(_xlfn.SINGLE('Variance Data'!$B$2:$B$529)),$C$6))*('Variance Data'!$E$2:$E$529=IF($C$7="Semua",'Variance Data'!$E$2:$E$529,$C$7))*('Variance Data'!$K$2:$K$529="Minggu 45 (2026)")*('Variance Data'!$O$2:$O$529-'Variance Data'!$P$2:$P$529))</f>
        <v>0</v>
      </c>
      <c r="G84" s="495" cm="1">
        <f t="array" aca="1" ref="G84" ca="1">SUMPRODUCT((TRIM('Variance Data'!$B$2:$B$529)=IF($C$6="Semua",TRIM(_xlfn.SINGLE('Variance Data'!$B$2:$B$529)),$C$6))*('Variance Data'!$E$2:$E$529=IF($C$7="Semua",'Variance Data'!$E$2:$E$529,$C$7))*('Variance Data'!$K$2:$K$529="Minggu 45 (2026)")*'Variance Data'!$P$2:$P$529)</f>
        <v>0</v>
      </c>
      <c r="H84" s="495" t="str" cm="1">
        <f t="array" aca="1" ref="H84" ca="1">IFERROR(SUMPRODUCT((TRIM('Variance Data'!$B$2:$B$529)=IF($C$6="Semua",TRIM(_xlfn.SINGLE('Variance Data'!$B$2:$B$529)),$C$6))*('Variance Data'!$E$2:$E$529=IF($C$7="Semua",'Variance Data'!$E$2:$E$529,$C$7))*('Variance Data'!$K$2:$K$529="Minggu 45 (2026)")*'Variance Data'!$L$2:$L$529*'Variance Data'!$Q$2:$Q$529)/SUMPRODUCT((TRIM('Variance Data'!$B$2:$B$529)=IF($C$6="Semua",TRIM(_xlfn.SINGLE('Variance Data'!$B$2:$B$529)),$C$6))*('Variance Data'!$E$2:$E$529=IF($C$7="Semua",'Variance Data'!$E$2:$E$529,$C$7))*('Variance Data'!$K$2:$K$529="Minggu 45 (2026)")*'Variance Data'!$L$2:$L$529),"")</f>
        <v/>
      </c>
    </row>
    <row r="87" spans="2:8" ht="15.5" x14ac:dyDescent="0.35">
      <c r="B87" s="570" t="s">
        <v>1485</v>
      </c>
      <c r="C87" s="570"/>
      <c r="D87" s="570"/>
      <c r="E87" s="570"/>
      <c r="F87" s="570"/>
      <c r="G87" s="570"/>
    </row>
    <row r="88" spans="2:8" ht="35.5" customHeight="1" x14ac:dyDescent="0.25">
      <c r="B88" s="575" t="s">
        <v>1486</v>
      </c>
      <c r="C88" s="575"/>
      <c r="D88" s="575"/>
      <c r="E88" s="575"/>
      <c r="F88" s="575"/>
      <c r="G88" s="575"/>
      <c r="H88" s="575"/>
    </row>
    <row r="89" spans="2:8" ht="35.5" customHeight="1" x14ac:dyDescent="0.25">
      <c r="B89" s="574" t="s">
        <v>1513</v>
      </c>
      <c r="C89" s="574"/>
      <c r="D89" s="574"/>
      <c r="E89" s="574"/>
      <c r="F89" s="574"/>
      <c r="G89" s="574"/>
      <c r="H89" s="574"/>
    </row>
    <row r="90" spans="2:8" ht="35.5" customHeight="1" x14ac:dyDescent="0.25">
      <c r="B90" s="575" t="s">
        <v>1487</v>
      </c>
      <c r="C90" s="575"/>
      <c r="D90" s="575"/>
      <c r="E90" s="575"/>
      <c r="F90" s="575"/>
      <c r="G90" s="575"/>
      <c r="H90" s="575"/>
    </row>
    <row r="91" spans="2:8" ht="35.5" customHeight="1" x14ac:dyDescent="0.25">
      <c r="B91" s="574" t="s">
        <v>1514</v>
      </c>
      <c r="C91" s="574"/>
      <c r="D91" s="574"/>
      <c r="E91" s="574"/>
      <c r="F91" s="574"/>
      <c r="G91" s="574"/>
      <c r="H91" s="574"/>
    </row>
    <row r="92" spans="2:8" ht="35.5" customHeight="1" x14ac:dyDescent="0.25">
      <c r="B92" s="575" t="s">
        <v>1488</v>
      </c>
      <c r="C92" s="575"/>
      <c r="D92" s="575"/>
      <c r="E92" s="575"/>
      <c r="F92" s="575"/>
      <c r="G92" s="575"/>
      <c r="H92" s="575"/>
    </row>
    <row r="93" spans="2:8" ht="35.5" customHeight="1" x14ac:dyDescent="0.25">
      <c r="B93" s="574" t="s">
        <v>1488</v>
      </c>
      <c r="C93" s="574"/>
      <c r="D93" s="574"/>
      <c r="E93" s="574"/>
      <c r="F93" s="574"/>
      <c r="G93" s="574"/>
      <c r="H93" s="574"/>
    </row>
    <row r="94" spans="2:8" ht="35.5" customHeight="1" x14ac:dyDescent="0.25">
      <c r="B94" s="575" t="s">
        <v>1489</v>
      </c>
      <c r="C94" s="575"/>
      <c r="D94" s="575"/>
      <c r="E94" s="575"/>
      <c r="F94" s="575"/>
      <c r="G94" s="575"/>
      <c r="H94" s="575"/>
    </row>
    <row r="95" spans="2:8" ht="35.5" customHeight="1" x14ac:dyDescent="0.25">
      <c r="B95" s="574" t="s">
        <v>1515</v>
      </c>
      <c r="C95" s="574"/>
      <c r="D95" s="574"/>
      <c r="E95" s="574"/>
      <c r="F95" s="574"/>
      <c r="G95" s="574"/>
      <c r="H95" s="574"/>
    </row>
    <row r="96" spans="2:8" ht="35.5" customHeight="1" x14ac:dyDescent="0.25">
      <c r="B96" s="575" t="s">
        <v>1490</v>
      </c>
      <c r="C96" s="575"/>
      <c r="D96" s="575"/>
      <c r="E96" s="575"/>
      <c r="F96" s="575"/>
      <c r="G96" s="575"/>
      <c r="H96" s="575"/>
    </row>
    <row r="97" spans="2:8" ht="35.5" customHeight="1" x14ac:dyDescent="0.25">
      <c r="B97" s="574" t="s">
        <v>1516</v>
      </c>
      <c r="C97" s="574"/>
      <c r="D97" s="574"/>
      <c r="E97" s="574"/>
      <c r="F97" s="574"/>
      <c r="G97" s="574"/>
      <c r="H97" s="574"/>
    </row>
  </sheetData>
  <mergeCells count="18">
    <mergeCell ref="B97:H97"/>
    <mergeCell ref="B62:G62"/>
    <mergeCell ref="B87:G87"/>
    <mergeCell ref="B88:H88"/>
    <mergeCell ref="B90:H90"/>
    <mergeCell ref="B92:H92"/>
    <mergeCell ref="B94:H94"/>
    <mergeCell ref="B96:H96"/>
    <mergeCell ref="B89:H89"/>
    <mergeCell ref="B91:H91"/>
    <mergeCell ref="B93:H93"/>
    <mergeCell ref="B95:H95"/>
    <mergeCell ref="B27:G27"/>
    <mergeCell ref="B2:H2"/>
    <mergeCell ref="B3:H3"/>
    <mergeCell ref="B5:C5"/>
    <mergeCell ref="B10:D10"/>
    <mergeCell ref="B19:G19"/>
  </mergeCells>
  <conditionalFormatting sqref="G21:G25 G29:G60">
    <cfRule type="cellIs" dxfId="52" priority="3" operator="greaterThan">
      <formula>0</formula>
    </cfRule>
  </conditionalFormatting>
  <conditionalFormatting sqref="G64:G84">
    <cfRule type="cellIs" dxfId="51" priority="1" operator="greaterThan">
      <formula>0</formula>
    </cfRule>
  </conditionalFormatting>
  <hyperlinks>
    <hyperlink ref="B1" location="Dashboard!A1" display="⬅ Kembali ke Dashboard" xr:uid="{346A082A-DCC5-4E30-8E6E-5553A31E88FC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6CFCFBA-844F-4070-92C2-D1370092E079}">
          <x14:formula1>
            <xm:f>'Ref Dashboard'!$A$1:$A$44</xm:f>
          </x14:formula1>
          <xm:sqref>C6</xm:sqref>
        </x14:dataValidation>
        <x14:dataValidation type="list" allowBlank="1" showInputMessage="1" showErrorMessage="1" xr:uid="{1AE8E204-440A-4952-B005-E18DFAF6ECDE}">
          <x14:formula1>
            <xm:f>'Ref Dashboard'!$B$1:$B$6</xm:f>
          </x14:formula1>
          <xm:sqref>C7</xm:sqref>
        </x14:dataValidation>
        <x14:dataValidation type="list" allowBlank="1" showInputMessage="1" showErrorMessage="1" xr:uid="{956C8814-3878-49FD-9091-E54BBF279F25}">
          <x14:formula1>
            <xm:f>'Ref Dashboard'!$C$1:$C$22</xm:f>
          </x14:formula1>
          <xm:sqref>C8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F7335-1F2E-4C0C-9019-2CD656E633B9}">
  <sheetPr codeName="Sheet14"/>
  <dimension ref="A1:Q435"/>
  <sheetViews>
    <sheetView tabSelected="1" workbookViewId="0">
      <selection activeCell="B43" sqref="B43"/>
    </sheetView>
  </sheetViews>
  <sheetFormatPr defaultRowHeight="12.5" x14ac:dyDescent="0.25"/>
  <cols>
    <col min="1" max="1" width="3.81640625" bestFit="1" customWidth="1"/>
    <col min="2" max="2" width="23.81640625" bestFit="1" customWidth="1"/>
    <col min="3" max="3" width="4.6328125" bestFit="1" customWidth="1"/>
    <col min="4" max="4" width="39.90625" bestFit="1" customWidth="1"/>
    <col min="5" max="5" width="15.81640625" bestFit="1" customWidth="1"/>
    <col min="6" max="6" width="9.54296875" bestFit="1" customWidth="1"/>
    <col min="7" max="7" width="8.90625" bestFit="1" customWidth="1"/>
    <col min="8" max="8" width="25.7265625" bestFit="1" customWidth="1"/>
    <col min="9" max="9" width="8.26953125" bestFit="1" customWidth="1"/>
    <col min="10" max="10" width="7.453125" bestFit="1" customWidth="1"/>
    <col min="11" max="11" width="15" bestFit="1" customWidth="1"/>
    <col min="12" max="13" width="6.90625" bestFit="1" customWidth="1"/>
    <col min="14" max="14" width="7.81640625" bestFit="1" customWidth="1"/>
    <col min="15" max="15" width="6.1796875" bestFit="1" customWidth="1"/>
    <col min="16" max="16" width="8.1796875" bestFit="1" customWidth="1"/>
    <col min="17" max="17" width="8.26953125" bestFit="1" customWidth="1"/>
  </cols>
  <sheetData>
    <row r="1" spans="1:17" ht="52" x14ac:dyDescent="0.25">
      <c r="A1" s="493" t="s">
        <v>1451</v>
      </c>
      <c r="B1" s="493" t="s">
        <v>1452</v>
      </c>
      <c r="C1" s="493" t="s">
        <v>4</v>
      </c>
      <c r="D1" s="493" t="s">
        <v>1453</v>
      </c>
      <c r="E1" s="493" t="s">
        <v>1454</v>
      </c>
      <c r="F1" s="493" t="s">
        <v>1455</v>
      </c>
      <c r="G1" s="493" t="s">
        <v>1456</v>
      </c>
      <c r="H1" s="493" t="s">
        <v>350</v>
      </c>
      <c r="I1" s="493" t="s">
        <v>1457</v>
      </c>
      <c r="J1" s="493" t="s">
        <v>1458</v>
      </c>
      <c r="K1" s="493" t="s">
        <v>1459</v>
      </c>
      <c r="L1" s="493" t="s">
        <v>1460</v>
      </c>
      <c r="M1" s="493" t="s">
        <v>1461</v>
      </c>
      <c r="N1" s="493" t="s">
        <v>1462</v>
      </c>
      <c r="O1" s="493" t="s">
        <v>1463</v>
      </c>
      <c r="P1" s="493" t="s">
        <v>1464</v>
      </c>
      <c r="Q1" s="493" t="s">
        <v>1465</v>
      </c>
    </row>
    <row r="2" spans="1:17" x14ac:dyDescent="0.25">
      <c r="A2">
        <f>ROW(B2)-1</f>
        <v>1</v>
      </c>
      <c r="B2" s="212" t="s">
        <v>52</v>
      </c>
      <c r="C2" s="555">
        <v>88</v>
      </c>
      <c r="D2" t="s">
        <v>1466</v>
      </c>
      <c r="E2" t="s">
        <v>1420</v>
      </c>
      <c r="F2" s="494">
        <f>IF('PLAN PRODUCTION2'!E20="","",'PLAN PRODUCTION2'!E20)</f>
        <v>46209</v>
      </c>
      <c r="G2" s="494">
        <f>IF('PLAN PRODUCTION2'!F20="","",'PLAN PRODUCTION2'!F20)</f>
        <v>46209</v>
      </c>
      <c r="H2" t="str">
        <f ca="1">IF(F2="","Plan Date Empty",IF(G2&lt;&gt;"",IF(G2&lt;=F2,"Completed - On Time","Not Done - Overdue"),IF(TODAY()&gt;F2,"Not Done - Overdue","Not Done - On Schedule")))</f>
        <v>Completed - On Time</v>
      </c>
      <c r="I2">
        <f t="shared" ref="I2:I51" ca="1" si="0">IF(AND(F2&lt;&gt;"",G2&lt;&gt;""),G2-F2,IF(AND(F2&lt;&gt;"",G2="",TODAY()&gt;F2),TODAY()-F2,""))</f>
        <v>0</v>
      </c>
      <c r="J2">
        <f t="shared" ref="J2:J51" si="1">IF(F2="","",INT(((F2-DATE(YEAR(F2),1,1)+1)+WEEKDAY(DATE(YEAR(F2),1,1),2)-2)/7)+1)</f>
        <v>28</v>
      </c>
      <c r="K2" t="str">
        <f t="shared" ref="K2:K51" si="2">IF(F2="","","Minggu "&amp;J2&amp;" ("&amp;YEAR(F2)&amp;")")</f>
        <v>Minggu 28 (2026)</v>
      </c>
      <c r="L2">
        <f t="shared" ref="L2:L51" si="3">IF(G2&lt;&gt;"",1,0)</f>
        <v>1</v>
      </c>
      <c r="M2">
        <f t="shared" ref="M2:M51" si="4">IF(AND(G2&lt;&gt;"",G2&lt;=F2),1,0)</f>
        <v>1</v>
      </c>
      <c r="N2">
        <f t="shared" ref="N2:N51" si="5">IF(AND(G2&lt;&gt;"",G2&gt;F2),1,0)</f>
        <v>0</v>
      </c>
      <c r="O2">
        <f t="shared" ref="O2:O51" si="6">IF(G2="",1,0)</f>
        <v>0</v>
      </c>
      <c r="P2">
        <f t="shared" ref="P2:P51" ca="1" si="7">IF(AND(G2="",F2&lt;&gt;"",TODAY()&gt;F2),1,0)</f>
        <v>0</v>
      </c>
      <c r="Q2">
        <f t="shared" ref="Q2:Q51" ca="1" si="8">IF(I2="",0,I2)</f>
        <v>0</v>
      </c>
    </row>
    <row r="3" spans="1:17" x14ac:dyDescent="0.25">
      <c r="A3">
        <f t="shared" ref="A3:A191" si="9">ROW(B3)-1</f>
        <v>2</v>
      </c>
      <c r="B3" s="212" t="s">
        <v>52</v>
      </c>
      <c r="C3" s="555">
        <v>88</v>
      </c>
      <c r="D3" t="s">
        <v>1467</v>
      </c>
      <c r="E3" t="s">
        <v>1420</v>
      </c>
      <c r="F3" s="494">
        <f>IF('PLAN PRODUCTION2'!I20="","",'PLAN PRODUCTION2'!I20)</f>
        <v>46206</v>
      </c>
      <c r="G3" s="494">
        <f>IF('PLAN PRODUCTION2'!J20="","",'PLAN PRODUCTION2'!J20)</f>
        <v>46206</v>
      </c>
      <c r="H3" t="str">
        <f t="shared" ref="H3:H52" ca="1" si="10">IF(F3="","Plan Date Empty",IF(G3&lt;&gt;"",IF(G3&lt;=F3,"Completed - On Time","Not Done - Overdue"),IF(TODAY()&gt;F3,"Not Done - Overdue","Not Done - On Schedule")))</f>
        <v>Completed - On Time</v>
      </c>
      <c r="I3">
        <f t="shared" ca="1" si="0"/>
        <v>0</v>
      </c>
      <c r="J3">
        <f t="shared" si="1"/>
        <v>27</v>
      </c>
      <c r="K3" t="str">
        <f t="shared" si="2"/>
        <v>Minggu 27 (2026)</v>
      </c>
      <c r="L3">
        <f t="shared" si="3"/>
        <v>1</v>
      </c>
      <c r="M3">
        <f t="shared" si="4"/>
        <v>1</v>
      </c>
      <c r="N3">
        <f t="shared" si="5"/>
        <v>0</v>
      </c>
      <c r="O3">
        <f t="shared" si="6"/>
        <v>0</v>
      </c>
      <c r="P3">
        <f t="shared" ca="1" si="7"/>
        <v>0</v>
      </c>
      <c r="Q3">
        <f t="shared" ca="1" si="8"/>
        <v>0</v>
      </c>
    </row>
    <row r="4" spans="1:17" x14ac:dyDescent="0.25">
      <c r="A4">
        <f t="shared" si="9"/>
        <v>3</v>
      </c>
      <c r="B4" s="212" t="s">
        <v>52</v>
      </c>
      <c r="C4" s="555">
        <v>88</v>
      </c>
      <c r="D4" t="s">
        <v>1468</v>
      </c>
      <c r="E4" t="s">
        <v>1420</v>
      </c>
      <c r="F4" s="494">
        <f>IF('PLAN PRODUCTION2'!K20="","",'PLAN PRODUCTION2'!K20)</f>
        <v>46209</v>
      </c>
      <c r="G4" s="494">
        <f>IF('PLAN PRODUCTION2'!L20="","",'PLAN PRODUCTION2'!L20)</f>
        <v>46209</v>
      </c>
      <c r="H4" t="str">
        <f t="shared" ca="1" si="10"/>
        <v>Completed - On Time</v>
      </c>
      <c r="I4">
        <f t="shared" ca="1" si="0"/>
        <v>0</v>
      </c>
      <c r="J4">
        <f t="shared" si="1"/>
        <v>28</v>
      </c>
      <c r="K4" t="str">
        <f t="shared" si="2"/>
        <v>Minggu 28 (2026)</v>
      </c>
      <c r="L4">
        <f t="shared" si="3"/>
        <v>1</v>
      </c>
      <c r="M4">
        <f t="shared" si="4"/>
        <v>1</v>
      </c>
      <c r="N4">
        <f t="shared" si="5"/>
        <v>0</v>
      </c>
      <c r="O4">
        <f t="shared" si="6"/>
        <v>0</v>
      </c>
      <c r="P4">
        <f t="shared" ca="1" si="7"/>
        <v>0</v>
      </c>
      <c r="Q4">
        <f t="shared" ca="1" si="8"/>
        <v>0</v>
      </c>
    </row>
    <row r="5" spans="1:17" x14ac:dyDescent="0.25">
      <c r="A5">
        <f t="shared" si="9"/>
        <v>4</v>
      </c>
      <c r="B5" s="212" t="s">
        <v>52</v>
      </c>
      <c r="C5" s="555">
        <v>88</v>
      </c>
      <c r="D5" t="s">
        <v>1469</v>
      </c>
      <c r="E5" t="s">
        <v>1422</v>
      </c>
      <c r="F5" s="494">
        <f>IF('PLAN PRODUCTION2'!M20="","",'PLAN PRODUCTION2'!M20)</f>
        <v>46209</v>
      </c>
      <c r="G5" s="494">
        <f>IF('PLAN PRODUCTION2'!N20="","",'PLAN PRODUCTION2'!N20)</f>
        <v>46209</v>
      </c>
      <c r="H5" t="str">
        <f t="shared" ca="1" si="10"/>
        <v>Completed - On Time</v>
      </c>
      <c r="I5">
        <f t="shared" ca="1" si="0"/>
        <v>0</v>
      </c>
      <c r="J5">
        <f t="shared" si="1"/>
        <v>28</v>
      </c>
      <c r="K5" t="str">
        <f t="shared" si="2"/>
        <v>Minggu 28 (2026)</v>
      </c>
      <c r="L5">
        <f t="shared" si="3"/>
        <v>1</v>
      </c>
      <c r="M5">
        <f t="shared" si="4"/>
        <v>1</v>
      </c>
      <c r="N5">
        <f t="shared" si="5"/>
        <v>0</v>
      </c>
      <c r="O5">
        <f t="shared" si="6"/>
        <v>0</v>
      </c>
      <c r="P5">
        <f t="shared" ca="1" si="7"/>
        <v>0</v>
      </c>
      <c r="Q5">
        <f t="shared" ca="1" si="8"/>
        <v>0</v>
      </c>
    </row>
    <row r="6" spans="1:17" x14ac:dyDescent="0.25">
      <c r="A6">
        <f t="shared" si="9"/>
        <v>5</v>
      </c>
      <c r="B6" s="212" t="s">
        <v>52</v>
      </c>
      <c r="C6" s="555">
        <v>88</v>
      </c>
      <c r="D6" t="s">
        <v>1470</v>
      </c>
      <c r="E6" t="s">
        <v>1422</v>
      </c>
      <c r="F6" s="494">
        <f>IF('PLAN PRODUCTION2'!O20="","",'PLAN PRODUCTION2'!O20)</f>
        <v>46217</v>
      </c>
      <c r="G6" s="494" t="str">
        <f>IF('PLAN PRODUCTION2'!P20="","",'PLAN PRODUCTION2'!P20)</f>
        <v/>
      </c>
      <c r="H6" t="str">
        <f t="shared" ca="1" si="10"/>
        <v>Not Done - Overdue</v>
      </c>
      <c r="I6">
        <f t="shared" ca="1" si="0"/>
        <v>35</v>
      </c>
      <c r="J6">
        <f t="shared" si="1"/>
        <v>29</v>
      </c>
      <c r="K6" t="str">
        <f t="shared" si="2"/>
        <v>Minggu 29 (2026)</v>
      </c>
      <c r="L6">
        <f t="shared" si="3"/>
        <v>0</v>
      </c>
      <c r="M6">
        <f t="shared" si="4"/>
        <v>0</v>
      </c>
      <c r="N6">
        <f t="shared" si="5"/>
        <v>0</v>
      </c>
      <c r="O6">
        <f t="shared" si="6"/>
        <v>1</v>
      </c>
      <c r="P6">
        <f t="shared" ca="1" si="7"/>
        <v>1</v>
      </c>
      <c r="Q6">
        <f t="shared" ca="1" si="8"/>
        <v>35</v>
      </c>
    </row>
    <row r="7" spans="1:17" x14ac:dyDescent="0.25">
      <c r="A7">
        <f t="shared" si="9"/>
        <v>6</v>
      </c>
      <c r="B7" s="212" t="s">
        <v>52</v>
      </c>
      <c r="C7" s="555">
        <v>88</v>
      </c>
      <c r="D7" t="s">
        <v>1471</v>
      </c>
      <c r="E7" t="s">
        <v>1424</v>
      </c>
      <c r="F7" s="494">
        <f>IF('PLAN PRODUCTION2'!Q20="","",'PLAN PRODUCTION2'!Q20)</f>
        <v>46216</v>
      </c>
      <c r="G7" s="494">
        <f>IF('PLAN PRODUCTION2'!R20="","",'PLAN PRODUCTION2'!R20)</f>
        <v>46216</v>
      </c>
      <c r="H7" t="str">
        <f t="shared" ca="1" si="10"/>
        <v>Completed - On Time</v>
      </c>
      <c r="I7">
        <f t="shared" ca="1" si="0"/>
        <v>0</v>
      </c>
      <c r="J7">
        <f t="shared" si="1"/>
        <v>29</v>
      </c>
      <c r="K7" t="str">
        <f t="shared" si="2"/>
        <v>Minggu 29 (2026)</v>
      </c>
      <c r="L7">
        <f t="shared" si="3"/>
        <v>1</v>
      </c>
      <c r="M7">
        <f t="shared" si="4"/>
        <v>1</v>
      </c>
      <c r="N7">
        <f t="shared" si="5"/>
        <v>0</v>
      </c>
      <c r="O7">
        <f t="shared" si="6"/>
        <v>0</v>
      </c>
      <c r="P7">
        <f t="shared" ca="1" si="7"/>
        <v>0</v>
      </c>
      <c r="Q7">
        <f t="shared" ca="1" si="8"/>
        <v>0</v>
      </c>
    </row>
    <row r="8" spans="1:17" x14ac:dyDescent="0.25">
      <c r="A8">
        <f t="shared" si="9"/>
        <v>7</v>
      </c>
      <c r="B8" s="212" t="s">
        <v>52</v>
      </c>
      <c r="C8" s="555">
        <v>88</v>
      </c>
      <c r="D8" t="s">
        <v>1472</v>
      </c>
      <c r="E8" t="s">
        <v>1426</v>
      </c>
      <c r="F8" s="494">
        <f>IF('PLAN PRODUCTION2'!S20="","",'PLAN PRODUCTION2'!S20)</f>
        <v>46210</v>
      </c>
      <c r="G8" s="494">
        <f>IF('PLAN PRODUCTION2'!T20="","",'PLAN PRODUCTION2'!T20)</f>
        <v>46210</v>
      </c>
      <c r="H8" t="str">
        <f t="shared" ca="1" si="10"/>
        <v>Completed - On Time</v>
      </c>
      <c r="I8">
        <f t="shared" ca="1" si="0"/>
        <v>0</v>
      </c>
      <c r="J8">
        <f t="shared" si="1"/>
        <v>28</v>
      </c>
      <c r="K8" t="str">
        <f t="shared" si="2"/>
        <v>Minggu 28 (2026)</v>
      </c>
      <c r="L8">
        <f t="shared" si="3"/>
        <v>1</v>
      </c>
      <c r="M8">
        <f t="shared" si="4"/>
        <v>1</v>
      </c>
      <c r="N8">
        <f t="shared" si="5"/>
        <v>0</v>
      </c>
      <c r="O8">
        <f t="shared" si="6"/>
        <v>0</v>
      </c>
      <c r="P8">
        <f t="shared" ca="1" si="7"/>
        <v>0</v>
      </c>
      <c r="Q8">
        <f t="shared" ca="1" si="8"/>
        <v>0</v>
      </c>
    </row>
    <row r="9" spans="1:17" x14ac:dyDescent="0.25">
      <c r="A9">
        <f t="shared" si="9"/>
        <v>8</v>
      </c>
      <c r="B9" s="212" t="s">
        <v>52</v>
      </c>
      <c r="C9" s="555">
        <v>88</v>
      </c>
      <c r="D9" t="s">
        <v>1473</v>
      </c>
      <c r="E9" t="s">
        <v>1426</v>
      </c>
      <c r="F9" s="494">
        <f>IF('PLAN PRODUCTION2'!U20="","",'PLAN PRODUCTION2'!U20)</f>
        <v>46211</v>
      </c>
      <c r="G9" s="494">
        <f>IF('PLAN PRODUCTION2'!V20="","",'PLAN PRODUCTION2'!V20)</f>
        <v>46211</v>
      </c>
      <c r="H9" t="str">
        <f t="shared" ca="1" si="10"/>
        <v>Completed - On Time</v>
      </c>
      <c r="I9">
        <f t="shared" ca="1" si="0"/>
        <v>0</v>
      </c>
      <c r="J9">
        <f t="shared" si="1"/>
        <v>28</v>
      </c>
      <c r="K9" t="str">
        <f t="shared" si="2"/>
        <v>Minggu 28 (2026)</v>
      </c>
      <c r="L9">
        <f t="shared" si="3"/>
        <v>1</v>
      </c>
      <c r="M9">
        <f t="shared" si="4"/>
        <v>1</v>
      </c>
      <c r="N9">
        <f t="shared" si="5"/>
        <v>0</v>
      </c>
      <c r="O9">
        <f t="shared" si="6"/>
        <v>0</v>
      </c>
      <c r="P9">
        <f t="shared" ca="1" si="7"/>
        <v>0</v>
      </c>
      <c r="Q9">
        <f t="shared" ca="1" si="8"/>
        <v>0</v>
      </c>
    </row>
    <row r="10" spans="1:17" x14ac:dyDescent="0.25">
      <c r="A10">
        <f t="shared" si="9"/>
        <v>9</v>
      </c>
      <c r="B10" s="212" t="s">
        <v>52</v>
      </c>
      <c r="C10" s="555">
        <v>88</v>
      </c>
      <c r="D10" t="s">
        <v>1474</v>
      </c>
      <c r="E10" t="s">
        <v>1426</v>
      </c>
      <c r="F10" s="494">
        <f>IF('PLAN PRODUCTION2'!W20="","",'PLAN PRODUCTION2'!W20)</f>
        <v>46212</v>
      </c>
      <c r="G10" s="494">
        <f>IF('PLAN PRODUCTION2'!X20="","",'PLAN PRODUCTION2'!X20)</f>
        <v>46212</v>
      </c>
      <c r="H10" t="str">
        <f t="shared" ca="1" si="10"/>
        <v>Completed - On Time</v>
      </c>
      <c r="I10">
        <f t="shared" ca="1" si="0"/>
        <v>0</v>
      </c>
      <c r="J10">
        <f t="shared" si="1"/>
        <v>28</v>
      </c>
      <c r="K10" t="str">
        <f t="shared" si="2"/>
        <v>Minggu 28 (2026)</v>
      </c>
      <c r="L10">
        <f t="shared" si="3"/>
        <v>1</v>
      </c>
      <c r="M10">
        <f t="shared" si="4"/>
        <v>1</v>
      </c>
      <c r="N10">
        <f t="shared" si="5"/>
        <v>0</v>
      </c>
      <c r="O10">
        <f t="shared" si="6"/>
        <v>0</v>
      </c>
      <c r="P10">
        <f t="shared" ca="1" si="7"/>
        <v>0</v>
      </c>
      <c r="Q10">
        <f t="shared" ca="1" si="8"/>
        <v>0</v>
      </c>
    </row>
    <row r="11" spans="1:17" x14ac:dyDescent="0.25">
      <c r="A11">
        <f t="shared" si="9"/>
        <v>10</v>
      </c>
      <c r="B11" s="212" t="s">
        <v>52</v>
      </c>
      <c r="C11" s="555">
        <v>88</v>
      </c>
      <c r="D11" t="s">
        <v>1475</v>
      </c>
      <c r="E11" t="s">
        <v>1426</v>
      </c>
      <c r="F11" s="494">
        <f>IF('PLAN PRODUCTION2'!Y20="","",'PLAN PRODUCTION2'!Y20)</f>
        <v>46218</v>
      </c>
      <c r="G11" s="494" t="str">
        <f>IF('PLAN PRODUCTION2'!Z20="","",'PLAN PRODUCTION2'!Z20)</f>
        <v/>
      </c>
      <c r="H11" t="str">
        <f t="shared" ca="1" si="10"/>
        <v>Not Done - Overdue</v>
      </c>
      <c r="I11">
        <f t="shared" ca="1" si="0"/>
        <v>34</v>
      </c>
      <c r="J11">
        <f t="shared" si="1"/>
        <v>29</v>
      </c>
      <c r="K11" t="str">
        <f t="shared" si="2"/>
        <v>Minggu 29 (2026)</v>
      </c>
      <c r="L11">
        <f t="shared" si="3"/>
        <v>0</v>
      </c>
      <c r="M11">
        <f t="shared" si="4"/>
        <v>0</v>
      </c>
      <c r="N11">
        <f t="shared" si="5"/>
        <v>0</v>
      </c>
      <c r="O11">
        <f t="shared" si="6"/>
        <v>1</v>
      </c>
      <c r="P11">
        <f t="shared" ca="1" si="7"/>
        <v>1</v>
      </c>
      <c r="Q11">
        <f t="shared" ca="1" si="8"/>
        <v>34</v>
      </c>
    </row>
    <row r="12" spans="1:17" x14ac:dyDescent="0.25">
      <c r="A12">
        <f t="shared" si="9"/>
        <v>11</v>
      </c>
      <c r="B12" s="212" t="s">
        <v>52</v>
      </c>
      <c r="C12" s="555">
        <v>88</v>
      </c>
      <c r="D12" t="s">
        <v>1476</v>
      </c>
      <c r="E12" t="s">
        <v>1426</v>
      </c>
      <c r="F12" s="494">
        <f>IF('PLAN PRODUCTION2'!AA20="","",'PLAN PRODUCTION2'!AA20)</f>
        <v>46223</v>
      </c>
      <c r="G12" s="494" t="str">
        <f>IF('PLAN PRODUCTION2'!AB20="","",'PLAN PRODUCTION2'!AB20)</f>
        <v/>
      </c>
      <c r="H12" t="str">
        <f t="shared" ca="1" si="10"/>
        <v>Not Done - Overdue</v>
      </c>
      <c r="I12">
        <f t="shared" ca="1" si="0"/>
        <v>29</v>
      </c>
      <c r="J12">
        <f t="shared" si="1"/>
        <v>30</v>
      </c>
      <c r="K12" t="str">
        <f t="shared" si="2"/>
        <v>Minggu 30 (2026)</v>
      </c>
      <c r="L12">
        <f t="shared" si="3"/>
        <v>0</v>
      </c>
      <c r="M12">
        <f t="shared" si="4"/>
        <v>0</v>
      </c>
      <c r="N12">
        <f t="shared" si="5"/>
        <v>0</v>
      </c>
      <c r="O12">
        <f t="shared" si="6"/>
        <v>1</v>
      </c>
      <c r="P12">
        <f t="shared" ca="1" si="7"/>
        <v>1</v>
      </c>
      <c r="Q12">
        <f t="shared" ca="1" si="8"/>
        <v>29</v>
      </c>
    </row>
    <row r="13" spans="1:17" x14ac:dyDescent="0.25">
      <c r="A13">
        <f t="shared" si="9"/>
        <v>12</v>
      </c>
      <c r="B13" s="212" t="s">
        <v>52</v>
      </c>
      <c r="C13" s="555">
        <v>88</v>
      </c>
      <c r="D13" t="s">
        <v>1477</v>
      </c>
      <c r="E13" t="s">
        <v>1422</v>
      </c>
      <c r="F13" s="494">
        <f>IF('PLAN PRODUCTION2'!AC20="","",'PLAN PRODUCTION2'!AC20)</f>
        <v>46225</v>
      </c>
      <c r="G13" s="494" t="str">
        <f>IF('PLAN PRODUCTION2'!AD20="","",'PLAN PRODUCTION2'!AD20)</f>
        <v/>
      </c>
      <c r="H13" t="str">
        <f t="shared" ca="1" si="10"/>
        <v>Not Done - Overdue</v>
      </c>
      <c r="I13">
        <f t="shared" ca="1" si="0"/>
        <v>27</v>
      </c>
      <c r="J13">
        <f t="shared" si="1"/>
        <v>30</v>
      </c>
      <c r="K13" t="str">
        <f t="shared" si="2"/>
        <v>Minggu 30 (2026)</v>
      </c>
      <c r="L13">
        <f t="shared" si="3"/>
        <v>0</v>
      </c>
      <c r="M13">
        <f t="shared" si="4"/>
        <v>0</v>
      </c>
      <c r="N13">
        <f t="shared" si="5"/>
        <v>0</v>
      </c>
      <c r="O13">
        <f t="shared" si="6"/>
        <v>1</v>
      </c>
      <c r="P13">
        <f t="shared" ca="1" si="7"/>
        <v>1</v>
      </c>
      <c r="Q13">
        <f t="shared" ca="1" si="8"/>
        <v>27</v>
      </c>
    </row>
    <row r="14" spans="1:17" x14ac:dyDescent="0.25">
      <c r="A14">
        <f t="shared" si="9"/>
        <v>13</v>
      </c>
      <c r="B14" s="212" t="s">
        <v>52</v>
      </c>
      <c r="C14" s="555">
        <v>88</v>
      </c>
      <c r="D14" t="s">
        <v>1478</v>
      </c>
      <c r="E14" t="s">
        <v>1429</v>
      </c>
      <c r="F14" s="494">
        <f>IF('PLAN PRODUCTION2'!AE20="","",'PLAN PRODUCTION2'!AE20)</f>
        <v>46226</v>
      </c>
      <c r="G14" s="494" t="str">
        <f>IF('PLAN PRODUCTION2'!AF20="","",'PLAN PRODUCTION2'!AF20)</f>
        <v/>
      </c>
      <c r="H14" t="str">
        <f t="shared" ca="1" si="10"/>
        <v>Not Done - Overdue</v>
      </c>
      <c r="I14">
        <f t="shared" ca="1" si="0"/>
        <v>26</v>
      </c>
      <c r="J14">
        <f t="shared" si="1"/>
        <v>30</v>
      </c>
      <c r="K14" t="str">
        <f t="shared" si="2"/>
        <v>Minggu 30 (2026)</v>
      </c>
      <c r="L14">
        <f t="shared" si="3"/>
        <v>0</v>
      </c>
      <c r="M14">
        <f t="shared" si="4"/>
        <v>0</v>
      </c>
      <c r="N14">
        <f t="shared" si="5"/>
        <v>0</v>
      </c>
      <c r="O14">
        <f t="shared" si="6"/>
        <v>1</v>
      </c>
      <c r="P14">
        <f t="shared" ca="1" si="7"/>
        <v>1</v>
      </c>
      <c r="Q14">
        <f t="shared" ca="1" si="8"/>
        <v>26</v>
      </c>
    </row>
    <row r="15" spans="1:17" x14ac:dyDescent="0.25">
      <c r="A15">
        <f t="shared" si="9"/>
        <v>14</v>
      </c>
      <c r="B15" s="212" t="s">
        <v>52</v>
      </c>
      <c r="C15" s="555">
        <v>88</v>
      </c>
      <c r="D15" t="s">
        <v>1479</v>
      </c>
      <c r="E15" t="s">
        <v>1429</v>
      </c>
      <c r="F15" s="494">
        <f>IF('PLAN PRODUCTION2'!AG20="","",'PLAN PRODUCTION2'!AG20)</f>
        <v>46230</v>
      </c>
      <c r="G15" s="494" t="str">
        <f>IF('PLAN PRODUCTION2'!AH20="","",'PLAN PRODUCTION2'!AH20)</f>
        <v/>
      </c>
      <c r="H15" t="str">
        <f t="shared" ca="1" si="10"/>
        <v>Not Done - Overdue</v>
      </c>
      <c r="I15">
        <f t="shared" ca="1" si="0"/>
        <v>22</v>
      </c>
      <c r="J15">
        <f t="shared" si="1"/>
        <v>31</v>
      </c>
      <c r="K15" t="str">
        <f t="shared" si="2"/>
        <v>Minggu 31 (2026)</v>
      </c>
      <c r="L15">
        <f t="shared" si="3"/>
        <v>0</v>
      </c>
      <c r="M15">
        <f t="shared" si="4"/>
        <v>0</v>
      </c>
      <c r="N15">
        <f t="shared" si="5"/>
        <v>0</v>
      </c>
      <c r="O15">
        <f t="shared" si="6"/>
        <v>1</v>
      </c>
      <c r="P15">
        <f t="shared" ca="1" si="7"/>
        <v>1</v>
      </c>
      <c r="Q15">
        <f t="shared" ca="1" si="8"/>
        <v>22</v>
      </c>
    </row>
    <row r="16" spans="1:17" x14ac:dyDescent="0.25">
      <c r="A16">
        <f t="shared" si="9"/>
        <v>15</v>
      </c>
      <c r="B16" s="212" t="s">
        <v>53</v>
      </c>
      <c r="C16" s="555">
        <v>72</v>
      </c>
      <c r="D16" t="s">
        <v>1466</v>
      </c>
      <c r="E16" t="s">
        <v>1420</v>
      </c>
      <c r="F16" s="494">
        <f>IF('PLAN PRODUCTION2'!E21="","",'PLAN PRODUCTION2'!E21)</f>
        <v>46125</v>
      </c>
      <c r="G16" s="494">
        <f>IF('PLAN PRODUCTION2'!F21="","",'PLAN PRODUCTION2'!F21)</f>
        <v>46125</v>
      </c>
      <c r="H16" t="str">
        <f t="shared" ca="1" si="10"/>
        <v>Completed - On Time</v>
      </c>
      <c r="I16">
        <f t="shared" ca="1" si="0"/>
        <v>0</v>
      </c>
      <c r="J16">
        <f t="shared" si="1"/>
        <v>16</v>
      </c>
      <c r="K16" t="str">
        <f t="shared" si="2"/>
        <v>Minggu 16 (2026)</v>
      </c>
      <c r="L16">
        <f t="shared" si="3"/>
        <v>1</v>
      </c>
      <c r="M16">
        <f t="shared" si="4"/>
        <v>1</v>
      </c>
      <c r="N16">
        <f t="shared" si="5"/>
        <v>0</v>
      </c>
      <c r="O16">
        <f t="shared" si="6"/>
        <v>0</v>
      </c>
      <c r="P16">
        <f t="shared" ca="1" si="7"/>
        <v>0</v>
      </c>
      <c r="Q16">
        <f t="shared" ca="1" si="8"/>
        <v>0</v>
      </c>
    </row>
    <row r="17" spans="1:17" x14ac:dyDescent="0.25">
      <c r="A17">
        <f t="shared" si="9"/>
        <v>16</v>
      </c>
      <c r="B17" s="212" t="s">
        <v>53</v>
      </c>
      <c r="C17" s="555">
        <v>72</v>
      </c>
      <c r="D17" t="s">
        <v>1467</v>
      </c>
      <c r="E17" t="s">
        <v>1420</v>
      </c>
      <c r="F17" s="494">
        <f>IF('PLAN PRODUCTION2'!I21="","",'PLAN PRODUCTION2'!I21)</f>
        <v>46125</v>
      </c>
      <c r="G17" s="494">
        <f>IF('PLAN PRODUCTION2'!J21="","",'PLAN PRODUCTION2'!J21)</f>
        <v>46125</v>
      </c>
      <c r="H17" t="str">
        <f t="shared" ca="1" si="10"/>
        <v>Completed - On Time</v>
      </c>
      <c r="I17">
        <f t="shared" ca="1" si="0"/>
        <v>0</v>
      </c>
      <c r="J17">
        <f t="shared" si="1"/>
        <v>16</v>
      </c>
      <c r="K17" t="str">
        <f t="shared" si="2"/>
        <v>Minggu 16 (2026)</v>
      </c>
      <c r="L17">
        <f t="shared" si="3"/>
        <v>1</v>
      </c>
      <c r="M17">
        <f t="shared" si="4"/>
        <v>1</v>
      </c>
      <c r="N17">
        <f t="shared" si="5"/>
        <v>0</v>
      </c>
      <c r="O17">
        <f t="shared" si="6"/>
        <v>0</v>
      </c>
      <c r="P17">
        <f t="shared" ca="1" si="7"/>
        <v>0</v>
      </c>
      <c r="Q17">
        <f t="shared" ca="1" si="8"/>
        <v>0</v>
      </c>
    </row>
    <row r="18" spans="1:17" x14ac:dyDescent="0.25">
      <c r="A18">
        <f t="shared" si="9"/>
        <v>17</v>
      </c>
      <c r="B18" s="212" t="s">
        <v>53</v>
      </c>
      <c r="C18" s="555">
        <v>72</v>
      </c>
      <c r="D18" t="s">
        <v>1468</v>
      </c>
      <c r="E18" t="s">
        <v>1420</v>
      </c>
      <c r="F18" s="494">
        <f>IF('PLAN PRODUCTION2'!K21="","",'PLAN PRODUCTION2'!K21)</f>
        <v>46125</v>
      </c>
      <c r="G18" s="494">
        <f>IF('PLAN PRODUCTION2'!L21="","",'PLAN PRODUCTION2'!L21)</f>
        <v>46125</v>
      </c>
      <c r="H18" t="str">
        <f t="shared" ca="1" si="10"/>
        <v>Completed - On Time</v>
      </c>
      <c r="I18">
        <f t="shared" ca="1" si="0"/>
        <v>0</v>
      </c>
      <c r="J18">
        <f t="shared" si="1"/>
        <v>16</v>
      </c>
      <c r="K18" t="str">
        <f t="shared" si="2"/>
        <v>Minggu 16 (2026)</v>
      </c>
      <c r="L18">
        <f t="shared" si="3"/>
        <v>1</v>
      </c>
      <c r="M18">
        <f t="shared" si="4"/>
        <v>1</v>
      </c>
      <c r="N18">
        <f t="shared" si="5"/>
        <v>0</v>
      </c>
      <c r="O18">
        <f t="shared" si="6"/>
        <v>0</v>
      </c>
      <c r="P18">
        <f t="shared" ca="1" si="7"/>
        <v>0</v>
      </c>
      <c r="Q18">
        <f t="shared" ca="1" si="8"/>
        <v>0</v>
      </c>
    </row>
    <row r="19" spans="1:17" x14ac:dyDescent="0.25">
      <c r="A19">
        <f t="shared" si="9"/>
        <v>18</v>
      </c>
      <c r="B19" s="212" t="s">
        <v>53</v>
      </c>
      <c r="C19" s="555">
        <v>72</v>
      </c>
      <c r="D19" t="s">
        <v>1469</v>
      </c>
      <c r="E19" t="s">
        <v>1422</v>
      </c>
      <c r="F19" s="494">
        <f>IF('PLAN PRODUCTION2'!M21="","",'PLAN PRODUCTION2'!M21)</f>
        <v>46128</v>
      </c>
      <c r="G19" s="494">
        <f>IF('PLAN PRODUCTION2'!N21="","",'PLAN PRODUCTION2'!N21)</f>
        <v>46128</v>
      </c>
      <c r="H19" t="str">
        <f t="shared" ca="1" si="10"/>
        <v>Completed - On Time</v>
      </c>
      <c r="I19">
        <f t="shared" ca="1" si="0"/>
        <v>0</v>
      </c>
      <c r="J19">
        <f t="shared" si="1"/>
        <v>16</v>
      </c>
      <c r="K19" t="str">
        <f t="shared" si="2"/>
        <v>Minggu 16 (2026)</v>
      </c>
      <c r="L19">
        <f t="shared" si="3"/>
        <v>1</v>
      </c>
      <c r="M19">
        <f t="shared" si="4"/>
        <v>1</v>
      </c>
      <c r="N19">
        <f t="shared" si="5"/>
        <v>0</v>
      </c>
      <c r="O19">
        <f t="shared" si="6"/>
        <v>0</v>
      </c>
      <c r="P19">
        <f t="shared" ca="1" si="7"/>
        <v>0</v>
      </c>
      <c r="Q19">
        <f t="shared" ca="1" si="8"/>
        <v>0</v>
      </c>
    </row>
    <row r="20" spans="1:17" x14ac:dyDescent="0.25">
      <c r="A20">
        <f t="shared" si="9"/>
        <v>19</v>
      </c>
      <c r="B20" s="212" t="s">
        <v>53</v>
      </c>
      <c r="C20" s="555">
        <v>72</v>
      </c>
      <c r="D20" t="s">
        <v>1470</v>
      </c>
      <c r="E20" t="s">
        <v>1422</v>
      </c>
      <c r="F20" s="494">
        <f>IF('PLAN PRODUCTION2'!O21="","",'PLAN PRODUCTION2'!O21)</f>
        <v>46136</v>
      </c>
      <c r="G20" s="494">
        <f>IF('PLAN PRODUCTION2'!P21="","",'PLAN PRODUCTION2'!P21)</f>
        <v>46136</v>
      </c>
      <c r="H20" t="str">
        <f t="shared" ca="1" si="10"/>
        <v>Completed - On Time</v>
      </c>
      <c r="I20">
        <f t="shared" ca="1" si="0"/>
        <v>0</v>
      </c>
      <c r="J20">
        <f t="shared" si="1"/>
        <v>17</v>
      </c>
      <c r="K20" t="str">
        <f t="shared" si="2"/>
        <v>Minggu 17 (2026)</v>
      </c>
      <c r="L20">
        <f t="shared" si="3"/>
        <v>1</v>
      </c>
      <c r="M20">
        <f t="shared" si="4"/>
        <v>1</v>
      </c>
      <c r="N20">
        <f t="shared" si="5"/>
        <v>0</v>
      </c>
      <c r="O20">
        <f t="shared" si="6"/>
        <v>0</v>
      </c>
      <c r="P20">
        <f t="shared" ca="1" si="7"/>
        <v>0</v>
      </c>
      <c r="Q20">
        <f t="shared" ca="1" si="8"/>
        <v>0</v>
      </c>
    </row>
    <row r="21" spans="1:17" x14ac:dyDescent="0.25">
      <c r="A21">
        <f t="shared" si="9"/>
        <v>20</v>
      </c>
      <c r="B21" s="212" t="s">
        <v>53</v>
      </c>
      <c r="C21" s="555">
        <v>72</v>
      </c>
      <c r="D21" t="s">
        <v>1471</v>
      </c>
      <c r="E21" t="s">
        <v>1424</v>
      </c>
      <c r="F21" s="494">
        <f>IF('PLAN PRODUCTION2'!Q21="","",'PLAN PRODUCTION2'!Q21)</f>
        <v>46128</v>
      </c>
      <c r="G21" s="494">
        <f>IF('PLAN PRODUCTION2'!R21="","",'PLAN PRODUCTION2'!R21)</f>
        <v>46128</v>
      </c>
      <c r="H21" t="str">
        <f t="shared" ca="1" si="10"/>
        <v>Completed - On Time</v>
      </c>
      <c r="I21">
        <f t="shared" ca="1" si="0"/>
        <v>0</v>
      </c>
      <c r="J21">
        <f t="shared" si="1"/>
        <v>16</v>
      </c>
      <c r="K21" t="str">
        <f t="shared" si="2"/>
        <v>Minggu 16 (2026)</v>
      </c>
      <c r="L21">
        <f t="shared" si="3"/>
        <v>1</v>
      </c>
      <c r="M21">
        <f t="shared" si="4"/>
        <v>1</v>
      </c>
      <c r="N21">
        <f t="shared" si="5"/>
        <v>0</v>
      </c>
      <c r="O21">
        <f t="shared" si="6"/>
        <v>0</v>
      </c>
      <c r="P21">
        <f t="shared" ca="1" si="7"/>
        <v>0</v>
      </c>
      <c r="Q21">
        <f t="shared" ca="1" si="8"/>
        <v>0</v>
      </c>
    </row>
    <row r="22" spans="1:17" x14ac:dyDescent="0.25">
      <c r="A22">
        <f t="shared" si="9"/>
        <v>21</v>
      </c>
      <c r="B22" s="212" t="s">
        <v>53</v>
      </c>
      <c r="C22" s="555">
        <v>72</v>
      </c>
      <c r="D22" t="s">
        <v>1472</v>
      </c>
      <c r="E22" t="s">
        <v>1426</v>
      </c>
      <c r="F22" s="494">
        <f>IF('PLAN PRODUCTION2'!S21="","",'PLAN PRODUCTION2'!S21)</f>
        <v>46177</v>
      </c>
      <c r="G22" s="494">
        <f>IF('PLAN PRODUCTION2'!T21="","",'PLAN PRODUCTION2'!T21)</f>
        <v>46177</v>
      </c>
      <c r="H22" t="str">
        <f t="shared" ca="1" si="10"/>
        <v>Completed - On Time</v>
      </c>
      <c r="I22">
        <f t="shared" ca="1" si="0"/>
        <v>0</v>
      </c>
      <c r="J22">
        <f t="shared" si="1"/>
        <v>23</v>
      </c>
      <c r="K22" t="str">
        <f t="shared" si="2"/>
        <v>Minggu 23 (2026)</v>
      </c>
      <c r="L22">
        <f t="shared" si="3"/>
        <v>1</v>
      </c>
      <c r="M22">
        <f t="shared" si="4"/>
        <v>1</v>
      </c>
      <c r="N22">
        <f t="shared" si="5"/>
        <v>0</v>
      </c>
      <c r="O22">
        <f t="shared" si="6"/>
        <v>0</v>
      </c>
      <c r="P22">
        <f t="shared" ca="1" si="7"/>
        <v>0</v>
      </c>
      <c r="Q22">
        <f t="shared" ca="1" si="8"/>
        <v>0</v>
      </c>
    </row>
    <row r="23" spans="1:17" x14ac:dyDescent="0.25">
      <c r="A23">
        <f t="shared" si="9"/>
        <v>22</v>
      </c>
      <c r="B23" s="212" t="s">
        <v>53</v>
      </c>
      <c r="C23" s="555">
        <v>72</v>
      </c>
      <c r="D23" t="s">
        <v>1473</v>
      </c>
      <c r="E23" t="s">
        <v>1426</v>
      </c>
      <c r="F23" s="494">
        <f>IF('PLAN PRODUCTION2'!U21="","",'PLAN PRODUCTION2'!U21)</f>
        <v>46177</v>
      </c>
      <c r="G23" s="494">
        <f>IF('PLAN PRODUCTION2'!V21="","",'PLAN PRODUCTION2'!V21)</f>
        <v>46177</v>
      </c>
      <c r="H23" t="str">
        <f t="shared" ca="1" si="10"/>
        <v>Completed - On Time</v>
      </c>
      <c r="I23">
        <f t="shared" ca="1" si="0"/>
        <v>0</v>
      </c>
      <c r="J23">
        <f t="shared" si="1"/>
        <v>23</v>
      </c>
      <c r="K23" t="str">
        <f t="shared" si="2"/>
        <v>Minggu 23 (2026)</v>
      </c>
      <c r="L23">
        <f t="shared" si="3"/>
        <v>1</v>
      </c>
      <c r="M23">
        <f t="shared" si="4"/>
        <v>1</v>
      </c>
      <c r="N23">
        <f t="shared" si="5"/>
        <v>0</v>
      </c>
      <c r="O23">
        <f t="shared" si="6"/>
        <v>0</v>
      </c>
      <c r="P23">
        <f t="shared" ca="1" si="7"/>
        <v>0</v>
      </c>
      <c r="Q23">
        <f t="shared" ca="1" si="8"/>
        <v>0</v>
      </c>
    </row>
    <row r="24" spans="1:17" x14ac:dyDescent="0.25">
      <c r="A24">
        <f t="shared" si="9"/>
        <v>23</v>
      </c>
      <c r="B24" s="212" t="s">
        <v>53</v>
      </c>
      <c r="C24" s="555">
        <v>72</v>
      </c>
      <c r="D24" t="s">
        <v>1474</v>
      </c>
      <c r="E24" t="s">
        <v>1426</v>
      </c>
      <c r="F24" s="494">
        <f>IF('PLAN PRODUCTION2'!W21="","",'PLAN PRODUCTION2'!W21)</f>
        <v>46181</v>
      </c>
      <c r="G24" s="494">
        <f>IF('PLAN PRODUCTION2'!X21="","",'PLAN PRODUCTION2'!X21)</f>
        <v>46181</v>
      </c>
      <c r="H24" t="str">
        <f t="shared" ca="1" si="10"/>
        <v>Completed - On Time</v>
      </c>
      <c r="I24">
        <f t="shared" ca="1" si="0"/>
        <v>0</v>
      </c>
      <c r="J24">
        <f t="shared" si="1"/>
        <v>24</v>
      </c>
      <c r="K24" t="str">
        <f t="shared" si="2"/>
        <v>Minggu 24 (2026)</v>
      </c>
      <c r="L24">
        <f t="shared" si="3"/>
        <v>1</v>
      </c>
      <c r="M24">
        <f t="shared" si="4"/>
        <v>1</v>
      </c>
      <c r="N24">
        <f t="shared" si="5"/>
        <v>0</v>
      </c>
      <c r="O24">
        <f t="shared" si="6"/>
        <v>0</v>
      </c>
      <c r="P24">
        <f t="shared" ca="1" si="7"/>
        <v>0</v>
      </c>
      <c r="Q24">
        <f t="shared" ca="1" si="8"/>
        <v>0</v>
      </c>
    </row>
    <row r="25" spans="1:17" x14ac:dyDescent="0.25">
      <c r="A25">
        <f t="shared" si="9"/>
        <v>24</v>
      </c>
      <c r="B25" s="212" t="s">
        <v>53</v>
      </c>
      <c r="C25" s="555">
        <v>72</v>
      </c>
      <c r="D25" t="s">
        <v>1475</v>
      </c>
      <c r="E25" t="s">
        <v>1426</v>
      </c>
      <c r="F25" s="494">
        <f>IF('PLAN PRODUCTION2'!Y21="","",'PLAN PRODUCTION2'!Y21)</f>
        <v>46182</v>
      </c>
      <c r="G25" s="494">
        <f>IF('PLAN PRODUCTION2'!Z21="","",'PLAN PRODUCTION2'!Z21)</f>
        <v>46182</v>
      </c>
      <c r="H25" t="str">
        <f t="shared" ca="1" si="10"/>
        <v>Completed - On Time</v>
      </c>
      <c r="I25">
        <f t="shared" ca="1" si="0"/>
        <v>0</v>
      </c>
      <c r="J25">
        <f t="shared" si="1"/>
        <v>24</v>
      </c>
      <c r="K25" t="str">
        <f t="shared" si="2"/>
        <v>Minggu 24 (2026)</v>
      </c>
      <c r="L25">
        <f t="shared" si="3"/>
        <v>1</v>
      </c>
      <c r="M25">
        <f t="shared" si="4"/>
        <v>1</v>
      </c>
      <c r="N25">
        <f t="shared" si="5"/>
        <v>0</v>
      </c>
      <c r="O25">
        <f t="shared" si="6"/>
        <v>0</v>
      </c>
      <c r="P25">
        <f t="shared" ca="1" si="7"/>
        <v>0</v>
      </c>
      <c r="Q25">
        <f t="shared" ca="1" si="8"/>
        <v>0</v>
      </c>
    </row>
    <row r="26" spans="1:17" x14ac:dyDescent="0.25">
      <c r="A26">
        <f t="shared" si="9"/>
        <v>25</v>
      </c>
      <c r="B26" s="212" t="s">
        <v>53</v>
      </c>
      <c r="C26" s="555">
        <v>72</v>
      </c>
      <c r="D26" t="s">
        <v>1476</v>
      </c>
      <c r="E26" t="s">
        <v>1426</v>
      </c>
      <c r="F26" s="494">
        <f>IF('PLAN PRODUCTION2'!AA21="","",'PLAN PRODUCTION2'!AA21)</f>
        <v>46183</v>
      </c>
      <c r="G26" s="494">
        <f>IF('PLAN PRODUCTION2'!AB21="","",'PLAN PRODUCTION2'!AB21)</f>
        <v>46183</v>
      </c>
      <c r="H26" t="str">
        <f t="shared" ca="1" si="10"/>
        <v>Completed - On Time</v>
      </c>
      <c r="I26">
        <f t="shared" ca="1" si="0"/>
        <v>0</v>
      </c>
      <c r="J26">
        <f t="shared" si="1"/>
        <v>24</v>
      </c>
      <c r="K26" t="str">
        <f t="shared" si="2"/>
        <v>Minggu 24 (2026)</v>
      </c>
      <c r="L26">
        <f t="shared" si="3"/>
        <v>1</v>
      </c>
      <c r="M26">
        <f t="shared" si="4"/>
        <v>1</v>
      </c>
      <c r="N26">
        <f t="shared" si="5"/>
        <v>0</v>
      </c>
      <c r="O26">
        <f t="shared" si="6"/>
        <v>0</v>
      </c>
      <c r="P26">
        <f t="shared" ca="1" si="7"/>
        <v>0</v>
      </c>
      <c r="Q26">
        <f t="shared" ca="1" si="8"/>
        <v>0</v>
      </c>
    </row>
    <row r="27" spans="1:17" x14ac:dyDescent="0.25">
      <c r="A27">
        <f t="shared" si="9"/>
        <v>26</v>
      </c>
      <c r="B27" s="212" t="s">
        <v>53</v>
      </c>
      <c r="C27" s="555">
        <v>72</v>
      </c>
      <c r="D27" t="s">
        <v>1477</v>
      </c>
      <c r="E27" t="s">
        <v>1422</v>
      </c>
      <c r="F27" s="494">
        <f>IF('PLAN PRODUCTION2'!AC21="","",'PLAN PRODUCTION2'!AC21)</f>
        <v>46184</v>
      </c>
      <c r="G27" s="494">
        <f>IF('PLAN PRODUCTION2'!AD21="","",'PLAN PRODUCTION2'!AD21)</f>
        <v>46184</v>
      </c>
      <c r="H27" t="str">
        <f t="shared" ca="1" si="10"/>
        <v>Completed - On Time</v>
      </c>
      <c r="I27">
        <f t="shared" ca="1" si="0"/>
        <v>0</v>
      </c>
      <c r="J27">
        <f t="shared" si="1"/>
        <v>24</v>
      </c>
      <c r="K27" t="str">
        <f t="shared" si="2"/>
        <v>Minggu 24 (2026)</v>
      </c>
      <c r="L27">
        <f t="shared" si="3"/>
        <v>1</v>
      </c>
      <c r="M27">
        <f t="shared" si="4"/>
        <v>1</v>
      </c>
      <c r="N27">
        <f t="shared" si="5"/>
        <v>0</v>
      </c>
      <c r="O27">
        <f t="shared" si="6"/>
        <v>0</v>
      </c>
      <c r="P27">
        <f t="shared" ca="1" si="7"/>
        <v>0</v>
      </c>
      <c r="Q27">
        <f t="shared" ca="1" si="8"/>
        <v>0</v>
      </c>
    </row>
    <row r="28" spans="1:17" x14ac:dyDescent="0.25">
      <c r="A28">
        <f t="shared" si="9"/>
        <v>27</v>
      </c>
      <c r="B28" s="212" t="s">
        <v>53</v>
      </c>
      <c r="C28" s="555">
        <v>72</v>
      </c>
      <c r="D28" t="s">
        <v>1478</v>
      </c>
      <c r="E28" t="s">
        <v>1429</v>
      </c>
      <c r="F28" s="494">
        <f>IF('PLAN PRODUCTION2'!AE21="","",'PLAN PRODUCTION2'!AE21)</f>
        <v>46188</v>
      </c>
      <c r="G28" s="494">
        <f>IF('PLAN PRODUCTION2'!AF21="","",'PLAN PRODUCTION2'!AF21)</f>
        <v>46188</v>
      </c>
      <c r="H28" t="str">
        <f t="shared" ca="1" si="10"/>
        <v>Completed - On Time</v>
      </c>
      <c r="I28">
        <f t="shared" ca="1" si="0"/>
        <v>0</v>
      </c>
      <c r="J28">
        <f t="shared" si="1"/>
        <v>25</v>
      </c>
      <c r="K28" t="str">
        <f t="shared" si="2"/>
        <v>Minggu 25 (2026)</v>
      </c>
      <c r="L28">
        <f t="shared" si="3"/>
        <v>1</v>
      </c>
      <c r="M28">
        <f t="shared" si="4"/>
        <v>1</v>
      </c>
      <c r="N28">
        <f t="shared" si="5"/>
        <v>0</v>
      </c>
      <c r="O28">
        <f t="shared" si="6"/>
        <v>0</v>
      </c>
      <c r="P28">
        <f t="shared" ca="1" si="7"/>
        <v>0</v>
      </c>
      <c r="Q28">
        <f t="shared" ca="1" si="8"/>
        <v>0</v>
      </c>
    </row>
    <row r="29" spans="1:17" x14ac:dyDescent="0.25">
      <c r="A29">
        <f t="shared" si="9"/>
        <v>28</v>
      </c>
      <c r="B29" s="212" t="s">
        <v>53</v>
      </c>
      <c r="C29" s="555">
        <v>72</v>
      </c>
      <c r="D29" t="s">
        <v>1479</v>
      </c>
      <c r="E29" t="s">
        <v>1429</v>
      </c>
      <c r="F29" s="494">
        <f>IF('PLAN PRODUCTION2'!AG21="","",'PLAN PRODUCTION2'!AG21)</f>
        <v>46190</v>
      </c>
      <c r="G29" s="494">
        <f>IF('PLAN PRODUCTION2'!AH21="","",'PLAN PRODUCTION2'!AH21)</f>
        <v>46190</v>
      </c>
      <c r="H29" t="str">
        <f t="shared" ca="1" si="10"/>
        <v>Completed - On Time</v>
      </c>
      <c r="I29">
        <f t="shared" ca="1" si="0"/>
        <v>0</v>
      </c>
      <c r="J29">
        <f t="shared" si="1"/>
        <v>25</v>
      </c>
      <c r="K29" t="str">
        <f t="shared" si="2"/>
        <v>Minggu 25 (2026)</v>
      </c>
      <c r="L29">
        <f t="shared" si="3"/>
        <v>1</v>
      </c>
      <c r="M29">
        <f t="shared" si="4"/>
        <v>1</v>
      </c>
      <c r="N29">
        <f t="shared" si="5"/>
        <v>0</v>
      </c>
      <c r="O29">
        <f t="shared" si="6"/>
        <v>0</v>
      </c>
      <c r="P29">
        <f t="shared" ca="1" si="7"/>
        <v>0</v>
      </c>
      <c r="Q29">
        <f t="shared" ca="1" si="8"/>
        <v>0</v>
      </c>
    </row>
    <row r="30" spans="1:17" x14ac:dyDescent="0.25">
      <c r="A30">
        <f t="shared" si="9"/>
        <v>29</v>
      </c>
      <c r="B30" s="212" t="s">
        <v>54</v>
      </c>
      <c r="C30" s="555">
        <v>54</v>
      </c>
      <c r="D30" t="s">
        <v>1466</v>
      </c>
      <c r="E30" t="s">
        <v>1420</v>
      </c>
      <c r="F30" s="494">
        <f>IF('PLAN PRODUCTION2'!E22="","",'PLAN PRODUCTION2'!E22)</f>
        <v>46218</v>
      </c>
      <c r="G30" s="494">
        <f>IF('PLAN PRODUCTION2'!F22="","",'PLAN PRODUCTION2'!F22)</f>
        <v>46218</v>
      </c>
      <c r="H30" t="str">
        <f t="shared" ca="1" si="10"/>
        <v>Completed - On Time</v>
      </c>
      <c r="I30">
        <f t="shared" ca="1" si="0"/>
        <v>0</v>
      </c>
      <c r="J30">
        <f t="shared" si="1"/>
        <v>29</v>
      </c>
      <c r="K30" t="str">
        <f t="shared" si="2"/>
        <v>Minggu 29 (2026)</v>
      </c>
      <c r="L30">
        <f t="shared" si="3"/>
        <v>1</v>
      </c>
      <c r="M30">
        <f t="shared" si="4"/>
        <v>1</v>
      </c>
      <c r="N30">
        <f t="shared" si="5"/>
        <v>0</v>
      </c>
      <c r="O30">
        <f t="shared" si="6"/>
        <v>0</v>
      </c>
      <c r="P30">
        <f t="shared" ca="1" si="7"/>
        <v>0</v>
      </c>
      <c r="Q30">
        <f t="shared" ca="1" si="8"/>
        <v>0</v>
      </c>
    </row>
    <row r="31" spans="1:17" x14ac:dyDescent="0.25">
      <c r="A31">
        <f t="shared" si="9"/>
        <v>30</v>
      </c>
      <c r="B31" s="212" t="s">
        <v>54</v>
      </c>
      <c r="C31" s="555">
        <v>54</v>
      </c>
      <c r="D31" t="s">
        <v>1467</v>
      </c>
      <c r="E31" t="s">
        <v>1420</v>
      </c>
      <c r="F31" s="494" t="str">
        <f>IF('PLAN PRODUCTION2'!I22="","",'PLAN PRODUCTION2'!I22)</f>
        <v/>
      </c>
      <c r="G31" s="494" t="str">
        <f>IF('PLAN PRODUCTION2'!J22="","",'PLAN PRODUCTION2'!J22)</f>
        <v/>
      </c>
      <c r="H31" t="str">
        <f t="shared" ca="1" si="10"/>
        <v>Plan Date Empty</v>
      </c>
      <c r="I31" t="str">
        <f t="shared" ca="1" si="0"/>
        <v/>
      </c>
      <c r="J31" t="str">
        <f t="shared" si="1"/>
        <v/>
      </c>
      <c r="K31" t="str">
        <f t="shared" si="2"/>
        <v/>
      </c>
      <c r="L31">
        <f t="shared" si="3"/>
        <v>0</v>
      </c>
      <c r="M31">
        <f t="shared" si="4"/>
        <v>0</v>
      </c>
      <c r="N31">
        <f t="shared" si="5"/>
        <v>0</v>
      </c>
      <c r="O31">
        <f t="shared" si="6"/>
        <v>1</v>
      </c>
      <c r="P31">
        <f t="shared" ca="1" si="7"/>
        <v>0</v>
      </c>
      <c r="Q31">
        <f t="shared" ca="1" si="8"/>
        <v>0</v>
      </c>
    </row>
    <row r="32" spans="1:17" x14ac:dyDescent="0.25">
      <c r="A32">
        <f t="shared" si="9"/>
        <v>31</v>
      </c>
      <c r="B32" s="212" t="s">
        <v>54</v>
      </c>
      <c r="C32" s="555">
        <v>54</v>
      </c>
      <c r="D32" t="s">
        <v>1468</v>
      </c>
      <c r="E32" t="s">
        <v>1420</v>
      </c>
      <c r="F32" s="494" t="str">
        <f>IF('PLAN PRODUCTION2'!K22="","",'PLAN PRODUCTION2'!K22)</f>
        <v/>
      </c>
      <c r="G32" s="494" t="str">
        <f>IF('PLAN PRODUCTION2'!L22="","",'PLAN PRODUCTION2'!L22)</f>
        <v/>
      </c>
      <c r="H32" t="str">
        <f t="shared" ca="1" si="10"/>
        <v>Plan Date Empty</v>
      </c>
      <c r="I32" t="str">
        <f t="shared" ca="1" si="0"/>
        <v/>
      </c>
      <c r="J32" t="str">
        <f t="shared" si="1"/>
        <v/>
      </c>
      <c r="K32" t="str">
        <f t="shared" si="2"/>
        <v/>
      </c>
      <c r="L32">
        <f t="shared" si="3"/>
        <v>0</v>
      </c>
      <c r="M32">
        <f t="shared" si="4"/>
        <v>0</v>
      </c>
      <c r="N32">
        <f t="shared" si="5"/>
        <v>0</v>
      </c>
      <c r="O32">
        <f t="shared" si="6"/>
        <v>1</v>
      </c>
      <c r="P32">
        <f t="shared" ca="1" si="7"/>
        <v>0</v>
      </c>
      <c r="Q32">
        <f t="shared" ca="1" si="8"/>
        <v>0</v>
      </c>
    </row>
    <row r="33" spans="1:17" x14ac:dyDescent="0.25">
      <c r="A33">
        <f t="shared" si="9"/>
        <v>32</v>
      </c>
      <c r="B33" s="212" t="s">
        <v>54</v>
      </c>
      <c r="C33" s="555">
        <v>54</v>
      </c>
      <c r="D33" t="s">
        <v>1469</v>
      </c>
      <c r="E33" t="s">
        <v>1422</v>
      </c>
      <c r="F33" s="494" t="str">
        <f>IF('PLAN PRODUCTION2'!M22="","",'PLAN PRODUCTION2'!M22)</f>
        <v/>
      </c>
      <c r="G33" s="494" t="str">
        <f>IF('PLAN PRODUCTION2'!N22="","",'PLAN PRODUCTION2'!N22)</f>
        <v/>
      </c>
      <c r="H33" t="str">
        <f t="shared" ca="1" si="10"/>
        <v>Plan Date Empty</v>
      </c>
      <c r="I33" t="str">
        <f t="shared" ca="1" si="0"/>
        <v/>
      </c>
      <c r="J33" t="str">
        <f t="shared" si="1"/>
        <v/>
      </c>
      <c r="K33" t="str">
        <f t="shared" si="2"/>
        <v/>
      </c>
      <c r="L33">
        <f t="shared" si="3"/>
        <v>0</v>
      </c>
      <c r="M33">
        <f t="shared" si="4"/>
        <v>0</v>
      </c>
      <c r="N33">
        <f t="shared" si="5"/>
        <v>0</v>
      </c>
      <c r="O33">
        <f t="shared" si="6"/>
        <v>1</v>
      </c>
      <c r="P33">
        <f t="shared" ca="1" si="7"/>
        <v>0</v>
      </c>
      <c r="Q33">
        <f t="shared" ca="1" si="8"/>
        <v>0</v>
      </c>
    </row>
    <row r="34" spans="1:17" x14ac:dyDescent="0.25">
      <c r="A34">
        <f t="shared" si="9"/>
        <v>33</v>
      </c>
      <c r="B34" s="212" t="s">
        <v>54</v>
      </c>
      <c r="C34" s="555">
        <v>54</v>
      </c>
      <c r="D34" t="s">
        <v>1470</v>
      </c>
      <c r="E34" t="s">
        <v>1422</v>
      </c>
      <c r="F34" s="494" t="str">
        <f>IF('PLAN PRODUCTION2'!O22="","",'PLAN PRODUCTION2'!O22)</f>
        <v/>
      </c>
      <c r="G34" s="494" t="str">
        <f>IF('PLAN PRODUCTION2'!P22="","",'PLAN PRODUCTION2'!P22)</f>
        <v/>
      </c>
      <c r="H34" t="str">
        <f t="shared" ca="1" si="10"/>
        <v>Plan Date Empty</v>
      </c>
      <c r="I34" t="str">
        <f t="shared" ca="1" si="0"/>
        <v/>
      </c>
      <c r="J34" t="str">
        <f t="shared" si="1"/>
        <v/>
      </c>
      <c r="K34" t="str">
        <f t="shared" si="2"/>
        <v/>
      </c>
      <c r="L34">
        <f t="shared" si="3"/>
        <v>0</v>
      </c>
      <c r="M34">
        <f t="shared" si="4"/>
        <v>0</v>
      </c>
      <c r="N34">
        <f t="shared" si="5"/>
        <v>0</v>
      </c>
      <c r="O34">
        <f t="shared" si="6"/>
        <v>1</v>
      </c>
      <c r="P34">
        <f t="shared" ca="1" si="7"/>
        <v>0</v>
      </c>
      <c r="Q34">
        <f t="shared" ca="1" si="8"/>
        <v>0</v>
      </c>
    </row>
    <row r="35" spans="1:17" x14ac:dyDescent="0.25">
      <c r="A35">
        <f t="shared" si="9"/>
        <v>34</v>
      </c>
      <c r="B35" s="212" t="s">
        <v>54</v>
      </c>
      <c r="C35" s="555">
        <v>54</v>
      </c>
      <c r="D35" t="s">
        <v>1471</v>
      </c>
      <c r="E35" t="s">
        <v>1424</v>
      </c>
      <c r="F35" s="494" t="str">
        <f>IF('PLAN PRODUCTION2'!Q22="","",'PLAN PRODUCTION2'!Q22)</f>
        <v/>
      </c>
      <c r="G35" s="494" t="str">
        <f>IF('PLAN PRODUCTION2'!R22="","",'PLAN PRODUCTION2'!R22)</f>
        <v/>
      </c>
      <c r="H35" t="str">
        <f t="shared" ca="1" si="10"/>
        <v>Plan Date Empty</v>
      </c>
      <c r="I35" t="str">
        <f t="shared" ca="1" si="0"/>
        <v/>
      </c>
      <c r="J35" t="str">
        <f t="shared" si="1"/>
        <v/>
      </c>
      <c r="K35" t="str">
        <f t="shared" si="2"/>
        <v/>
      </c>
      <c r="L35">
        <f t="shared" si="3"/>
        <v>0</v>
      </c>
      <c r="M35">
        <f t="shared" si="4"/>
        <v>0</v>
      </c>
      <c r="N35">
        <f t="shared" si="5"/>
        <v>0</v>
      </c>
      <c r="O35">
        <f t="shared" si="6"/>
        <v>1</v>
      </c>
      <c r="P35">
        <f t="shared" ca="1" si="7"/>
        <v>0</v>
      </c>
      <c r="Q35">
        <f t="shared" ca="1" si="8"/>
        <v>0</v>
      </c>
    </row>
    <row r="36" spans="1:17" x14ac:dyDescent="0.25">
      <c r="A36">
        <f t="shared" si="9"/>
        <v>35</v>
      </c>
      <c r="B36" s="212" t="s">
        <v>54</v>
      </c>
      <c r="C36" s="555">
        <v>54</v>
      </c>
      <c r="D36" t="s">
        <v>1472</v>
      </c>
      <c r="E36" t="s">
        <v>1426</v>
      </c>
      <c r="F36" s="494" t="str">
        <f>IF('PLAN PRODUCTION2'!S22="","",'PLAN PRODUCTION2'!S22)</f>
        <v/>
      </c>
      <c r="G36" s="494" t="str">
        <f>IF('PLAN PRODUCTION2'!T22="","",'PLAN PRODUCTION2'!T22)</f>
        <v/>
      </c>
      <c r="H36" t="str">
        <f t="shared" ca="1" si="10"/>
        <v>Plan Date Empty</v>
      </c>
      <c r="I36" t="str">
        <f t="shared" ca="1" si="0"/>
        <v/>
      </c>
      <c r="J36" t="str">
        <f t="shared" si="1"/>
        <v/>
      </c>
      <c r="K36" t="str">
        <f t="shared" si="2"/>
        <v/>
      </c>
      <c r="L36">
        <f t="shared" si="3"/>
        <v>0</v>
      </c>
      <c r="M36">
        <f t="shared" si="4"/>
        <v>0</v>
      </c>
      <c r="N36">
        <f t="shared" si="5"/>
        <v>0</v>
      </c>
      <c r="O36">
        <f t="shared" si="6"/>
        <v>1</v>
      </c>
      <c r="P36">
        <f t="shared" ca="1" si="7"/>
        <v>0</v>
      </c>
      <c r="Q36">
        <f t="shared" ca="1" si="8"/>
        <v>0</v>
      </c>
    </row>
    <row r="37" spans="1:17" x14ac:dyDescent="0.25">
      <c r="A37">
        <f t="shared" si="9"/>
        <v>36</v>
      </c>
      <c r="B37" s="212" t="s">
        <v>54</v>
      </c>
      <c r="C37" s="555">
        <v>54</v>
      </c>
      <c r="D37" t="s">
        <v>1473</v>
      </c>
      <c r="E37" t="s">
        <v>1426</v>
      </c>
      <c r="F37" s="494" t="str">
        <f>IF('PLAN PRODUCTION2'!U22="","",'PLAN PRODUCTION2'!U22)</f>
        <v/>
      </c>
      <c r="G37" s="494" t="str">
        <f>IF('PLAN PRODUCTION2'!V22="","",'PLAN PRODUCTION2'!V22)</f>
        <v/>
      </c>
      <c r="H37" t="str">
        <f t="shared" ca="1" si="10"/>
        <v>Plan Date Empty</v>
      </c>
      <c r="I37" t="str">
        <f t="shared" ca="1" si="0"/>
        <v/>
      </c>
      <c r="J37" t="str">
        <f t="shared" si="1"/>
        <v/>
      </c>
      <c r="K37" t="str">
        <f t="shared" si="2"/>
        <v/>
      </c>
      <c r="L37">
        <f t="shared" si="3"/>
        <v>0</v>
      </c>
      <c r="M37">
        <f t="shared" si="4"/>
        <v>0</v>
      </c>
      <c r="N37">
        <f t="shared" si="5"/>
        <v>0</v>
      </c>
      <c r="O37">
        <f t="shared" si="6"/>
        <v>1</v>
      </c>
      <c r="P37">
        <f t="shared" ca="1" si="7"/>
        <v>0</v>
      </c>
      <c r="Q37">
        <f t="shared" ca="1" si="8"/>
        <v>0</v>
      </c>
    </row>
    <row r="38" spans="1:17" x14ac:dyDescent="0.25">
      <c r="A38">
        <f t="shared" si="9"/>
        <v>37</v>
      </c>
      <c r="B38" s="212" t="s">
        <v>54</v>
      </c>
      <c r="C38" s="555">
        <v>54</v>
      </c>
      <c r="D38" t="s">
        <v>1474</v>
      </c>
      <c r="E38" t="s">
        <v>1426</v>
      </c>
      <c r="F38" s="494" t="str">
        <f>IF('PLAN PRODUCTION2'!W22="","",'PLAN PRODUCTION2'!W22)</f>
        <v/>
      </c>
      <c r="G38" s="494" t="str">
        <f>IF('PLAN PRODUCTION2'!X22="","",'PLAN PRODUCTION2'!X22)</f>
        <v/>
      </c>
      <c r="H38" t="str">
        <f t="shared" ca="1" si="10"/>
        <v>Plan Date Empty</v>
      </c>
      <c r="I38" t="str">
        <f t="shared" ca="1" si="0"/>
        <v/>
      </c>
      <c r="J38" t="str">
        <f t="shared" si="1"/>
        <v/>
      </c>
      <c r="K38" t="str">
        <f t="shared" si="2"/>
        <v/>
      </c>
      <c r="L38">
        <f t="shared" si="3"/>
        <v>0</v>
      </c>
      <c r="M38">
        <f t="shared" si="4"/>
        <v>0</v>
      </c>
      <c r="N38">
        <f t="shared" si="5"/>
        <v>0</v>
      </c>
      <c r="O38">
        <f t="shared" si="6"/>
        <v>1</v>
      </c>
      <c r="P38">
        <f t="shared" ca="1" si="7"/>
        <v>0</v>
      </c>
      <c r="Q38">
        <f t="shared" ca="1" si="8"/>
        <v>0</v>
      </c>
    </row>
    <row r="39" spans="1:17" x14ac:dyDescent="0.25">
      <c r="A39">
        <f t="shared" si="9"/>
        <v>38</v>
      </c>
      <c r="B39" s="212" t="s">
        <v>54</v>
      </c>
      <c r="C39" s="555">
        <v>54</v>
      </c>
      <c r="D39" t="s">
        <v>1475</v>
      </c>
      <c r="E39" t="s">
        <v>1426</v>
      </c>
      <c r="F39" s="494" t="str">
        <f>IF('PLAN PRODUCTION2'!Y22="","",'PLAN PRODUCTION2'!Y22)</f>
        <v/>
      </c>
      <c r="G39" s="494" t="str">
        <f>IF('PLAN PRODUCTION2'!Z22="","",'PLAN PRODUCTION2'!Z22)</f>
        <v/>
      </c>
      <c r="H39" t="str">
        <f t="shared" ca="1" si="10"/>
        <v>Plan Date Empty</v>
      </c>
      <c r="I39" t="str">
        <f t="shared" ca="1" si="0"/>
        <v/>
      </c>
      <c r="J39" t="str">
        <f t="shared" si="1"/>
        <v/>
      </c>
      <c r="K39" t="str">
        <f t="shared" si="2"/>
        <v/>
      </c>
      <c r="L39">
        <f t="shared" si="3"/>
        <v>0</v>
      </c>
      <c r="M39">
        <f t="shared" si="4"/>
        <v>0</v>
      </c>
      <c r="N39">
        <f t="shared" si="5"/>
        <v>0</v>
      </c>
      <c r="O39">
        <f t="shared" si="6"/>
        <v>1</v>
      </c>
      <c r="P39">
        <f t="shared" ca="1" si="7"/>
        <v>0</v>
      </c>
      <c r="Q39">
        <f t="shared" ca="1" si="8"/>
        <v>0</v>
      </c>
    </row>
    <row r="40" spans="1:17" x14ac:dyDescent="0.25">
      <c r="A40">
        <f t="shared" si="9"/>
        <v>39</v>
      </c>
      <c r="B40" s="212" t="s">
        <v>54</v>
      </c>
      <c r="C40" s="555">
        <v>54</v>
      </c>
      <c r="D40" t="s">
        <v>1476</v>
      </c>
      <c r="E40" t="s">
        <v>1426</v>
      </c>
      <c r="F40" s="494" t="str">
        <f>IF('PLAN PRODUCTION2'!AA22="","",'PLAN PRODUCTION2'!AA22)</f>
        <v/>
      </c>
      <c r="G40" s="494" t="str">
        <f>IF('PLAN PRODUCTION2'!AB22="","",'PLAN PRODUCTION2'!AB22)</f>
        <v/>
      </c>
      <c r="H40" t="str">
        <f t="shared" ca="1" si="10"/>
        <v>Plan Date Empty</v>
      </c>
      <c r="I40" t="str">
        <f t="shared" ca="1" si="0"/>
        <v/>
      </c>
      <c r="J40" t="str">
        <f t="shared" si="1"/>
        <v/>
      </c>
      <c r="K40" t="str">
        <f t="shared" si="2"/>
        <v/>
      </c>
      <c r="L40">
        <f t="shared" si="3"/>
        <v>0</v>
      </c>
      <c r="M40">
        <f t="shared" si="4"/>
        <v>0</v>
      </c>
      <c r="N40">
        <f t="shared" si="5"/>
        <v>0</v>
      </c>
      <c r="O40">
        <f t="shared" si="6"/>
        <v>1</v>
      </c>
      <c r="P40">
        <f t="shared" ca="1" si="7"/>
        <v>0</v>
      </c>
      <c r="Q40">
        <f t="shared" ca="1" si="8"/>
        <v>0</v>
      </c>
    </row>
    <row r="41" spans="1:17" x14ac:dyDescent="0.25">
      <c r="A41">
        <f t="shared" si="9"/>
        <v>40</v>
      </c>
      <c r="B41" s="212" t="s">
        <v>54</v>
      </c>
      <c r="C41" s="555">
        <v>54</v>
      </c>
      <c r="D41" t="s">
        <v>1477</v>
      </c>
      <c r="E41" t="s">
        <v>1422</v>
      </c>
      <c r="F41" s="494" t="str">
        <f>IF('PLAN PRODUCTION2'!AC22="","",'PLAN PRODUCTION2'!AC22)</f>
        <v/>
      </c>
      <c r="G41" s="494" t="str">
        <f>IF('PLAN PRODUCTION2'!AD22="","",'PLAN PRODUCTION2'!AD22)</f>
        <v/>
      </c>
      <c r="H41" t="str">
        <f t="shared" ca="1" si="10"/>
        <v>Plan Date Empty</v>
      </c>
      <c r="I41" t="str">
        <f t="shared" ca="1" si="0"/>
        <v/>
      </c>
      <c r="J41" t="str">
        <f t="shared" si="1"/>
        <v/>
      </c>
      <c r="K41" t="str">
        <f t="shared" si="2"/>
        <v/>
      </c>
      <c r="L41">
        <f t="shared" si="3"/>
        <v>0</v>
      </c>
      <c r="M41">
        <f t="shared" si="4"/>
        <v>0</v>
      </c>
      <c r="N41">
        <f t="shared" si="5"/>
        <v>0</v>
      </c>
      <c r="O41">
        <f t="shared" si="6"/>
        <v>1</v>
      </c>
      <c r="P41">
        <f t="shared" ca="1" si="7"/>
        <v>0</v>
      </c>
      <c r="Q41">
        <f t="shared" ca="1" si="8"/>
        <v>0</v>
      </c>
    </row>
    <row r="42" spans="1:17" x14ac:dyDescent="0.25">
      <c r="A42">
        <f t="shared" si="9"/>
        <v>41</v>
      </c>
      <c r="B42" s="212" t="s">
        <v>54</v>
      </c>
      <c r="C42" s="555">
        <v>54</v>
      </c>
      <c r="D42" t="s">
        <v>1478</v>
      </c>
      <c r="E42" t="s">
        <v>1429</v>
      </c>
      <c r="F42" s="494" t="str">
        <f>IF('PLAN PRODUCTION2'!AE22="","",'PLAN PRODUCTION2'!AE22)</f>
        <v/>
      </c>
      <c r="G42" s="494" t="str">
        <f>IF('PLAN PRODUCTION2'!AF22="","",'PLAN PRODUCTION2'!AF22)</f>
        <v/>
      </c>
      <c r="H42" t="str">
        <f t="shared" ca="1" si="10"/>
        <v>Plan Date Empty</v>
      </c>
      <c r="I42" t="str">
        <f t="shared" ca="1" si="0"/>
        <v/>
      </c>
      <c r="J42" t="str">
        <f t="shared" si="1"/>
        <v/>
      </c>
      <c r="K42" t="str">
        <f t="shared" si="2"/>
        <v/>
      </c>
      <c r="L42">
        <f t="shared" si="3"/>
        <v>0</v>
      </c>
      <c r="M42">
        <f t="shared" si="4"/>
        <v>0</v>
      </c>
      <c r="N42">
        <f t="shared" si="5"/>
        <v>0</v>
      </c>
      <c r="O42">
        <f t="shared" si="6"/>
        <v>1</v>
      </c>
      <c r="P42">
        <f t="shared" ca="1" si="7"/>
        <v>0</v>
      </c>
      <c r="Q42">
        <f t="shared" ca="1" si="8"/>
        <v>0</v>
      </c>
    </row>
    <row r="43" spans="1:17" x14ac:dyDescent="0.25">
      <c r="A43">
        <f t="shared" si="9"/>
        <v>42</v>
      </c>
      <c r="B43" s="212" t="s">
        <v>54</v>
      </c>
      <c r="C43" s="555">
        <v>54</v>
      </c>
      <c r="D43" t="s">
        <v>1479</v>
      </c>
      <c r="E43" t="s">
        <v>1429</v>
      </c>
      <c r="F43" s="494" t="str">
        <f>IF('PLAN PRODUCTION2'!AG22="","",'PLAN PRODUCTION2'!AG22)</f>
        <v/>
      </c>
      <c r="G43" s="494" t="str">
        <f>IF('PLAN PRODUCTION2'!AH22="","",'PLAN PRODUCTION2'!AH22)</f>
        <v/>
      </c>
      <c r="H43" t="str">
        <f t="shared" ca="1" si="10"/>
        <v>Plan Date Empty</v>
      </c>
      <c r="I43" t="str">
        <f t="shared" ca="1" si="0"/>
        <v/>
      </c>
      <c r="J43" t="str">
        <f t="shared" si="1"/>
        <v/>
      </c>
      <c r="K43" t="str">
        <f t="shared" si="2"/>
        <v/>
      </c>
      <c r="L43">
        <f t="shared" si="3"/>
        <v>0</v>
      </c>
      <c r="M43">
        <f t="shared" si="4"/>
        <v>0</v>
      </c>
      <c r="N43">
        <f t="shared" si="5"/>
        <v>0</v>
      </c>
      <c r="O43">
        <f t="shared" si="6"/>
        <v>1</v>
      </c>
      <c r="P43">
        <f t="shared" ca="1" si="7"/>
        <v>0</v>
      </c>
      <c r="Q43">
        <f t="shared" ca="1" si="8"/>
        <v>0</v>
      </c>
    </row>
    <row r="44" spans="1:17" x14ac:dyDescent="0.25">
      <c r="A44">
        <f t="shared" si="9"/>
        <v>43</v>
      </c>
      <c r="B44" s="212" t="s">
        <v>1428</v>
      </c>
      <c r="C44" s="555">
        <v>33</v>
      </c>
      <c r="D44" t="s">
        <v>1466</v>
      </c>
      <c r="E44" t="s">
        <v>1420</v>
      </c>
      <c r="F44" s="494" t="str">
        <f>IF('PLAN PRODUCTION2'!E23="","",'PLAN PRODUCTION2'!E23)</f>
        <v/>
      </c>
      <c r="G44" s="494" t="str">
        <f>IF('PLAN PRODUCTION2'!F23="","",'PLAN PRODUCTION2'!F23)</f>
        <v/>
      </c>
      <c r="H44" t="str">
        <f t="shared" ca="1" si="10"/>
        <v>Plan Date Empty</v>
      </c>
      <c r="I44" t="str">
        <f t="shared" ca="1" si="0"/>
        <v/>
      </c>
      <c r="J44" t="str">
        <f t="shared" si="1"/>
        <v/>
      </c>
      <c r="K44" t="str">
        <f t="shared" si="2"/>
        <v/>
      </c>
      <c r="L44">
        <f t="shared" si="3"/>
        <v>0</v>
      </c>
      <c r="M44">
        <f t="shared" si="4"/>
        <v>0</v>
      </c>
      <c r="N44">
        <f t="shared" si="5"/>
        <v>0</v>
      </c>
      <c r="O44">
        <f t="shared" si="6"/>
        <v>1</v>
      </c>
      <c r="P44">
        <f t="shared" ca="1" si="7"/>
        <v>0</v>
      </c>
      <c r="Q44">
        <f t="shared" ca="1" si="8"/>
        <v>0</v>
      </c>
    </row>
    <row r="45" spans="1:17" x14ac:dyDescent="0.25">
      <c r="A45">
        <f t="shared" si="9"/>
        <v>44</v>
      </c>
      <c r="B45" s="212" t="s">
        <v>1428</v>
      </c>
      <c r="C45" s="555">
        <v>33</v>
      </c>
      <c r="D45" t="s">
        <v>1467</v>
      </c>
      <c r="E45" t="s">
        <v>1420</v>
      </c>
      <c r="F45" s="494" t="str">
        <f>IF('PLAN PRODUCTION2'!I23="","",'PLAN PRODUCTION2'!I23)</f>
        <v/>
      </c>
      <c r="G45" s="494" t="str">
        <f>IF('PLAN PRODUCTION2'!J23="","",'PLAN PRODUCTION2'!J23)</f>
        <v/>
      </c>
      <c r="H45" t="str">
        <f t="shared" ca="1" si="10"/>
        <v>Plan Date Empty</v>
      </c>
      <c r="I45" t="str">
        <f t="shared" ca="1" si="0"/>
        <v/>
      </c>
      <c r="J45" t="str">
        <f t="shared" si="1"/>
        <v/>
      </c>
      <c r="K45" t="str">
        <f t="shared" si="2"/>
        <v/>
      </c>
      <c r="L45">
        <f t="shared" si="3"/>
        <v>0</v>
      </c>
      <c r="M45">
        <f t="shared" si="4"/>
        <v>0</v>
      </c>
      <c r="N45">
        <f t="shared" si="5"/>
        <v>0</v>
      </c>
      <c r="O45">
        <f t="shared" si="6"/>
        <v>1</v>
      </c>
      <c r="P45">
        <f t="shared" ca="1" si="7"/>
        <v>0</v>
      </c>
      <c r="Q45">
        <f t="shared" ca="1" si="8"/>
        <v>0</v>
      </c>
    </row>
    <row r="46" spans="1:17" x14ac:dyDescent="0.25">
      <c r="A46">
        <f t="shared" si="9"/>
        <v>45</v>
      </c>
      <c r="B46" s="212" t="s">
        <v>1428</v>
      </c>
      <c r="C46" s="555">
        <v>33</v>
      </c>
      <c r="D46" t="s">
        <v>1468</v>
      </c>
      <c r="E46" t="s">
        <v>1420</v>
      </c>
      <c r="F46" s="494" t="str">
        <f>IF('PLAN PRODUCTION2'!K23="","",'PLAN PRODUCTION2'!K23)</f>
        <v/>
      </c>
      <c r="G46" s="494" t="str">
        <f>IF('PLAN PRODUCTION2'!L23="","",'PLAN PRODUCTION2'!L23)</f>
        <v/>
      </c>
      <c r="H46" t="str">
        <f t="shared" ca="1" si="10"/>
        <v>Plan Date Empty</v>
      </c>
      <c r="I46" t="str">
        <f t="shared" ca="1" si="0"/>
        <v/>
      </c>
      <c r="J46" t="str">
        <f t="shared" si="1"/>
        <v/>
      </c>
      <c r="K46" t="str">
        <f t="shared" si="2"/>
        <v/>
      </c>
      <c r="L46">
        <f t="shared" si="3"/>
        <v>0</v>
      </c>
      <c r="M46">
        <f t="shared" si="4"/>
        <v>0</v>
      </c>
      <c r="N46">
        <f t="shared" si="5"/>
        <v>0</v>
      </c>
      <c r="O46">
        <f t="shared" si="6"/>
        <v>1</v>
      </c>
      <c r="P46">
        <f t="shared" ca="1" si="7"/>
        <v>0</v>
      </c>
      <c r="Q46">
        <f t="shared" ca="1" si="8"/>
        <v>0</v>
      </c>
    </row>
    <row r="47" spans="1:17" x14ac:dyDescent="0.25">
      <c r="A47">
        <f t="shared" si="9"/>
        <v>46</v>
      </c>
      <c r="B47" s="212" t="s">
        <v>1428</v>
      </c>
      <c r="C47" s="555">
        <v>33</v>
      </c>
      <c r="D47" t="s">
        <v>1469</v>
      </c>
      <c r="E47" t="s">
        <v>1422</v>
      </c>
      <c r="F47" s="494" t="str">
        <f>IF('PLAN PRODUCTION2'!M23="","",'PLAN PRODUCTION2'!M23)</f>
        <v/>
      </c>
      <c r="G47" s="494" t="str">
        <f>IF('PLAN PRODUCTION2'!N23="","",'PLAN PRODUCTION2'!N23)</f>
        <v/>
      </c>
      <c r="H47" t="str">
        <f t="shared" ca="1" si="10"/>
        <v>Plan Date Empty</v>
      </c>
      <c r="I47" t="str">
        <f t="shared" ca="1" si="0"/>
        <v/>
      </c>
      <c r="J47" t="str">
        <f t="shared" si="1"/>
        <v/>
      </c>
      <c r="K47" t="str">
        <f t="shared" si="2"/>
        <v/>
      </c>
      <c r="L47">
        <f t="shared" si="3"/>
        <v>0</v>
      </c>
      <c r="M47">
        <f t="shared" si="4"/>
        <v>0</v>
      </c>
      <c r="N47">
        <f t="shared" si="5"/>
        <v>0</v>
      </c>
      <c r="O47">
        <f t="shared" si="6"/>
        <v>1</v>
      </c>
      <c r="P47">
        <f t="shared" ca="1" si="7"/>
        <v>0</v>
      </c>
      <c r="Q47">
        <f t="shared" ca="1" si="8"/>
        <v>0</v>
      </c>
    </row>
    <row r="48" spans="1:17" x14ac:dyDescent="0.25">
      <c r="A48">
        <f t="shared" si="9"/>
        <v>47</v>
      </c>
      <c r="B48" s="212" t="s">
        <v>1428</v>
      </c>
      <c r="C48" s="555">
        <v>33</v>
      </c>
      <c r="D48" t="s">
        <v>1470</v>
      </c>
      <c r="E48" t="s">
        <v>1422</v>
      </c>
      <c r="F48" s="494" t="str">
        <f>IF('PLAN PRODUCTION2'!O23="","",'PLAN PRODUCTION2'!O23)</f>
        <v/>
      </c>
      <c r="G48" s="494" t="str">
        <f>IF('PLAN PRODUCTION2'!P23="","",'PLAN PRODUCTION2'!P23)</f>
        <v/>
      </c>
      <c r="H48" t="str">
        <f t="shared" ca="1" si="10"/>
        <v>Plan Date Empty</v>
      </c>
      <c r="I48" t="str">
        <f t="shared" ca="1" si="0"/>
        <v/>
      </c>
      <c r="J48" t="str">
        <f t="shared" si="1"/>
        <v/>
      </c>
      <c r="K48" t="str">
        <f t="shared" si="2"/>
        <v/>
      </c>
      <c r="L48">
        <f t="shared" si="3"/>
        <v>0</v>
      </c>
      <c r="M48">
        <f t="shared" si="4"/>
        <v>0</v>
      </c>
      <c r="N48">
        <f t="shared" si="5"/>
        <v>0</v>
      </c>
      <c r="O48">
        <f t="shared" si="6"/>
        <v>1</v>
      </c>
      <c r="P48">
        <f t="shared" ca="1" si="7"/>
        <v>0</v>
      </c>
      <c r="Q48">
        <f t="shared" ca="1" si="8"/>
        <v>0</v>
      </c>
    </row>
    <row r="49" spans="1:17" x14ac:dyDescent="0.25">
      <c r="A49">
        <f t="shared" si="9"/>
        <v>48</v>
      </c>
      <c r="B49" s="212" t="s">
        <v>1428</v>
      </c>
      <c r="C49" s="555">
        <v>33</v>
      </c>
      <c r="D49" t="s">
        <v>1471</v>
      </c>
      <c r="E49" t="s">
        <v>1424</v>
      </c>
      <c r="F49" s="494" t="str">
        <f>IF('PLAN PRODUCTION2'!Q23="","",'PLAN PRODUCTION2'!Q23)</f>
        <v/>
      </c>
      <c r="G49" s="494" t="str">
        <f>IF('PLAN PRODUCTION2'!R23="","",'PLAN PRODUCTION2'!R23)</f>
        <v/>
      </c>
      <c r="H49" t="str">
        <f t="shared" ca="1" si="10"/>
        <v>Plan Date Empty</v>
      </c>
      <c r="I49" t="str">
        <f t="shared" ca="1" si="0"/>
        <v/>
      </c>
      <c r="J49" t="str">
        <f t="shared" si="1"/>
        <v/>
      </c>
      <c r="K49" t="str">
        <f t="shared" si="2"/>
        <v/>
      </c>
      <c r="L49">
        <f t="shared" si="3"/>
        <v>0</v>
      </c>
      <c r="M49">
        <f t="shared" si="4"/>
        <v>0</v>
      </c>
      <c r="N49">
        <f t="shared" si="5"/>
        <v>0</v>
      </c>
      <c r="O49">
        <f t="shared" si="6"/>
        <v>1</v>
      </c>
      <c r="P49">
        <f t="shared" ca="1" si="7"/>
        <v>0</v>
      </c>
      <c r="Q49">
        <f t="shared" ca="1" si="8"/>
        <v>0</v>
      </c>
    </row>
    <row r="50" spans="1:17" x14ac:dyDescent="0.25">
      <c r="A50">
        <f t="shared" si="9"/>
        <v>49</v>
      </c>
      <c r="B50" s="212" t="s">
        <v>1428</v>
      </c>
      <c r="C50" s="555">
        <v>33</v>
      </c>
      <c r="D50" t="s">
        <v>1472</v>
      </c>
      <c r="E50" t="s">
        <v>1426</v>
      </c>
      <c r="F50" s="494" t="str">
        <f>IF('PLAN PRODUCTION2'!S23="","",'PLAN PRODUCTION2'!S23)</f>
        <v/>
      </c>
      <c r="G50" s="494" t="str">
        <f>IF('PLAN PRODUCTION2'!T23="","",'PLAN PRODUCTION2'!T23)</f>
        <v/>
      </c>
      <c r="H50" t="str">
        <f t="shared" ca="1" si="10"/>
        <v>Plan Date Empty</v>
      </c>
      <c r="I50" t="str">
        <f t="shared" ca="1" si="0"/>
        <v/>
      </c>
      <c r="J50" t="str">
        <f t="shared" si="1"/>
        <v/>
      </c>
      <c r="K50" t="str">
        <f t="shared" si="2"/>
        <v/>
      </c>
      <c r="L50">
        <f t="shared" si="3"/>
        <v>0</v>
      </c>
      <c r="M50">
        <f t="shared" si="4"/>
        <v>0</v>
      </c>
      <c r="N50">
        <f t="shared" si="5"/>
        <v>0</v>
      </c>
      <c r="O50">
        <f t="shared" si="6"/>
        <v>1</v>
      </c>
      <c r="P50">
        <f t="shared" ca="1" si="7"/>
        <v>0</v>
      </c>
      <c r="Q50">
        <f t="shared" ca="1" si="8"/>
        <v>0</v>
      </c>
    </row>
    <row r="51" spans="1:17" x14ac:dyDescent="0.25">
      <c r="A51">
        <f t="shared" si="9"/>
        <v>50</v>
      </c>
      <c r="B51" s="212" t="s">
        <v>1428</v>
      </c>
      <c r="C51" s="555">
        <v>33</v>
      </c>
      <c r="D51" t="s">
        <v>1473</v>
      </c>
      <c r="E51" t="s">
        <v>1426</v>
      </c>
      <c r="F51" s="494" t="str">
        <f>IF('PLAN PRODUCTION2'!U23="","",'PLAN PRODUCTION2'!U23)</f>
        <v/>
      </c>
      <c r="G51" s="494" t="str">
        <f>IF('PLAN PRODUCTION2'!V23="","",'PLAN PRODUCTION2'!V23)</f>
        <v/>
      </c>
      <c r="H51" t="str">
        <f t="shared" ca="1" si="10"/>
        <v>Plan Date Empty</v>
      </c>
      <c r="I51" t="str">
        <f t="shared" ca="1" si="0"/>
        <v/>
      </c>
      <c r="J51" t="str">
        <f t="shared" si="1"/>
        <v/>
      </c>
      <c r="K51" t="str">
        <f t="shared" si="2"/>
        <v/>
      </c>
      <c r="L51">
        <f t="shared" si="3"/>
        <v>0</v>
      </c>
      <c r="M51">
        <f t="shared" si="4"/>
        <v>0</v>
      </c>
      <c r="N51">
        <f t="shared" si="5"/>
        <v>0</v>
      </c>
      <c r="O51">
        <f t="shared" si="6"/>
        <v>1</v>
      </c>
      <c r="P51">
        <f t="shared" ca="1" si="7"/>
        <v>0</v>
      </c>
      <c r="Q51">
        <f t="shared" ca="1" si="8"/>
        <v>0</v>
      </c>
    </row>
    <row r="52" spans="1:17" x14ac:dyDescent="0.25">
      <c r="A52">
        <f t="shared" si="9"/>
        <v>51</v>
      </c>
      <c r="B52" s="212" t="s">
        <v>1428</v>
      </c>
      <c r="C52" s="555">
        <v>33</v>
      </c>
      <c r="D52" t="s">
        <v>1474</v>
      </c>
      <c r="E52" t="s">
        <v>1426</v>
      </c>
      <c r="F52" s="494" t="str">
        <f>IF('PLAN PRODUCTION2'!W23="","",'PLAN PRODUCTION2'!W23)</f>
        <v/>
      </c>
      <c r="G52" s="494" t="str">
        <f>IF('PLAN PRODUCTION2'!X23="","",'PLAN PRODUCTION2'!X23)</f>
        <v/>
      </c>
      <c r="H52" t="str">
        <f t="shared" ca="1" si="10"/>
        <v>Plan Date Empty</v>
      </c>
      <c r="I52" t="str">
        <f t="shared" ref="I52:I115" ca="1" si="11">IF(AND(F52&lt;&gt;"",G52&lt;&gt;""),G52-F52,IF(AND(F52&lt;&gt;"",G52="",TODAY()&gt;F52),TODAY()-F52,""))</f>
        <v/>
      </c>
      <c r="J52" t="str">
        <f t="shared" ref="J52:J115" si="12">IF(F52="","",INT(((F52-DATE(YEAR(F52),1,1)+1)+WEEKDAY(DATE(YEAR(F52),1,1),2)-2)/7)+1)</f>
        <v/>
      </c>
      <c r="K52" t="str">
        <f t="shared" ref="K52:K115" si="13">IF(F52="","","Minggu "&amp;J52&amp;" ("&amp;YEAR(F52)&amp;")")</f>
        <v/>
      </c>
      <c r="L52">
        <f t="shared" ref="L52:L115" si="14">IF(G52&lt;&gt;"",1,0)</f>
        <v>0</v>
      </c>
      <c r="M52">
        <f t="shared" ref="M52:M115" si="15">IF(AND(G52&lt;&gt;"",G52&lt;=F52),1,0)</f>
        <v>0</v>
      </c>
      <c r="N52">
        <f t="shared" ref="N52:N115" si="16">IF(AND(G52&lt;&gt;"",G52&gt;F52),1,0)</f>
        <v>0</v>
      </c>
      <c r="O52">
        <f t="shared" ref="O52:O115" si="17">IF(G52="",1,0)</f>
        <v>1</v>
      </c>
      <c r="P52">
        <f t="shared" ref="P52:P115" ca="1" si="18">IF(AND(G52="",F52&lt;&gt;"",TODAY()&gt;F52),1,0)</f>
        <v>0</v>
      </c>
      <c r="Q52">
        <f t="shared" ref="Q52:Q115" ca="1" si="19">IF(I52="",0,I52)</f>
        <v>0</v>
      </c>
    </row>
    <row r="53" spans="1:17" x14ac:dyDescent="0.25">
      <c r="A53">
        <f t="shared" si="9"/>
        <v>52</v>
      </c>
      <c r="B53" s="212" t="s">
        <v>1428</v>
      </c>
      <c r="C53" s="555">
        <v>33</v>
      </c>
      <c r="D53" t="s">
        <v>1475</v>
      </c>
      <c r="E53" t="s">
        <v>1426</v>
      </c>
      <c r="F53" s="494" t="str">
        <f>IF('PLAN PRODUCTION2'!Y23="","",'PLAN PRODUCTION2'!Y23)</f>
        <v/>
      </c>
      <c r="G53" s="494" t="str">
        <f>IF('PLAN PRODUCTION2'!Z23="","",'PLAN PRODUCTION2'!Z23)</f>
        <v/>
      </c>
      <c r="H53" t="str">
        <f t="shared" ref="H53:H116" ca="1" si="20">IF(F53="","Plan Date Empty",IF(G53&lt;&gt;"",IF(G53&lt;=F53,"Completed - On Time","Not Done - Overdue"),IF(TODAY()&gt;F53,"Not Done - Overdue","Not Done - On Schedule")))</f>
        <v>Plan Date Empty</v>
      </c>
      <c r="I53" t="str">
        <f t="shared" ca="1" si="11"/>
        <v/>
      </c>
      <c r="J53" t="str">
        <f t="shared" si="12"/>
        <v/>
      </c>
      <c r="K53" t="str">
        <f t="shared" si="13"/>
        <v/>
      </c>
      <c r="L53">
        <f t="shared" si="14"/>
        <v>0</v>
      </c>
      <c r="M53">
        <f t="shared" si="15"/>
        <v>0</v>
      </c>
      <c r="N53">
        <f t="shared" si="16"/>
        <v>0</v>
      </c>
      <c r="O53">
        <f t="shared" si="17"/>
        <v>1</v>
      </c>
      <c r="P53">
        <f t="shared" ca="1" si="18"/>
        <v>0</v>
      </c>
      <c r="Q53">
        <f t="shared" ca="1" si="19"/>
        <v>0</v>
      </c>
    </row>
    <row r="54" spans="1:17" x14ac:dyDescent="0.25">
      <c r="A54">
        <f t="shared" si="9"/>
        <v>53</v>
      </c>
      <c r="B54" s="212" t="s">
        <v>1428</v>
      </c>
      <c r="C54" s="555">
        <v>33</v>
      </c>
      <c r="D54" t="s">
        <v>1476</v>
      </c>
      <c r="E54" t="s">
        <v>1426</v>
      </c>
      <c r="F54" s="494" t="str">
        <f>IF('PLAN PRODUCTION2'!AA23="","",'PLAN PRODUCTION2'!AA23)</f>
        <v/>
      </c>
      <c r="G54" s="494" t="str">
        <f>IF('PLAN PRODUCTION2'!AB23="","",'PLAN PRODUCTION2'!AB23)</f>
        <v/>
      </c>
      <c r="H54" t="str">
        <f t="shared" ca="1" si="20"/>
        <v>Plan Date Empty</v>
      </c>
      <c r="I54" t="str">
        <f t="shared" ca="1" si="11"/>
        <v/>
      </c>
      <c r="J54" t="str">
        <f t="shared" si="12"/>
        <v/>
      </c>
      <c r="K54" t="str">
        <f t="shared" si="13"/>
        <v/>
      </c>
      <c r="L54">
        <f t="shared" si="14"/>
        <v>0</v>
      </c>
      <c r="M54">
        <f t="shared" si="15"/>
        <v>0</v>
      </c>
      <c r="N54">
        <f t="shared" si="16"/>
        <v>0</v>
      </c>
      <c r="O54">
        <f t="shared" si="17"/>
        <v>1</v>
      </c>
      <c r="P54">
        <f t="shared" ca="1" si="18"/>
        <v>0</v>
      </c>
      <c r="Q54">
        <f t="shared" ca="1" si="19"/>
        <v>0</v>
      </c>
    </row>
    <row r="55" spans="1:17" x14ac:dyDescent="0.25">
      <c r="A55">
        <f t="shared" si="9"/>
        <v>54</v>
      </c>
      <c r="B55" s="212" t="s">
        <v>1428</v>
      </c>
      <c r="C55" s="555">
        <v>33</v>
      </c>
      <c r="D55" t="s">
        <v>1477</v>
      </c>
      <c r="E55" t="s">
        <v>1422</v>
      </c>
      <c r="F55" s="494" t="str">
        <f>IF('PLAN PRODUCTION2'!AC23="","",'PLAN PRODUCTION2'!AC23)</f>
        <v/>
      </c>
      <c r="G55" s="494" t="str">
        <f>IF('PLAN PRODUCTION2'!AD23="","",'PLAN PRODUCTION2'!AD23)</f>
        <v/>
      </c>
      <c r="H55" t="str">
        <f t="shared" ca="1" si="20"/>
        <v>Plan Date Empty</v>
      </c>
      <c r="I55" t="str">
        <f t="shared" ca="1" si="11"/>
        <v/>
      </c>
      <c r="J55" t="str">
        <f t="shared" si="12"/>
        <v/>
      </c>
      <c r="K55" t="str">
        <f t="shared" si="13"/>
        <v/>
      </c>
      <c r="L55">
        <f t="shared" si="14"/>
        <v>0</v>
      </c>
      <c r="M55">
        <f t="shared" si="15"/>
        <v>0</v>
      </c>
      <c r="N55">
        <f t="shared" si="16"/>
        <v>0</v>
      </c>
      <c r="O55">
        <f t="shared" si="17"/>
        <v>1</v>
      </c>
      <c r="P55">
        <f t="shared" ca="1" si="18"/>
        <v>0</v>
      </c>
      <c r="Q55">
        <f t="shared" ca="1" si="19"/>
        <v>0</v>
      </c>
    </row>
    <row r="56" spans="1:17" x14ac:dyDescent="0.25">
      <c r="A56">
        <f t="shared" si="9"/>
        <v>55</v>
      </c>
      <c r="B56" s="212" t="s">
        <v>1428</v>
      </c>
      <c r="C56" s="555">
        <v>33</v>
      </c>
      <c r="D56" t="s">
        <v>1478</v>
      </c>
      <c r="E56" t="s">
        <v>1429</v>
      </c>
      <c r="F56" s="494" t="str">
        <f>IF('PLAN PRODUCTION2'!AE23="","",'PLAN PRODUCTION2'!AE23)</f>
        <v/>
      </c>
      <c r="G56" s="494" t="str">
        <f>IF('PLAN PRODUCTION2'!AF23="","",'PLAN PRODUCTION2'!AF23)</f>
        <v/>
      </c>
      <c r="H56" t="str">
        <f t="shared" ca="1" si="20"/>
        <v>Plan Date Empty</v>
      </c>
      <c r="I56" t="str">
        <f t="shared" ca="1" si="11"/>
        <v/>
      </c>
      <c r="J56" t="str">
        <f t="shared" si="12"/>
        <v/>
      </c>
      <c r="K56" t="str">
        <f t="shared" si="13"/>
        <v/>
      </c>
      <c r="L56">
        <f t="shared" si="14"/>
        <v>0</v>
      </c>
      <c r="M56">
        <f t="shared" si="15"/>
        <v>0</v>
      </c>
      <c r="N56">
        <f t="shared" si="16"/>
        <v>0</v>
      </c>
      <c r="O56">
        <f t="shared" si="17"/>
        <v>1</v>
      </c>
      <c r="P56">
        <f t="shared" ca="1" si="18"/>
        <v>0</v>
      </c>
      <c r="Q56">
        <f t="shared" ca="1" si="19"/>
        <v>0</v>
      </c>
    </row>
    <row r="57" spans="1:17" x14ac:dyDescent="0.25">
      <c r="A57">
        <f t="shared" si="9"/>
        <v>56</v>
      </c>
      <c r="B57" s="212" t="s">
        <v>1428</v>
      </c>
      <c r="C57" s="555">
        <v>33</v>
      </c>
      <c r="D57" t="s">
        <v>1479</v>
      </c>
      <c r="E57" t="s">
        <v>1429</v>
      </c>
      <c r="F57" s="494" t="str">
        <f>IF('PLAN PRODUCTION2'!AG23="","",'PLAN PRODUCTION2'!AG23)</f>
        <v/>
      </c>
      <c r="G57" s="494" t="str">
        <f>IF('PLAN PRODUCTION2'!AH23="","",'PLAN PRODUCTION2'!AH23)</f>
        <v/>
      </c>
      <c r="H57" t="str">
        <f t="shared" ca="1" si="20"/>
        <v>Plan Date Empty</v>
      </c>
      <c r="I57" t="str">
        <f t="shared" ca="1" si="11"/>
        <v/>
      </c>
      <c r="J57" t="str">
        <f t="shared" si="12"/>
        <v/>
      </c>
      <c r="K57" t="str">
        <f t="shared" si="13"/>
        <v/>
      </c>
      <c r="L57">
        <f t="shared" si="14"/>
        <v>0</v>
      </c>
      <c r="M57">
        <f t="shared" si="15"/>
        <v>0</v>
      </c>
      <c r="N57">
        <f t="shared" si="16"/>
        <v>0</v>
      </c>
      <c r="O57">
        <f t="shared" si="17"/>
        <v>1</v>
      </c>
      <c r="P57">
        <f t="shared" ca="1" si="18"/>
        <v>0</v>
      </c>
      <c r="Q57">
        <f t="shared" ca="1" si="19"/>
        <v>0</v>
      </c>
    </row>
    <row r="58" spans="1:17" x14ac:dyDescent="0.25">
      <c r="A58">
        <f t="shared" si="9"/>
        <v>57</v>
      </c>
      <c r="B58" s="212" t="s">
        <v>56</v>
      </c>
      <c r="C58" s="555">
        <v>4</v>
      </c>
      <c r="D58" t="s">
        <v>1466</v>
      </c>
      <c r="E58" t="s">
        <v>1420</v>
      </c>
      <c r="F58" s="494">
        <f>IF('PLAN PRODUCTION2'!E24="","",'PLAN PRODUCTION2'!E24)</f>
        <v>46202</v>
      </c>
      <c r="G58" s="494" t="str">
        <f>IF('PLAN PRODUCTION2'!F24="","",'PLAN PRODUCTION2'!F24)</f>
        <v/>
      </c>
      <c r="H58" t="str">
        <f t="shared" ca="1" si="20"/>
        <v>Not Done - Overdue</v>
      </c>
      <c r="I58">
        <f t="shared" ca="1" si="11"/>
        <v>50</v>
      </c>
      <c r="J58">
        <f t="shared" si="12"/>
        <v>27</v>
      </c>
      <c r="K58" t="str">
        <f t="shared" si="13"/>
        <v>Minggu 27 (2026)</v>
      </c>
      <c r="L58">
        <f t="shared" si="14"/>
        <v>0</v>
      </c>
      <c r="M58">
        <f t="shared" si="15"/>
        <v>0</v>
      </c>
      <c r="N58">
        <f t="shared" si="16"/>
        <v>0</v>
      </c>
      <c r="O58">
        <f t="shared" si="17"/>
        <v>1</v>
      </c>
      <c r="P58">
        <f t="shared" ca="1" si="18"/>
        <v>1</v>
      </c>
      <c r="Q58">
        <f t="shared" ca="1" si="19"/>
        <v>50</v>
      </c>
    </row>
    <row r="59" spans="1:17" x14ac:dyDescent="0.25">
      <c r="A59">
        <f t="shared" si="9"/>
        <v>58</v>
      </c>
      <c r="B59" s="212" t="s">
        <v>56</v>
      </c>
      <c r="C59" s="555">
        <v>4</v>
      </c>
      <c r="D59" t="s">
        <v>1467</v>
      </c>
      <c r="E59" t="s">
        <v>1420</v>
      </c>
      <c r="F59" s="494" t="str">
        <f>IF('PLAN PRODUCTION2'!I24="","",'PLAN PRODUCTION2'!I24)</f>
        <v/>
      </c>
      <c r="G59" s="494" t="str">
        <f>IF('PLAN PRODUCTION2'!J24="","",'PLAN PRODUCTION2'!J24)</f>
        <v/>
      </c>
      <c r="H59" t="str">
        <f t="shared" ca="1" si="20"/>
        <v>Plan Date Empty</v>
      </c>
      <c r="I59" t="str">
        <f t="shared" ca="1" si="11"/>
        <v/>
      </c>
      <c r="J59" t="str">
        <f t="shared" si="12"/>
        <v/>
      </c>
      <c r="K59" t="str">
        <f t="shared" si="13"/>
        <v/>
      </c>
      <c r="L59">
        <f t="shared" si="14"/>
        <v>0</v>
      </c>
      <c r="M59">
        <f t="shared" si="15"/>
        <v>0</v>
      </c>
      <c r="N59">
        <f t="shared" si="16"/>
        <v>0</v>
      </c>
      <c r="O59">
        <f t="shared" si="17"/>
        <v>1</v>
      </c>
      <c r="P59">
        <f t="shared" ca="1" si="18"/>
        <v>0</v>
      </c>
      <c r="Q59">
        <f t="shared" ca="1" si="19"/>
        <v>0</v>
      </c>
    </row>
    <row r="60" spans="1:17" x14ac:dyDescent="0.25">
      <c r="A60">
        <f t="shared" si="9"/>
        <v>59</v>
      </c>
      <c r="B60" s="212" t="s">
        <v>56</v>
      </c>
      <c r="C60" s="555">
        <v>4</v>
      </c>
      <c r="D60" t="s">
        <v>1468</v>
      </c>
      <c r="E60" t="s">
        <v>1420</v>
      </c>
      <c r="F60" s="494" t="str">
        <f>IF('PLAN PRODUCTION2'!K24="","",'PLAN PRODUCTION2'!K24)</f>
        <v/>
      </c>
      <c r="G60" s="494" t="str">
        <f>IF('PLAN PRODUCTION2'!L24="","",'PLAN PRODUCTION2'!L24)</f>
        <v/>
      </c>
      <c r="H60" t="str">
        <f t="shared" ca="1" si="20"/>
        <v>Plan Date Empty</v>
      </c>
      <c r="I60" t="str">
        <f t="shared" ca="1" si="11"/>
        <v/>
      </c>
      <c r="J60" t="str">
        <f t="shared" si="12"/>
        <v/>
      </c>
      <c r="K60" t="str">
        <f t="shared" si="13"/>
        <v/>
      </c>
      <c r="L60">
        <f t="shared" si="14"/>
        <v>0</v>
      </c>
      <c r="M60">
        <f t="shared" si="15"/>
        <v>0</v>
      </c>
      <c r="N60">
        <f t="shared" si="16"/>
        <v>0</v>
      </c>
      <c r="O60">
        <f t="shared" si="17"/>
        <v>1</v>
      </c>
      <c r="P60">
        <f t="shared" ca="1" si="18"/>
        <v>0</v>
      </c>
      <c r="Q60">
        <f t="shared" ca="1" si="19"/>
        <v>0</v>
      </c>
    </row>
    <row r="61" spans="1:17" x14ac:dyDescent="0.25">
      <c r="A61">
        <f t="shared" si="9"/>
        <v>60</v>
      </c>
      <c r="B61" s="212" t="s">
        <v>56</v>
      </c>
      <c r="C61" s="555">
        <v>4</v>
      </c>
      <c r="D61" t="s">
        <v>1469</v>
      </c>
      <c r="E61" t="s">
        <v>1422</v>
      </c>
      <c r="F61" s="494" t="str">
        <f>IF('PLAN PRODUCTION2'!M24="","",'PLAN PRODUCTION2'!M24)</f>
        <v/>
      </c>
      <c r="G61" s="494" t="str">
        <f>IF('PLAN PRODUCTION2'!N24="","",'PLAN PRODUCTION2'!N24)</f>
        <v/>
      </c>
      <c r="H61" t="str">
        <f t="shared" ca="1" si="20"/>
        <v>Plan Date Empty</v>
      </c>
      <c r="I61" t="str">
        <f t="shared" ca="1" si="11"/>
        <v/>
      </c>
      <c r="J61" t="str">
        <f t="shared" si="12"/>
        <v/>
      </c>
      <c r="K61" t="str">
        <f t="shared" si="13"/>
        <v/>
      </c>
      <c r="L61">
        <f t="shared" si="14"/>
        <v>0</v>
      </c>
      <c r="M61">
        <f t="shared" si="15"/>
        <v>0</v>
      </c>
      <c r="N61">
        <f t="shared" si="16"/>
        <v>0</v>
      </c>
      <c r="O61">
        <f t="shared" si="17"/>
        <v>1</v>
      </c>
      <c r="P61">
        <f t="shared" ca="1" si="18"/>
        <v>0</v>
      </c>
      <c r="Q61">
        <f t="shared" ca="1" si="19"/>
        <v>0</v>
      </c>
    </row>
    <row r="62" spans="1:17" x14ac:dyDescent="0.25">
      <c r="A62">
        <f t="shared" si="9"/>
        <v>61</v>
      </c>
      <c r="B62" s="212" t="s">
        <v>56</v>
      </c>
      <c r="C62" s="555">
        <v>4</v>
      </c>
      <c r="D62" t="s">
        <v>1470</v>
      </c>
      <c r="E62" t="s">
        <v>1422</v>
      </c>
      <c r="F62" s="494" t="str">
        <f>IF('PLAN PRODUCTION2'!O24="","",'PLAN PRODUCTION2'!O24)</f>
        <v/>
      </c>
      <c r="G62" s="494" t="str">
        <f>IF('PLAN PRODUCTION2'!P24="","",'PLAN PRODUCTION2'!P24)</f>
        <v/>
      </c>
      <c r="H62" t="str">
        <f t="shared" ca="1" si="20"/>
        <v>Plan Date Empty</v>
      </c>
      <c r="I62" t="str">
        <f t="shared" ca="1" si="11"/>
        <v/>
      </c>
      <c r="J62" t="str">
        <f t="shared" si="12"/>
        <v/>
      </c>
      <c r="K62" t="str">
        <f t="shared" si="13"/>
        <v/>
      </c>
      <c r="L62">
        <f t="shared" si="14"/>
        <v>0</v>
      </c>
      <c r="M62">
        <f t="shared" si="15"/>
        <v>0</v>
      </c>
      <c r="N62">
        <f t="shared" si="16"/>
        <v>0</v>
      </c>
      <c r="O62">
        <f t="shared" si="17"/>
        <v>1</v>
      </c>
      <c r="P62">
        <f t="shared" ca="1" si="18"/>
        <v>0</v>
      </c>
      <c r="Q62">
        <f t="shared" ca="1" si="19"/>
        <v>0</v>
      </c>
    </row>
    <row r="63" spans="1:17" x14ac:dyDescent="0.25">
      <c r="A63">
        <f t="shared" si="9"/>
        <v>62</v>
      </c>
      <c r="B63" s="212" t="s">
        <v>56</v>
      </c>
      <c r="C63" s="555">
        <v>4</v>
      </c>
      <c r="D63" t="s">
        <v>1471</v>
      </c>
      <c r="E63" t="s">
        <v>1424</v>
      </c>
      <c r="F63" s="494" t="str">
        <f>IF('PLAN PRODUCTION2'!Q24="","",'PLAN PRODUCTION2'!Q24)</f>
        <v/>
      </c>
      <c r="G63" s="494" t="str">
        <f>IF('PLAN PRODUCTION2'!R24="","",'PLAN PRODUCTION2'!R24)</f>
        <v/>
      </c>
      <c r="H63" t="str">
        <f t="shared" ca="1" si="20"/>
        <v>Plan Date Empty</v>
      </c>
      <c r="I63" t="str">
        <f t="shared" ca="1" si="11"/>
        <v/>
      </c>
      <c r="J63" t="str">
        <f t="shared" si="12"/>
        <v/>
      </c>
      <c r="K63" t="str">
        <f t="shared" si="13"/>
        <v/>
      </c>
      <c r="L63">
        <f t="shared" si="14"/>
        <v>0</v>
      </c>
      <c r="M63">
        <f t="shared" si="15"/>
        <v>0</v>
      </c>
      <c r="N63">
        <f t="shared" si="16"/>
        <v>0</v>
      </c>
      <c r="O63">
        <f t="shared" si="17"/>
        <v>1</v>
      </c>
      <c r="P63">
        <f t="shared" ca="1" si="18"/>
        <v>0</v>
      </c>
      <c r="Q63">
        <f t="shared" ca="1" si="19"/>
        <v>0</v>
      </c>
    </row>
    <row r="64" spans="1:17" x14ac:dyDescent="0.25">
      <c r="A64">
        <f t="shared" si="9"/>
        <v>63</v>
      </c>
      <c r="B64" s="212" t="s">
        <v>56</v>
      </c>
      <c r="C64" s="555">
        <v>4</v>
      </c>
      <c r="D64" t="s">
        <v>1472</v>
      </c>
      <c r="E64" t="s">
        <v>1426</v>
      </c>
      <c r="F64" s="494" t="str">
        <f>IF('PLAN PRODUCTION2'!S24="","",'PLAN PRODUCTION2'!S24)</f>
        <v/>
      </c>
      <c r="G64" s="494" t="str">
        <f>IF('PLAN PRODUCTION2'!T24="","",'PLAN PRODUCTION2'!T24)</f>
        <v/>
      </c>
      <c r="H64" t="str">
        <f t="shared" ca="1" si="20"/>
        <v>Plan Date Empty</v>
      </c>
      <c r="I64" t="str">
        <f t="shared" ca="1" si="11"/>
        <v/>
      </c>
      <c r="J64" t="str">
        <f t="shared" si="12"/>
        <v/>
      </c>
      <c r="K64" t="str">
        <f t="shared" si="13"/>
        <v/>
      </c>
      <c r="L64">
        <f t="shared" si="14"/>
        <v>0</v>
      </c>
      <c r="M64">
        <f t="shared" si="15"/>
        <v>0</v>
      </c>
      <c r="N64">
        <f t="shared" si="16"/>
        <v>0</v>
      </c>
      <c r="O64">
        <f t="shared" si="17"/>
        <v>1</v>
      </c>
      <c r="P64">
        <f t="shared" ca="1" si="18"/>
        <v>0</v>
      </c>
      <c r="Q64">
        <f t="shared" ca="1" si="19"/>
        <v>0</v>
      </c>
    </row>
    <row r="65" spans="1:17" x14ac:dyDescent="0.25">
      <c r="A65">
        <f t="shared" si="9"/>
        <v>64</v>
      </c>
      <c r="B65" s="212" t="s">
        <v>56</v>
      </c>
      <c r="C65" s="555">
        <v>4</v>
      </c>
      <c r="D65" t="s">
        <v>1473</v>
      </c>
      <c r="E65" t="s">
        <v>1426</v>
      </c>
      <c r="F65" s="494" t="str">
        <f>IF('PLAN PRODUCTION2'!U24="","",'PLAN PRODUCTION2'!U24)</f>
        <v/>
      </c>
      <c r="G65" s="494" t="str">
        <f>IF('PLAN PRODUCTION2'!V24="","",'PLAN PRODUCTION2'!V24)</f>
        <v/>
      </c>
      <c r="H65" t="str">
        <f t="shared" ca="1" si="20"/>
        <v>Plan Date Empty</v>
      </c>
      <c r="I65" t="str">
        <f t="shared" ca="1" si="11"/>
        <v/>
      </c>
      <c r="J65" t="str">
        <f t="shared" si="12"/>
        <v/>
      </c>
      <c r="K65" t="str">
        <f t="shared" si="13"/>
        <v/>
      </c>
      <c r="L65">
        <f t="shared" si="14"/>
        <v>0</v>
      </c>
      <c r="M65">
        <f t="shared" si="15"/>
        <v>0</v>
      </c>
      <c r="N65">
        <f t="shared" si="16"/>
        <v>0</v>
      </c>
      <c r="O65">
        <f t="shared" si="17"/>
        <v>1</v>
      </c>
      <c r="P65">
        <f t="shared" ca="1" si="18"/>
        <v>0</v>
      </c>
      <c r="Q65">
        <f t="shared" ca="1" si="19"/>
        <v>0</v>
      </c>
    </row>
    <row r="66" spans="1:17" x14ac:dyDescent="0.25">
      <c r="A66">
        <f t="shared" si="9"/>
        <v>65</v>
      </c>
      <c r="B66" s="212" t="s">
        <v>56</v>
      </c>
      <c r="C66" s="555">
        <v>4</v>
      </c>
      <c r="D66" t="s">
        <v>1474</v>
      </c>
      <c r="E66" t="s">
        <v>1426</v>
      </c>
      <c r="F66" s="494" t="str">
        <f>IF('PLAN PRODUCTION2'!W24="","",'PLAN PRODUCTION2'!W24)</f>
        <v/>
      </c>
      <c r="G66" s="494" t="str">
        <f>IF('PLAN PRODUCTION2'!X24="","",'PLAN PRODUCTION2'!X24)</f>
        <v/>
      </c>
      <c r="H66" t="str">
        <f t="shared" ca="1" si="20"/>
        <v>Plan Date Empty</v>
      </c>
      <c r="I66" t="str">
        <f t="shared" ca="1" si="11"/>
        <v/>
      </c>
      <c r="J66" t="str">
        <f t="shared" si="12"/>
        <v/>
      </c>
      <c r="K66" t="str">
        <f t="shared" si="13"/>
        <v/>
      </c>
      <c r="L66">
        <f t="shared" si="14"/>
        <v>0</v>
      </c>
      <c r="M66">
        <f t="shared" si="15"/>
        <v>0</v>
      </c>
      <c r="N66">
        <f t="shared" si="16"/>
        <v>0</v>
      </c>
      <c r="O66">
        <f t="shared" si="17"/>
        <v>1</v>
      </c>
      <c r="P66">
        <f t="shared" ca="1" si="18"/>
        <v>0</v>
      </c>
      <c r="Q66">
        <f t="shared" ca="1" si="19"/>
        <v>0</v>
      </c>
    </row>
    <row r="67" spans="1:17" x14ac:dyDescent="0.25">
      <c r="A67">
        <f t="shared" si="9"/>
        <v>66</v>
      </c>
      <c r="B67" s="212" t="s">
        <v>56</v>
      </c>
      <c r="C67" s="555">
        <v>4</v>
      </c>
      <c r="D67" t="s">
        <v>1475</v>
      </c>
      <c r="E67" t="s">
        <v>1426</v>
      </c>
      <c r="F67" s="494" t="str">
        <f>IF('PLAN PRODUCTION2'!Y24="","",'PLAN PRODUCTION2'!Y24)</f>
        <v/>
      </c>
      <c r="G67" s="494" t="str">
        <f>IF('PLAN PRODUCTION2'!Z24="","",'PLAN PRODUCTION2'!Z24)</f>
        <v/>
      </c>
      <c r="H67" t="str">
        <f t="shared" ca="1" si="20"/>
        <v>Plan Date Empty</v>
      </c>
      <c r="I67" t="str">
        <f t="shared" ca="1" si="11"/>
        <v/>
      </c>
      <c r="J67" t="str">
        <f t="shared" si="12"/>
        <v/>
      </c>
      <c r="K67" t="str">
        <f t="shared" si="13"/>
        <v/>
      </c>
      <c r="L67">
        <f t="shared" si="14"/>
        <v>0</v>
      </c>
      <c r="M67">
        <f t="shared" si="15"/>
        <v>0</v>
      </c>
      <c r="N67">
        <f t="shared" si="16"/>
        <v>0</v>
      </c>
      <c r="O67">
        <f t="shared" si="17"/>
        <v>1</v>
      </c>
      <c r="P67">
        <f t="shared" ca="1" si="18"/>
        <v>0</v>
      </c>
      <c r="Q67">
        <f t="shared" ca="1" si="19"/>
        <v>0</v>
      </c>
    </row>
    <row r="68" spans="1:17" x14ac:dyDescent="0.25">
      <c r="A68">
        <f t="shared" si="9"/>
        <v>67</v>
      </c>
      <c r="B68" s="212" t="s">
        <v>56</v>
      </c>
      <c r="C68" s="555">
        <v>4</v>
      </c>
      <c r="D68" t="s">
        <v>1476</v>
      </c>
      <c r="E68" t="s">
        <v>1426</v>
      </c>
      <c r="F68" s="494" t="str">
        <f>IF('PLAN PRODUCTION2'!AA24="","",'PLAN PRODUCTION2'!AA24)</f>
        <v/>
      </c>
      <c r="G68" s="494" t="str">
        <f>IF('PLAN PRODUCTION2'!AB24="","",'PLAN PRODUCTION2'!AB24)</f>
        <v/>
      </c>
      <c r="H68" t="str">
        <f t="shared" ca="1" si="20"/>
        <v>Plan Date Empty</v>
      </c>
      <c r="I68" t="str">
        <f t="shared" ca="1" si="11"/>
        <v/>
      </c>
      <c r="J68" t="str">
        <f t="shared" si="12"/>
        <v/>
      </c>
      <c r="K68" t="str">
        <f t="shared" si="13"/>
        <v/>
      </c>
      <c r="L68">
        <f t="shared" si="14"/>
        <v>0</v>
      </c>
      <c r="M68">
        <f t="shared" si="15"/>
        <v>0</v>
      </c>
      <c r="N68">
        <f t="shared" si="16"/>
        <v>0</v>
      </c>
      <c r="O68">
        <f t="shared" si="17"/>
        <v>1</v>
      </c>
      <c r="P68">
        <f t="shared" ca="1" si="18"/>
        <v>0</v>
      </c>
      <c r="Q68">
        <f t="shared" ca="1" si="19"/>
        <v>0</v>
      </c>
    </row>
    <row r="69" spans="1:17" x14ac:dyDescent="0.25">
      <c r="A69">
        <f t="shared" si="9"/>
        <v>68</v>
      </c>
      <c r="B69" s="212" t="s">
        <v>56</v>
      </c>
      <c r="C69" s="555">
        <v>4</v>
      </c>
      <c r="D69" t="s">
        <v>1477</v>
      </c>
      <c r="E69" t="s">
        <v>1422</v>
      </c>
      <c r="F69" s="494" t="str">
        <f>IF('PLAN PRODUCTION2'!AC24="","",'PLAN PRODUCTION2'!AC24)</f>
        <v/>
      </c>
      <c r="G69" s="494" t="str">
        <f>IF('PLAN PRODUCTION2'!AD24="","",'PLAN PRODUCTION2'!AD24)</f>
        <v/>
      </c>
      <c r="H69" t="str">
        <f t="shared" ca="1" si="20"/>
        <v>Plan Date Empty</v>
      </c>
      <c r="I69" t="str">
        <f t="shared" ca="1" si="11"/>
        <v/>
      </c>
      <c r="J69" t="str">
        <f t="shared" si="12"/>
        <v/>
      </c>
      <c r="K69" t="str">
        <f t="shared" si="13"/>
        <v/>
      </c>
      <c r="L69">
        <f t="shared" si="14"/>
        <v>0</v>
      </c>
      <c r="M69">
        <f t="shared" si="15"/>
        <v>0</v>
      </c>
      <c r="N69">
        <f t="shared" si="16"/>
        <v>0</v>
      </c>
      <c r="O69">
        <f t="shared" si="17"/>
        <v>1</v>
      </c>
      <c r="P69">
        <f t="shared" ca="1" si="18"/>
        <v>0</v>
      </c>
      <c r="Q69">
        <f t="shared" ca="1" si="19"/>
        <v>0</v>
      </c>
    </row>
    <row r="70" spans="1:17" x14ac:dyDescent="0.25">
      <c r="A70">
        <f t="shared" si="9"/>
        <v>69</v>
      </c>
      <c r="B70" s="212" t="s">
        <v>56</v>
      </c>
      <c r="C70" s="555">
        <v>4</v>
      </c>
      <c r="D70" t="s">
        <v>1478</v>
      </c>
      <c r="E70" t="s">
        <v>1429</v>
      </c>
      <c r="F70" s="494" t="str">
        <f>IF('PLAN PRODUCTION2'!AE24="","",'PLAN PRODUCTION2'!AE24)</f>
        <v/>
      </c>
      <c r="G70" s="494" t="str">
        <f>IF('PLAN PRODUCTION2'!AF24="","",'PLAN PRODUCTION2'!AF24)</f>
        <v/>
      </c>
      <c r="H70" t="str">
        <f t="shared" ca="1" si="20"/>
        <v>Plan Date Empty</v>
      </c>
      <c r="I70" t="str">
        <f t="shared" ca="1" si="11"/>
        <v/>
      </c>
      <c r="J70" t="str">
        <f t="shared" si="12"/>
        <v/>
      </c>
      <c r="K70" t="str">
        <f t="shared" si="13"/>
        <v/>
      </c>
      <c r="L70">
        <f t="shared" si="14"/>
        <v>0</v>
      </c>
      <c r="M70">
        <f t="shared" si="15"/>
        <v>0</v>
      </c>
      <c r="N70">
        <f t="shared" si="16"/>
        <v>0</v>
      </c>
      <c r="O70">
        <f t="shared" si="17"/>
        <v>1</v>
      </c>
      <c r="P70">
        <f t="shared" ca="1" si="18"/>
        <v>0</v>
      </c>
      <c r="Q70">
        <f t="shared" ca="1" si="19"/>
        <v>0</v>
      </c>
    </row>
    <row r="71" spans="1:17" x14ac:dyDescent="0.25">
      <c r="A71">
        <f t="shared" si="9"/>
        <v>70</v>
      </c>
      <c r="B71" s="212" t="s">
        <v>56</v>
      </c>
      <c r="C71" s="555">
        <v>4</v>
      </c>
      <c r="D71" t="s">
        <v>1479</v>
      </c>
      <c r="E71" t="s">
        <v>1429</v>
      </c>
      <c r="F71" s="494" t="str">
        <f>IF('PLAN PRODUCTION2'!AG24="","",'PLAN PRODUCTION2'!AG24)</f>
        <v/>
      </c>
      <c r="G71" s="494" t="str">
        <f>IF('PLAN PRODUCTION2'!AH24="","",'PLAN PRODUCTION2'!AH24)</f>
        <v/>
      </c>
      <c r="H71" t="str">
        <f t="shared" ca="1" si="20"/>
        <v>Plan Date Empty</v>
      </c>
      <c r="I71" t="str">
        <f t="shared" ca="1" si="11"/>
        <v/>
      </c>
      <c r="J71" t="str">
        <f t="shared" si="12"/>
        <v/>
      </c>
      <c r="K71" t="str">
        <f t="shared" si="13"/>
        <v/>
      </c>
      <c r="L71">
        <f t="shared" si="14"/>
        <v>0</v>
      </c>
      <c r="M71">
        <f t="shared" si="15"/>
        <v>0</v>
      </c>
      <c r="N71">
        <f t="shared" si="16"/>
        <v>0</v>
      </c>
      <c r="O71">
        <f t="shared" si="17"/>
        <v>1</v>
      </c>
      <c r="P71">
        <f t="shared" ca="1" si="18"/>
        <v>0</v>
      </c>
      <c r="Q71">
        <f t="shared" ca="1" si="19"/>
        <v>0</v>
      </c>
    </row>
    <row r="72" spans="1:17" x14ac:dyDescent="0.25">
      <c r="A72">
        <f t="shared" si="9"/>
        <v>71</v>
      </c>
      <c r="B72" s="212" t="s">
        <v>57</v>
      </c>
      <c r="C72" s="555">
        <v>5</v>
      </c>
      <c r="D72" t="s">
        <v>1466</v>
      </c>
      <c r="E72" t="s">
        <v>1420</v>
      </c>
      <c r="F72" s="494" t="str">
        <f>IF('PLAN PRODUCTION2'!E25="","",'PLAN PRODUCTION2'!E25)</f>
        <v/>
      </c>
      <c r="G72" s="494" t="str">
        <f>IF('PLAN PRODUCTION2'!F25="","",'PLAN PRODUCTION2'!F25)</f>
        <v/>
      </c>
      <c r="H72" t="str">
        <f t="shared" ca="1" si="20"/>
        <v>Plan Date Empty</v>
      </c>
      <c r="I72" t="str">
        <f t="shared" ca="1" si="11"/>
        <v/>
      </c>
      <c r="J72" t="str">
        <f t="shared" si="12"/>
        <v/>
      </c>
      <c r="K72" t="str">
        <f t="shared" si="13"/>
        <v/>
      </c>
      <c r="L72">
        <f t="shared" si="14"/>
        <v>0</v>
      </c>
      <c r="M72">
        <f t="shared" si="15"/>
        <v>0</v>
      </c>
      <c r="N72">
        <f t="shared" si="16"/>
        <v>0</v>
      </c>
      <c r="O72">
        <f t="shared" si="17"/>
        <v>1</v>
      </c>
      <c r="P72">
        <f t="shared" ca="1" si="18"/>
        <v>0</v>
      </c>
      <c r="Q72">
        <f t="shared" ca="1" si="19"/>
        <v>0</v>
      </c>
    </row>
    <row r="73" spans="1:17" x14ac:dyDescent="0.25">
      <c r="A73">
        <f t="shared" si="9"/>
        <v>72</v>
      </c>
      <c r="B73" s="212" t="s">
        <v>57</v>
      </c>
      <c r="C73" s="555">
        <v>5</v>
      </c>
      <c r="D73" t="s">
        <v>1467</v>
      </c>
      <c r="E73" t="s">
        <v>1420</v>
      </c>
      <c r="F73" s="494" t="str">
        <f>IF('PLAN PRODUCTION2'!I25="","",'PLAN PRODUCTION2'!I25)</f>
        <v/>
      </c>
      <c r="G73" s="494" t="str">
        <f>IF('PLAN PRODUCTION2'!J25="","",'PLAN PRODUCTION2'!J25)</f>
        <v/>
      </c>
      <c r="H73" t="str">
        <f t="shared" ca="1" si="20"/>
        <v>Plan Date Empty</v>
      </c>
      <c r="I73" t="str">
        <f t="shared" ca="1" si="11"/>
        <v/>
      </c>
      <c r="J73" t="str">
        <f t="shared" si="12"/>
        <v/>
      </c>
      <c r="K73" t="str">
        <f t="shared" si="13"/>
        <v/>
      </c>
      <c r="L73">
        <f t="shared" si="14"/>
        <v>0</v>
      </c>
      <c r="M73">
        <f t="shared" si="15"/>
        <v>0</v>
      </c>
      <c r="N73">
        <f t="shared" si="16"/>
        <v>0</v>
      </c>
      <c r="O73">
        <f t="shared" si="17"/>
        <v>1</v>
      </c>
      <c r="P73">
        <f t="shared" ca="1" si="18"/>
        <v>0</v>
      </c>
      <c r="Q73">
        <f t="shared" ca="1" si="19"/>
        <v>0</v>
      </c>
    </row>
    <row r="74" spans="1:17" x14ac:dyDescent="0.25">
      <c r="A74">
        <f t="shared" si="9"/>
        <v>73</v>
      </c>
      <c r="B74" s="212" t="s">
        <v>57</v>
      </c>
      <c r="C74" s="555">
        <v>5</v>
      </c>
      <c r="D74" t="s">
        <v>1468</v>
      </c>
      <c r="E74" t="s">
        <v>1420</v>
      </c>
      <c r="F74" s="494" t="str">
        <f>IF('PLAN PRODUCTION2'!K25="","",'PLAN PRODUCTION2'!K25)</f>
        <v/>
      </c>
      <c r="G74" s="494" t="str">
        <f>IF('PLAN PRODUCTION2'!L25="","",'PLAN PRODUCTION2'!L25)</f>
        <v/>
      </c>
      <c r="H74" t="str">
        <f t="shared" ca="1" si="20"/>
        <v>Plan Date Empty</v>
      </c>
      <c r="I74" t="str">
        <f t="shared" ca="1" si="11"/>
        <v/>
      </c>
      <c r="J74" t="str">
        <f t="shared" si="12"/>
        <v/>
      </c>
      <c r="K74" t="str">
        <f t="shared" si="13"/>
        <v/>
      </c>
      <c r="L74">
        <f t="shared" si="14"/>
        <v>0</v>
      </c>
      <c r="M74">
        <f t="shared" si="15"/>
        <v>0</v>
      </c>
      <c r="N74">
        <f t="shared" si="16"/>
        <v>0</v>
      </c>
      <c r="O74">
        <f t="shared" si="17"/>
        <v>1</v>
      </c>
      <c r="P74">
        <f t="shared" ca="1" si="18"/>
        <v>0</v>
      </c>
      <c r="Q74">
        <f t="shared" ca="1" si="19"/>
        <v>0</v>
      </c>
    </row>
    <row r="75" spans="1:17" x14ac:dyDescent="0.25">
      <c r="A75">
        <f t="shared" si="9"/>
        <v>74</v>
      </c>
      <c r="B75" s="212" t="s">
        <v>57</v>
      </c>
      <c r="C75" s="555">
        <v>5</v>
      </c>
      <c r="D75" t="s">
        <v>1469</v>
      </c>
      <c r="E75" t="s">
        <v>1422</v>
      </c>
      <c r="F75" s="494" t="str">
        <f>IF('PLAN PRODUCTION2'!M25="","",'PLAN PRODUCTION2'!M25)</f>
        <v/>
      </c>
      <c r="G75" s="494" t="str">
        <f>IF('PLAN PRODUCTION2'!N25="","",'PLAN PRODUCTION2'!N25)</f>
        <v/>
      </c>
      <c r="H75" t="str">
        <f t="shared" ca="1" si="20"/>
        <v>Plan Date Empty</v>
      </c>
      <c r="I75" t="str">
        <f t="shared" ca="1" si="11"/>
        <v/>
      </c>
      <c r="J75" t="str">
        <f t="shared" si="12"/>
        <v/>
      </c>
      <c r="K75" t="str">
        <f t="shared" si="13"/>
        <v/>
      </c>
      <c r="L75">
        <f t="shared" si="14"/>
        <v>0</v>
      </c>
      <c r="M75">
        <f t="shared" si="15"/>
        <v>0</v>
      </c>
      <c r="N75">
        <f t="shared" si="16"/>
        <v>0</v>
      </c>
      <c r="O75">
        <f t="shared" si="17"/>
        <v>1</v>
      </c>
      <c r="P75">
        <f t="shared" ca="1" si="18"/>
        <v>0</v>
      </c>
      <c r="Q75">
        <f t="shared" ca="1" si="19"/>
        <v>0</v>
      </c>
    </row>
    <row r="76" spans="1:17" x14ac:dyDescent="0.25">
      <c r="A76">
        <f t="shared" si="9"/>
        <v>75</v>
      </c>
      <c r="B76" s="212" t="s">
        <v>57</v>
      </c>
      <c r="C76" s="555">
        <v>5</v>
      </c>
      <c r="D76" t="s">
        <v>1470</v>
      </c>
      <c r="E76" t="s">
        <v>1422</v>
      </c>
      <c r="F76" s="494" t="str">
        <f>IF('PLAN PRODUCTION2'!O25="","",'PLAN PRODUCTION2'!O25)</f>
        <v/>
      </c>
      <c r="G76" s="494" t="str">
        <f>IF('PLAN PRODUCTION2'!P25="","",'PLAN PRODUCTION2'!P25)</f>
        <v/>
      </c>
      <c r="H76" t="str">
        <f t="shared" ca="1" si="20"/>
        <v>Plan Date Empty</v>
      </c>
      <c r="I76" t="str">
        <f t="shared" ca="1" si="11"/>
        <v/>
      </c>
      <c r="J76" t="str">
        <f t="shared" si="12"/>
        <v/>
      </c>
      <c r="K76" t="str">
        <f t="shared" si="13"/>
        <v/>
      </c>
      <c r="L76">
        <f t="shared" si="14"/>
        <v>0</v>
      </c>
      <c r="M76">
        <f t="shared" si="15"/>
        <v>0</v>
      </c>
      <c r="N76">
        <f t="shared" si="16"/>
        <v>0</v>
      </c>
      <c r="O76">
        <f t="shared" si="17"/>
        <v>1</v>
      </c>
      <c r="P76">
        <f t="shared" ca="1" si="18"/>
        <v>0</v>
      </c>
      <c r="Q76">
        <f t="shared" ca="1" si="19"/>
        <v>0</v>
      </c>
    </row>
    <row r="77" spans="1:17" x14ac:dyDescent="0.25">
      <c r="A77">
        <f t="shared" si="9"/>
        <v>76</v>
      </c>
      <c r="B77" s="212" t="s">
        <v>57</v>
      </c>
      <c r="C77" s="555">
        <v>5</v>
      </c>
      <c r="D77" t="s">
        <v>1471</v>
      </c>
      <c r="E77" t="s">
        <v>1424</v>
      </c>
      <c r="F77" s="494" t="str">
        <f>IF('PLAN PRODUCTION2'!Q25="","",'PLAN PRODUCTION2'!Q25)</f>
        <v/>
      </c>
      <c r="G77" s="494" t="str">
        <f>IF('PLAN PRODUCTION2'!R25="","",'PLAN PRODUCTION2'!R25)</f>
        <v/>
      </c>
      <c r="H77" t="str">
        <f t="shared" ca="1" si="20"/>
        <v>Plan Date Empty</v>
      </c>
      <c r="I77" t="str">
        <f t="shared" ca="1" si="11"/>
        <v/>
      </c>
      <c r="J77" t="str">
        <f t="shared" si="12"/>
        <v/>
      </c>
      <c r="K77" t="str">
        <f t="shared" si="13"/>
        <v/>
      </c>
      <c r="L77">
        <f t="shared" si="14"/>
        <v>0</v>
      </c>
      <c r="M77">
        <f t="shared" si="15"/>
        <v>0</v>
      </c>
      <c r="N77">
        <f t="shared" si="16"/>
        <v>0</v>
      </c>
      <c r="O77">
        <f t="shared" si="17"/>
        <v>1</v>
      </c>
      <c r="P77">
        <f t="shared" ca="1" si="18"/>
        <v>0</v>
      </c>
      <c r="Q77">
        <f t="shared" ca="1" si="19"/>
        <v>0</v>
      </c>
    </row>
    <row r="78" spans="1:17" x14ac:dyDescent="0.25">
      <c r="A78">
        <f t="shared" si="9"/>
        <v>77</v>
      </c>
      <c r="B78" s="212" t="s">
        <v>57</v>
      </c>
      <c r="C78" s="555">
        <v>5</v>
      </c>
      <c r="D78" t="s">
        <v>1472</v>
      </c>
      <c r="E78" t="s">
        <v>1426</v>
      </c>
      <c r="F78" s="494" t="str">
        <f>IF('PLAN PRODUCTION2'!S25="","",'PLAN PRODUCTION2'!S25)</f>
        <v/>
      </c>
      <c r="G78" s="494" t="str">
        <f>IF('PLAN PRODUCTION2'!T25="","",'PLAN PRODUCTION2'!T25)</f>
        <v/>
      </c>
      <c r="H78" t="str">
        <f t="shared" ca="1" si="20"/>
        <v>Plan Date Empty</v>
      </c>
      <c r="I78" t="str">
        <f t="shared" ca="1" si="11"/>
        <v/>
      </c>
      <c r="J78" t="str">
        <f t="shared" si="12"/>
        <v/>
      </c>
      <c r="K78" t="str">
        <f t="shared" si="13"/>
        <v/>
      </c>
      <c r="L78">
        <f t="shared" si="14"/>
        <v>0</v>
      </c>
      <c r="M78">
        <f t="shared" si="15"/>
        <v>0</v>
      </c>
      <c r="N78">
        <f t="shared" si="16"/>
        <v>0</v>
      </c>
      <c r="O78">
        <f t="shared" si="17"/>
        <v>1</v>
      </c>
      <c r="P78">
        <f t="shared" ca="1" si="18"/>
        <v>0</v>
      </c>
      <c r="Q78">
        <f t="shared" ca="1" si="19"/>
        <v>0</v>
      </c>
    </row>
    <row r="79" spans="1:17" x14ac:dyDescent="0.25">
      <c r="A79">
        <f t="shared" si="9"/>
        <v>78</v>
      </c>
      <c r="B79" s="212" t="s">
        <v>57</v>
      </c>
      <c r="C79" s="555">
        <v>5</v>
      </c>
      <c r="D79" t="s">
        <v>1473</v>
      </c>
      <c r="E79" t="s">
        <v>1426</v>
      </c>
      <c r="F79" s="494" t="str">
        <f>IF('PLAN PRODUCTION2'!U25="","",'PLAN PRODUCTION2'!U25)</f>
        <v/>
      </c>
      <c r="G79" s="494" t="str">
        <f>IF('PLAN PRODUCTION2'!V25="","",'PLAN PRODUCTION2'!V25)</f>
        <v/>
      </c>
      <c r="H79" t="str">
        <f t="shared" ca="1" si="20"/>
        <v>Plan Date Empty</v>
      </c>
      <c r="I79" t="str">
        <f t="shared" ca="1" si="11"/>
        <v/>
      </c>
      <c r="J79" t="str">
        <f t="shared" si="12"/>
        <v/>
      </c>
      <c r="K79" t="str">
        <f t="shared" si="13"/>
        <v/>
      </c>
      <c r="L79">
        <f t="shared" si="14"/>
        <v>0</v>
      </c>
      <c r="M79">
        <f t="shared" si="15"/>
        <v>0</v>
      </c>
      <c r="N79">
        <f t="shared" si="16"/>
        <v>0</v>
      </c>
      <c r="O79">
        <f t="shared" si="17"/>
        <v>1</v>
      </c>
      <c r="P79">
        <f t="shared" ca="1" si="18"/>
        <v>0</v>
      </c>
      <c r="Q79">
        <f t="shared" ca="1" si="19"/>
        <v>0</v>
      </c>
    </row>
    <row r="80" spans="1:17" x14ac:dyDescent="0.25">
      <c r="A80">
        <f t="shared" si="9"/>
        <v>79</v>
      </c>
      <c r="B80" s="212" t="s">
        <v>57</v>
      </c>
      <c r="C80" s="555">
        <v>5</v>
      </c>
      <c r="D80" t="s">
        <v>1474</v>
      </c>
      <c r="E80" t="s">
        <v>1426</v>
      </c>
      <c r="F80" s="494" t="str">
        <f>IF('PLAN PRODUCTION2'!W25="","",'PLAN PRODUCTION2'!W25)</f>
        <v/>
      </c>
      <c r="G80" s="494" t="str">
        <f>IF('PLAN PRODUCTION2'!X25="","",'PLAN PRODUCTION2'!X25)</f>
        <v/>
      </c>
      <c r="H80" t="str">
        <f t="shared" ca="1" si="20"/>
        <v>Plan Date Empty</v>
      </c>
      <c r="I80" t="str">
        <f t="shared" ca="1" si="11"/>
        <v/>
      </c>
      <c r="J80" t="str">
        <f t="shared" si="12"/>
        <v/>
      </c>
      <c r="K80" t="str">
        <f t="shared" si="13"/>
        <v/>
      </c>
      <c r="L80">
        <f t="shared" si="14"/>
        <v>0</v>
      </c>
      <c r="M80">
        <f t="shared" si="15"/>
        <v>0</v>
      </c>
      <c r="N80">
        <f t="shared" si="16"/>
        <v>0</v>
      </c>
      <c r="O80">
        <f t="shared" si="17"/>
        <v>1</v>
      </c>
      <c r="P80">
        <f t="shared" ca="1" si="18"/>
        <v>0</v>
      </c>
      <c r="Q80">
        <f t="shared" ca="1" si="19"/>
        <v>0</v>
      </c>
    </row>
    <row r="81" spans="1:17" x14ac:dyDescent="0.25">
      <c r="A81">
        <f t="shared" si="9"/>
        <v>80</v>
      </c>
      <c r="B81" s="212" t="s">
        <v>57</v>
      </c>
      <c r="C81" s="555">
        <v>5</v>
      </c>
      <c r="D81" t="s">
        <v>1475</v>
      </c>
      <c r="E81" t="s">
        <v>1426</v>
      </c>
      <c r="F81" s="494" t="str">
        <f>IF('PLAN PRODUCTION2'!Y25="","",'PLAN PRODUCTION2'!Y25)</f>
        <v/>
      </c>
      <c r="G81" s="494" t="str">
        <f>IF('PLAN PRODUCTION2'!Z25="","",'PLAN PRODUCTION2'!Z25)</f>
        <v/>
      </c>
      <c r="H81" t="str">
        <f t="shared" ca="1" si="20"/>
        <v>Plan Date Empty</v>
      </c>
      <c r="I81" t="str">
        <f t="shared" ca="1" si="11"/>
        <v/>
      </c>
      <c r="J81" t="str">
        <f t="shared" si="12"/>
        <v/>
      </c>
      <c r="K81" t="str">
        <f t="shared" si="13"/>
        <v/>
      </c>
      <c r="L81">
        <f t="shared" si="14"/>
        <v>0</v>
      </c>
      <c r="M81">
        <f t="shared" si="15"/>
        <v>0</v>
      </c>
      <c r="N81">
        <f t="shared" si="16"/>
        <v>0</v>
      </c>
      <c r="O81">
        <f t="shared" si="17"/>
        <v>1</v>
      </c>
      <c r="P81">
        <f t="shared" ca="1" si="18"/>
        <v>0</v>
      </c>
      <c r="Q81">
        <f t="shared" ca="1" si="19"/>
        <v>0</v>
      </c>
    </row>
    <row r="82" spans="1:17" x14ac:dyDescent="0.25">
      <c r="A82">
        <f t="shared" si="9"/>
        <v>81</v>
      </c>
      <c r="B82" s="212" t="s">
        <v>57</v>
      </c>
      <c r="C82" s="555">
        <v>5</v>
      </c>
      <c r="D82" t="s">
        <v>1476</v>
      </c>
      <c r="E82" t="s">
        <v>1426</v>
      </c>
      <c r="F82" s="494" t="str">
        <f>IF('PLAN PRODUCTION2'!AA25="","",'PLAN PRODUCTION2'!AA25)</f>
        <v/>
      </c>
      <c r="G82" s="494" t="str">
        <f>IF('PLAN PRODUCTION2'!AB25="","",'PLAN PRODUCTION2'!AB25)</f>
        <v/>
      </c>
      <c r="H82" t="str">
        <f t="shared" ca="1" si="20"/>
        <v>Plan Date Empty</v>
      </c>
      <c r="I82" t="str">
        <f t="shared" ca="1" si="11"/>
        <v/>
      </c>
      <c r="J82" t="str">
        <f t="shared" si="12"/>
        <v/>
      </c>
      <c r="K82" t="str">
        <f t="shared" si="13"/>
        <v/>
      </c>
      <c r="L82">
        <f t="shared" si="14"/>
        <v>0</v>
      </c>
      <c r="M82">
        <f t="shared" si="15"/>
        <v>0</v>
      </c>
      <c r="N82">
        <f t="shared" si="16"/>
        <v>0</v>
      </c>
      <c r="O82">
        <f t="shared" si="17"/>
        <v>1</v>
      </c>
      <c r="P82">
        <f t="shared" ca="1" si="18"/>
        <v>0</v>
      </c>
      <c r="Q82">
        <f t="shared" ca="1" si="19"/>
        <v>0</v>
      </c>
    </row>
    <row r="83" spans="1:17" x14ac:dyDescent="0.25">
      <c r="A83">
        <f t="shared" si="9"/>
        <v>82</v>
      </c>
      <c r="B83" s="212" t="s">
        <v>57</v>
      </c>
      <c r="C83" s="555">
        <v>5</v>
      </c>
      <c r="D83" t="s">
        <v>1477</v>
      </c>
      <c r="E83" t="s">
        <v>1422</v>
      </c>
      <c r="F83" s="494" t="str">
        <f>IF('PLAN PRODUCTION2'!AC25="","",'PLAN PRODUCTION2'!AC25)</f>
        <v/>
      </c>
      <c r="G83" s="494" t="str">
        <f>IF('PLAN PRODUCTION2'!AD25="","",'PLAN PRODUCTION2'!AD25)</f>
        <v/>
      </c>
      <c r="H83" t="str">
        <f t="shared" ca="1" si="20"/>
        <v>Plan Date Empty</v>
      </c>
      <c r="I83" t="str">
        <f t="shared" ca="1" si="11"/>
        <v/>
      </c>
      <c r="J83" t="str">
        <f t="shared" si="12"/>
        <v/>
      </c>
      <c r="K83" t="str">
        <f t="shared" si="13"/>
        <v/>
      </c>
      <c r="L83">
        <f t="shared" si="14"/>
        <v>0</v>
      </c>
      <c r="M83">
        <f t="shared" si="15"/>
        <v>0</v>
      </c>
      <c r="N83">
        <f t="shared" si="16"/>
        <v>0</v>
      </c>
      <c r="O83">
        <f t="shared" si="17"/>
        <v>1</v>
      </c>
      <c r="P83">
        <f t="shared" ca="1" si="18"/>
        <v>0</v>
      </c>
      <c r="Q83">
        <f t="shared" ca="1" si="19"/>
        <v>0</v>
      </c>
    </row>
    <row r="84" spans="1:17" x14ac:dyDescent="0.25">
      <c r="A84">
        <f t="shared" si="9"/>
        <v>83</v>
      </c>
      <c r="B84" s="212" t="s">
        <v>57</v>
      </c>
      <c r="C84" s="555">
        <v>5</v>
      </c>
      <c r="D84" t="s">
        <v>1478</v>
      </c>
      <c r="E84" t="s">
        <v>1429</v>
      </c>
      <c r="F84" s="494" t="str">
        <f>IF('PLAN PRODUCTION2'!AE25="","",'PLAN PRODUCTION2'!AE25)</f>
        <v/>
      </c>
      <c r="G84" s="494" t="str">
        <f>IF('PLAN PRODUCTION2'!AF25="","",'PLAN PRODUCTION2'!AF25)</f>
        <v/>
      </c>
      <c r="H84" t="str">
        <f t="shared" ca="1" si="20"/>
        <v>Plan Date Empty</v>
      </c>
      <c r="I84" t="str">
        <f t="shared" ca="1" si="11"/>
        <v/>
      </c>
      <c r="J84" t="str">
        <f t="shared" si="12"/>
        <v/>
      </c>
      <c r="K84" t="str">
        <f t="shared" si="13"/>
        <v/>
      </c>
      <c r="L84">
        <f t="shared" si="14"/>
        <v>0</v>
      </c>
      <c r="M84">
        <f t="shared" si="15"/>
        <v>0</v>
      </c>
      <c r="N84">
        <f t="shared" si="16"/>
        <v>0</v>
      </c>
      <c r="O84">
        <f t="shared" si="17"/>
        <v>1</v>
      </c>
      <c r="P84">
        <f t="shared" ca="1" si="18"/>
        <v>0</v>
      </c>
      <c r="Q84">
        <f t="shared" ca="1" si="19"/>
        <v>0</v>
      </c>
    </row>
    <row r="85" spans="1:17" x14ac:dyDescent="0.25">
      <c r="A85">
        <f t="shared" si="9"/>
        <v>84</v>
      </c>
      <c r="B85" s="212" t="s">
        <v>57</v>
      </c>
      <c r="C85" s="555">
        <v>5</v>
      </c>
      <c r="D85" t="s">
        <v>1479</v>
      </c>
      <c r="E85" t="s">
        <v>1429</v>
      </c>
      <c r="F85" s="494" t="str">
        <f>IF('PLAN PRODUCTION2'!AG25="","",'PLAN PRODUCTION2'!AG25)</f>
        <v/>
      </c>
      <c r="G85" s="494" t="str">
        <f>IF('PLAN PRODUCTION2'!AH25="","",'PLAN PRODUCTION2'!AH25)</f>
        <v/>
      </c>
      <c r="H85" t="str">
        <f t="shared" ca="1" si="20"/>
        <v>Plan Date Empty</v>
      </c>
      <c r="I85" t="str">
        <f t="shared" ca="1" si="11"/>
        <v/>
      </c>
      <c r="J85" t="str">
        <f t="shared" si="12"/>
        <v/>
      </c>
      <c r="K85" t="str">
        <f t="shared" si="13"/>
        <v/>
      </c>
      <c r="L85">
        <f t="shared" si="14"/>
        <v>0</v>
      </c>
      <c r="M85">
        <f t="shared" si="15"/>
        <v>0</v>
      </c>
      <c r="N85">
        <f t="shared" si="16"/>
        <v>0</v>
      </c>
      <c r="O85">
        <f t="shared" si="17"/>
        <v>1</v>
      </c>
      <c r="P85">
        <f t="shared" ca="1" si="18"/>
        <v>0</v>
      </c>
      <c r="Q85">
        <f t="shared" ca="1" si="19"/>
        <v>0</v>
      </c>
    </row>
    <row r="86" spans="1:17" x14ac:dyDescent="0.25">
      <c r="A86">
        <f t="shared" si="9"/>
        <v>85</v>
      </c>
      <c r="B86" s="212" t="s">
        <v>58</v>
      </c>
      <c r="C86" s="555">
        <v>76</v>
      </c>
      <c r="D86" t="s">
        <v>1466</v>
      </c>
      <c r="E86" t="s">
        <v>1420</v>
      </c>
      <c r="F86" s="494">
        <f>IF('PLAN PRODUCTION2'!E26="","",'PLAN PRODUCTION2'!E26)</f>
        <v>46202</v>
      </c>
      <c r="G86" s="494" t="str">
        <f>IF('PLAN PRODUCTION2'!F26="","",'PLAN PRODUCTION2'!F26)</f>
        <v/>
      </c>
      <c r="H86" t="str">
        <f t="shared" ca="1" si="20"/>
        <v>Not Done - Overdue</v>
      </c>
      <c r="I86">
        <f t="shared" ca="1" si="11"/>
        <v>50</v>
      </c>
      <c r="J86">
        <f t="shared" si="12"/>
        <v>27</v>
      </c>
      <c r="K86" t="str">
        <f t="shared" si="13"/>
        <v>Minggu 27 (2026)</v>
      </c>
      <c r="L86">
        <f t="shared" si="14"/>
        <v>0</v>
      </c>
      <c r="M86">
        <f t="shared" si="15"/>
        <v>0</v>
      </c>
      <c r="N86">
        <f t="shared" si="16"/>
        <v>0</v>
      </c>
      <c r="O86">
        <f t="shared" si="17"/>
        <v>1</v>
      </c>
      <c r="P86">
        <f t="shared" ca="1" si="18"/>
        <v>1</v>
      </c>
      <c r="Q86">
        <f t="shared" ca="1" si="19"/>
        <v>50</v>
      </c>
    </row>
    <row r="87" spans="1:17" x14ac:dyDescent="0.25">
      <c r="A87">
        <f t="shared" si="9"/>
        <v>86</v>
      </c>
      <c r="B87" s="212" t="s">
        <v>58</v>
      </c>
      <c r="C87" s="555">
        <v>76</v>
      </c>
      <c r="D87" t="s">
        <v>1467</v>
      </c>
      <c r="E87" t="s">
        <v>1420</v>
      </c>
      <c r="F87" s="494">
        <f>IF('PLAN PRODUCTION2'!I26="","",'PLAN PRODUCTION2'!I26)</f>
        <v>46184</v>
      </c>
      <c r="G87" s="494" t="str">
        <f>IF('PLAN PRODUCTION2'!J26="","",'PLAN PRODUCTION2'!J26)</f>
        <v/>
      </c>
      <c r="H87" t="str">
        <f t="shared" ca="1" si="20"/>
        <v>Not Done - Overdue</v>
      </c>
      <c r="I87">
        <f t="shared" ca="1" si="11"/>
        <v>68</v>
      </c>
      <c r="J87">
        <f t="shared" si="12"/>
        <v>24</v>
      </c>
      <c r="K87" t="str">
        <f t="shared" si="13"/>
        <v>Minggu 24 (2026)</v>
      </c>
      <c r="L87">
        <f t="shared" si="14"/>
        <v>0</v>
      </c>
      <c r="M87">
        <f t="shared" si="15"/>
        <v>0</v>
      </c>
      <c r="N87">
        <f t="shared" si="16"/>
        <v>0</v>
      </c>
      <c r="O87">
        <f t="shared" si="17"/>
        <v>1</v>
      </c>
      <c r="P87">
        <f t="shared" ca="1" si="18"/>
        <v>1</v>
      </c>
      <c r="Q87">
        <f t="shared" ca="1" si="19"/>
        <v>68</v>
      </c>
    </row>
    <row r="88" spans="1:17" x14ac:dyDescent="0.25">
      <c r="A88">
        <f t="shared" si="9"/>
        <v>87</v>
      </c>
      <c r="B88" s="212" t="s">
        <v>58</v>
      </c>
      <c r="C88" s="555">
        <v>76</v>
      </c>
      <c r="D88" t="s">
        <v>1468</v>
      </c>
      <c r="E88" t="s">
        <v>1420</v>
      </c>
      <c r="F88" s="494">
        <f>IF('PLAN PRODUCTION2'!K26="","",'PLAN PRODUCTION2'!K26)</f>
        <v>46185</v>
      </c>
      <c r="G88" s="494" t="str">
        <f>IF('PLAN PRODUCTION2'!L26="","",'PLAN PRODUCTION2'!L26)</f>
        <v/>
      </c>
      <c r="H88" t="str">
        <f t="shared" ca="1" si="20"/>
        <v>Not Done - Overdue</v>
      </c>
      <c r="I88">
        <f t="shared" ca="1" si="11"/>
        <v>67</v>
      </c>
      <c r="J88">
        <f t="shared" si="12"/>
        <v>24</v>
      </c>
      <c r="K88" t="str">
        <f t="shared" si="13"/>
        <v>Minggu 24 (2026)</v>
      </c>
      <c r="L88">
        <f t="shared" si="14"/>
        <v>0</v>
      </c>
      <c r="M88">
        <f t="shared" si="15"/>
        <v>0</v>
      </c>
      <c r="N88">
        <f t="shared" si="16"/>
        <v>0</v>
      </c>
      <c r="O88">
        <f t="shared" si="17"/>
        <v>1</v>
      </c>
      <c r="P88">
        <f t="shared" ca="1" si="18"/>
        <v>1</v>
      </c>
      <c r="Q88">
        <f t="shared" ca="1" si="19"/>
        <v>67</v>
      </c>
    </row>
    <row r="89" spans="1:17" x14ac:dyDescent="0.25">
      <c r="A89">
        <f t="shared" si="9"/>
        <v>88</v>
      </c>
      <c r="B89" s="212" t="s">
        <v>58</v>
      </c>
      <c r="C89" s="555">
        <v>76</v>
      </c>
      <c r="D89" t="s">
        <v>1469</v>
      </c>
      <c r="E89" t="s">
        <v>1422</v>
      </c>
      <c r="F89" s="494">
        <f>IF('PLAN PRODUCTION2'!M26="","",'PLAN PRODUCTION2'!M26)</f>
        <v>46191</v>
      </c>
      <c r="G89" s="494" t="str">
        <f>IF('PLAN PRODUCTION2'!N26="","",'PLAN PRODUCTION2'!N26)</f>
        <v/>
      </c>
      <c r="H89" t="str">
        <f t="shared" ca="1" si="20"/>
        <v>Not Done - Overdue</v>
      </c>
      <c r="I89">
        <f t="shared" ca="1" si="11"/>
        <v>61</v>
      </c>
      <c r="J89">
        <f t="shared" si="12"/>
        <v>25</v>
      </c>
      <c r="K89" t="str">
        <f t="shared" si="13"/>
        <v>Minggu 25 (2026)</v>
      </c>
      <c r="L89">
        <f t="shared" si="14"/>
        <v>0</v>
      </c>
      <c r="M89">
        <f t="shared" si="15"/>
        <v>0</v>
      </c>
      <c r="N89">
        <f t="shared" si="16"/>
        <v>0</v>
      </c>
      <c r="O89">
        <f t="shared" si="17"/>
        <v>1</v>
      </c>
      <c r="P89">
        <f t="shared" ca="1" si="18"/>
        <v>1</v>
      </c>
      <c r="Q89">
        <f t="shared" ca="1" si="19"/>
        <v>61</v>
      </c>
    </row>
    <row r="90" spans="1:17" x14ac:dyDescent="0.25">
      <c r="A90">
        <f t="shared" si="9"/>
        <v>89</v>
      </c>
      <c r="B90" s="212" t="s">
        <v>58</v>
      </c>
      <c r="C90" s="555">
        <v>76</v>
      </c>
      <c r="D90" t="s">
        <v>1470</v>
      </c>
      <c r="E90" t="s">
        <v>1422</v>
      </c>
      <c r="F90" s="494">
        <f>IF('PLAN PRODUCTION2'!O26="","",'PLAN PRODUCTION2'!O26)</f>
        <v>46200</v>
      </c>
      <c r="G90" s="494" t="str">
        <f>IF('PLAN PRODUCTION2'!P26="","",'PLAN PRODUCTION2'!P26)</f>
        <v/>
      </c>
      <c r="H90" t="str">
        <f t="shared" ca="1" si="20"/>
        <v>Not Done - Overdue</v>
      </c>
      <c r="I90">
        <f t="shared" ca="1" si="11"/>
        <v>52</v>
      </c>
      <c r="J90">
        <f t="shared" si="12"/>
        <v>26</v>
      </c>
      <c r="K90" t="str">
        <f t="shared" si="13"/>
        <v>Minggu 26 (2026)</v>
      </c>
      <c r="L90">
        <f t="shared" si="14"/>
        <v>0</v>
      </c>
      <c r="M90">
        <f t="shared" si="15"/>
        <v>0</v>
      </c>
      <c r="N90">
        <f t="shared" si="16"/>
        <v>0</v>
      </c>
      <c r="O90">
        <f t="shared" si="17"/>
        <v>1</v>
      </c>
      <c r="P90">
        <f t="shared" ca="1" si="18"/>
        <v>1</v>
      </c>
      <c r="Q90">
        <f t="shared" ca="1" si="19"/>
        <v>52</v>
      </c>
    </row>
    <row r="91" spans="1:17" x14ac:dyDescent="0.25">
      <c r="A91">
        <f t="shared" si="9"/>
        <v>90</v>
      </c>
      <c r="B91" s="212" t="s">
        <v>58</v>
      </c>
      <c r="C91" s="555">
        <v>76</v>
      </c>
      <c r="D91" t="s">
        <v>1471</v>
      </c>
      <c r="E91" t="s">
        <v>1424</v>
      </c>
      <c r="F91" s="494">
        <f>IF('PLAN PRODUCTION2'!Q26="","",'PLAN PRODUCTION2'!Q26)</f>
        <v>46191</v>
      </c>
      <c r="G91" s="494" t="str">
        <f>IF('PLAN PRODUCTION2'!R26="","",'PLAN PRODUCTION2'!R26)</f>
        <v/>
      </c>
      <c r="H91" t="str">
        <f t="shared" ca="1" si="20"/>
        <v>Not Done - Overdue</v>
      </c>
      <c r="I91">
        <f t="shared" ca="1" si="11"/>
        <v>61</v>
      </c>
      <c r="J91">
        <f t="shared" si="12"/>
        <v>25</v>
      </c>
      <c r="K91" t="str">
        <f t="shared" si="13"/>
        <v>Minggu 25 (2026)</v>
      </c>
      <c r="L91">
        <f t="shared" si="14"/>
        <v>0</v>
      </c>
      <c r="M91">
        <f t="shared" si="15"/>
        <v>0</v>
      </c>
      <c r="N91">
        <f t="shared" si="16"/>
        <v>0</v>
      </c>
      <c r="O91">
        <f t="shared" si="17"/>
        <v>1</v>
      </c>
      <c r="P91">
        <f t="shared" ca="1" si="18"/>
        <v>1</v>
      </c>
      <c r="Q91">
        <f t="shared" ca="1" si="19"/>
        <v>61</v>
      </c>
    </row>
    <row r="92" spans="1:17" x14ac:dyDescent="0.25">
      <c r="A92">
        <f t="shared" si="9"/>
        <v>91</v>
      </c>
      <c r="B92" s="212" t="s">
        <v>58</v>
      </c>
      <c r="C92" s="555">
        <v>76</v>
      </c>
      <c r="D92" t="s">
        <v>1472</v>
      </c>
      <c r="E92" t="s">
        <v>1426</v>
      </c>
      <c r="F92" s="494">
        <f>IF('PLAN PRODUCTION2'!S26="","",'PLAN PRODUCTION2'!S26)</f>
        <v>46192</v>
      </c>
      <c r="G92" s="494" t="str">
        <f>IF('PLAN PRODUCTION2'!T26="","",'PLAN PRODUCTION2'!T26)</f>
        <v/>
      </c>
      <c r="H92" t="str">
        <f t="shared" ca="1" si="20"/>
        <v>Not Done - Overdue</v>
      </c>
      <c r="I92">
        <f t="shared" ca="1" si="11"/>
        <v>60</v>
      </c>
      <c r="J92">
        <f t="shared" si="12"/>
        <v>25</v>
      </c>
      <c r="K92" t="str">
        <f t="shared" si="13"/>
        <v>Minggu 25 (2026)</v>
      </c>
      <c r="L92">
        <f t="shared" si="14"/>
        <v>0</v>
      </c>
      <c r="M92">
        <f t="shared" si="15"/>
        <v>0</v>
      </c>
      <c r="N92">
        <f t="shared" si="16"/>
        <v>0</v>
      </c>
      <c r="O92">
        <f t="shared" si="17"/>
        <v>1</v>
      </c>
      <c r="P92">
        <f t="shared" ca="1" si="18"/>
        <v>1</v>
      </c>
      <c r="Q92">
        <f t="shared" ca="1" si="19"/>
        <v>60</v>
      </c>
    </row>
    <row r="93" spans="1:17" x14ac:dyDescent="0.25">
      <c r="A93">
        <f t="shared" si="9"/>
        <v>92</v>
      </c>
      <c r="B93" s="212" t="s">
        <v>58</v>
      </c>
      <c r="C93" s="555">
        <v>76</v>
      </c>
      <c r="D93" t="s">
        <v>1473</v>
      </c>
      <c r="E93" t="s">
        <v>1426</v>
      </c>
      <c r="F93" s="494">
        <f>IF('PLAN PRODUCTION2'!U26="","",'PLAN PRODUCTION2'!U26)</f>
        <v>46192</v>
      </c>
      <c r="G93" s="494" t="str">
        <f>IF('PLAN PRODUCTION2'!V26="","",'PLAN PRODUCTION2'!V26)</f>
        <v/>
      </c>
      <c r="H93" t="str">
        <f t="shared" ca="1" si="20"/>
        <v>Not Done - Overdue</v>
      </c>
      <c r="I93">
        <f t="shared" ca="1" si="11"/>
        <v>60</v>
      </c>
      <c r="J93">
        <f t="shared" si="12"/>
        <v>25</v>
      </c>
      <c r="K93" t="str">
        <f t="shared" si="13"/>
        <v>Minggu 25 (2026)</v>
      </c>
      <c r="L93">
        <f t="shared" si="14"/>
        <v>0</v>
      </c>
      <c r="M93">
        <f t="shared" si="15"/>
        <v>0</v>
      </c>
      <c r="N93">
        <f t="shared" si="16"/>
        <v>0</v>
      </c>
      <c r="O93">
        <f t="shared" si="17"/>
        <v>1</v>
      </c>
      <c r="P93">
        <f t="shared" ca="1" si="18"/>
        <v>1</v>
      </c>
      <c r="Q93">
        <f t="shared" ca="1" si="19"/>
        <v>60</v>
      </c>
    </row>
    <row r="94" spans="1:17" x14ac:dyDescent="0.25">
      <c r="A94">
        <f t="shared" si="9"/>
        <v>93</v>
      </c>
      <c r="B94" s="212" t="s">
        <v>58</v>
      </c>
      <c r="C94" s="555">
        <v>76</v>
      </c>
      <c r="D94" t="s">
        <v>1474</v>
      </c>
      <c r="E94" t="s">
        <v>1426</v>
      </c>
      <c r="F94" s="494">
        <f>IF('PLAN PRODUCTION2'!W26="","",'PLAN PRODUCTION2'!W26)</f>
        <v>46198</v>
      </c>
      <c r="G94" s="494" t="str">
        <f>IF('PLAN PRODUCTION2'!X26="","",'PLAN PRODUCTION2'!X26)</f>
        <v/>
      </c>
      <c r="H94" t="str">
        <f t="shared" ca="1" si="20"/>
        <v>Not Done - Overdue</v>
      </c>
      <c r="I94">
        <f t="shared" ca="1" si="11"/>
        <v>54</v>
      </c>
      <c r="J94">
        <f t="shared" si="12"/>
        <v>26</v>
      </c>
      <c r="K94" t="str">
        <f t="shared" si="13"/>
        <v>Minggu 26 (2026)</v>
      </c>
      <c r="L94">
        <f t="shared" si="14"/>
        <v>0</v>
      </c>
      <c r="M94">
        <f t="shared" si="15"/>
        <v>0</v>
      </c>
      <c r="N94">
        <f t="shared" si="16"/>
        <v>0</v>
      </c>
      <c r="O94">
        <f t="shared" si="17"/>
        <v>1</v>
      </c>
      <c r="P94">
        <f t="shared" ca="1" si="18"/>
        <v>1</v>
      </c>
      <c r="Q94">
        <f t="shared" ca="1" si="19"/>
        <v>54</v>
      </c>
    </row>
    <row r="95" spans="1:17" x14ac:dyDescent="0.25">
      <c r="A95">
        <f t="shared" si="9"/>
        <v>94</v>
      </c>
      <c r="B95" s="212" t="s">
        <v>58</v>
      </c>
      <c r="C95" s="555">
        <v>76</v>
      </c>
      <c r="D95" t="s">
        <v>1475</v>
      </c>
      <c r="E95" t="s">
        <v>1426</v>
      </c>
      <c r="F95" s="494">
        <f>IF('PLAN PRODUCTION2'!Y26="","",'PLAN PRODUCTION2'!Y26)</f>
        <v>46200</v>
      </c>
      <c r="G95" s="494" t="str">
        <f>IF('PLAN PRODUCTION2'!Z26="","",'PLAN PRODUCTION2'!Z26)</f>
        <v/>
      </c>
      <c r="H95" t="str">
        <f t="shared" ca="1" si="20"/>
        <v>Not Done - Overdue</v>
      </c>
      <c r="I95">
        <f t="shared" ca="1" si="11"/>
        <v>52</v>
      </c>
      <c r="J95">
        <f t="shared" si="12"/>
        <v>26</v>
      </c>
      <c r="K95" t="str">
        <f t="shared" si="13"/>
        <v>Minggu 26 (2026)</v>
      </c>
      <c r="L95">
        <f t="shared" si="14"/>
        <v>0</v>
      </c>
      <c r="M95">
        <f t="shared" si="15"/>
        <v>0</v>
      </c>
      <c r="N95">
        <f t="shared" si="16"/>
        <v>0</v>
      </c>
      <c r="O95">
        <f t="shared" si="17"/>
        <v>1</v>
      </c>
      <c r="P95">
        <f t="shared" ca="1" si="18"/>
        <v>1</v>
      </c>
      <c r="Q95">
        <f t="shared" ca="1" si="19"/>
        <v>52</v>
      </c>
    </row>
    <row r="96" spans="1:17" x14ac:dyDescent="0.25">
      <c r="A96">
        <f t="shared" si="9"/>
        <v>95</v>
      </c>
      <c r="B96" s="212" t="s">
        <v>58</v>
      </c>
      <c r="C96" s="555">
        <v>76</v>
      </c>
      <c r="D96" t="s">
        <v>1476</v>
      </c>
      <c r="E96" t="s">
        <v>1426</v>
      </c>
      <c r="F96" s="494">
        <f>IF('PLAN PRODUCTION2'!AA26="","",'PLAN PRODUCTION2'!AA26)</f>
        <v>46202</v>
      </c>
      <c r="G96" s="494" t="str">
        <f>IF('PLAN PRODUCTION2'!AB26="","",'PLAN PRODUCTION2'!AB26)</f>
        <v/>
      </c>
      <c r="H96" t="str">
        <f t="shared" ca="1" si="20"/>
        <v>Not Done - Overdue</v>
      </c>
      <c r="I96">
        <f t="shared" ca="1" si="11"/>
        <v>50</v>
      </c>
      <c r="J96">
        <f t="shared" si="12"/>
        <v>27</v>
      </c>
      <c r="K96" t="str">
        <f t="shared" si="13"/>
        <v>Minggu 27 (2026)</v>
      </c>
      <c r="L96">
        <f t="shared" si="14"/>
        <v>0</v>
      </c>
      <c r="M96">
        <f t="shared" si="15"/>
        <v>0</v>
      </c>
      <c r="N96">
        <f t="shared" si="16"/>
        <v>0</v>
      </c>
      <c r="O96">
        <f t="shared" si="17"/>
        <v>1</v>
      </c>
      <c r="P96">
        <f t="shared" ca="1" si="18"/>
        <v>1</v>
      </c>
      <c r="Q96">
        <f t="shared" ca="1" si="19"/>
        <v>50</v>
      </c>
    </row>
    <row r="97" spans="1:17" x14ac:dyDescent="0.25">
      <c r="A97">
        <f t="shared" si="9"/>
        <v>96</v>
      </c>
      <c r="B97" s="212" t="s">
        <v>58</v>
      </c>
      <c r="C97" s="555">
        <v>76</v>
      </c>
      <c r="D97" t="s">
        <v>1477</v>
      </c>
      <c r="E97" t="s">
        <v>1422</v>
      </c>
      <c r="F97" s="494">
        <f>IF('PLAN PRODUCTION2'!AC26="","",'PLAN PRODUCTION2'!AC26)</f>
        <v>46203</v>
      </c>
      <c r="G97" s="494" t="str">
        <f>IF('PLAN PRODUCTION2'!AD26="","",'PLAN PRODUCTION2'!AD26)</f>
        <v/>
      </c>
      <c r="H97" t="str">
        <f t="shared" ca="1" si="20"/>
        <v>Not Done - Overdue</v>
      </c>
      <c r="I97">
        <f t="shared" ca="1" si="11"/>
        <v>49</v>
      </c>
      <c r="J97">
        <f t="shared" si="12"/>
        <v>27</v>
      </c>
      <c r="K97" t="str">
        <f t="shared" si="13"/>
        <v>Minggu 27 (2026)</v>
      </c>
      <c r="L97">
        <f t="shared" si="14"/>
        <v>0</v>
      </c>
      <c r="M97">
        <f t="shared" si="15"/>
        <v>0</v>
      </c>
      <c r="N97">
        <f t="shared" si="16"/>
        <v>0</v>
      </c>
      <c r="O97">
        <f t="shared" si="17"/>
        <v>1</v>
      </c>
      <c r="P97">
        <f t="shared" ca="1" si="18"/>
        <v>1</v>
      </c>
      <c r="Q97">
        <f t="shared" ca="1" si="19"/>
        <v>49</v>
      </c>
    </row>
    <row r="98" spans="1:17" x14ac:dyDescent="0.25">
      <c r="A98">
        <f t="shared" si="9"/>
        <v>97</v>
      </c>
      <c r="B98" s="212" t="s">
        <v>58</v>
      </c>
      <c r="C98" s="555">
        <v>76</v>
      </c>
      <c r="D98" t="s">
        <v>1478</v>
      </c>
      <c r="E98" t="s">
        <v>1429</v>
      </c>
      <c r="F98" s="494">
        <f>IF('PLAN PRODUCTION2'!AE26="","",'PLAN PRODUCTION2'!AE26)</f>
        <v>46204</v>
      </c>
      <c r="G98" s="494" t="str">
        <f>IF('PLAN PRODUCTION2'!AF26="","",'PLAN PRODUCTION2'!AF26)</f>
        <v/>
      </c>
      <c r="H98" t="str">
        <f t="shared" ca="1" si="20"/>
        <v>Not Done - Overdue</v>
      </c>
      <c r="I98">
        <f t="shared" ca="1" si="11"/>
        <v>48</v>
      </c>
      <c r="J98">
        <f t="shared" si="12"/>
        <v>27</v>
      </c>
      <c r="K98" t="str">
        <f t="shared" si="13"/>
        <v>Minggu 27 (2026)</v>
      </c>
      <c r="L98">
        <f t="shared" si="14"/>
        <v>0</v>
      </c>
      <c r="M98">
        <f t="shared" si="15"/>
        <v>0</v>
      </c>
      <c r="N98">
        <f t="shared" si="16"/>
        <v>0</v>
      </c>
      <c r="O98">
        <f t="shared" si="17"/>
        <v>1</v>
      </c>
      <c r="P98">
        <f t="shared" ca="1" si="18"/>
        <v>1</v>
      </c>
      <c r="Q98">
        <f t="shared" ca="1" si="19"/>
        <v>48</v>
      </c>
    </row>
    <row r="99" spans="1:17" x14ac:dyDescent="0.25">
      <c r="A99">
        <f t="shared" si="9"/>
        <v>98</v>
      </c>
      <c r="B99" s="212" t="s">
        <v>58</v>
      </c>
      <c r="C99" s="555">
        <v>76</v>
      </c>
      <c r="D99" t="s">
        <v>1479</v>
      </c>
      <c r="E99" t="s">
        <v>1429</v>
      </c>
      <c r="F99" s="494">
        <f>IF('PLAN PRODUCTION2'!AG26="","",'PLAN PRODUCTION2'!AG26)</f>
        <v>46205</v>
      </c>
      <c r="G99" s="494" t="str">
        <f>IF('PLAN PRODUCTION2'!AH26="","",'PLAN PRODUCTION2'!AH26)</f>
        <v/>
      </c>
      <c r="H99" t="str">
        <f t="shared" ca="1" si="20"/>
        <v>Not Done - Overdue</v>
      </c>
      <c r="I99">
        <f t="shared" ca="1" si="11"/>
        <v>47</v>
      </c>
      <c r="J99">
        <f t="shared" si="12"/>
        <v>27</v>
      </c>
      <c r="K99" t="str">
        <f t="shared" si="13"/>
        <v>Minggu 27 (2026)</v>
      </c>
      <c r="L99">
        <f t="shared" si="14"/>
        <v>0</v>
      </c>
      <c r="M99">
        <f t="shared" si="15"/>
        <v>0</v>
      </c>
      <c r="N99">
        <f t="shared" si="16"/>
        <v>0</v>
      </c>
      <c r="O99">
        <f t="shared" si="17"/>
        <v>1</v>
      </c>
      <c r="P99">
        <f t="shared" ca="1" si="18"/>
        <v>1</v>
      </c>
      <c r="Q99">
        <f t="shared" ca="1" si="19"/>
        <v>47</v>
      </c>
    </row>
    <row r="100" spans="1:17" x14ac:dyDescent="0.25">
      <c r="A100">
        <f t="shared" si="9"/>
        <v>99</v>
      </c>
      <c r="B100" s="212" t="s">
        <v>59</v>
      </c>
      <c r="C100" s="555">
        <v>2</v>
      </c>
      <c r="D100" t="s">
        <v>1466</v>
      </c>
      <c r="E100" t="s">
        <v>1420</v>
      </c>
      <c r="F100" s="494" t="str">
        <f>IF('PLAN PRODUCTION2'!E27="","",'PLAN PRODUCTION2'!E27)</f>
        <v/>
      </c>
      <c r="G100" s="494" t="str">
        <f>IF('PLAN PRODUCTION2'!F27="","",'PLAN PRODUCTION2'!F27)</f>
        <v/>
      </c>
      <c r="H100" t="str">
        <f t="shared" ca="1" si="20"/>
        <v>Plan Date Empty</v>
      </c>
      <c r="I100" t="str">
        <f t="shared" ca="1" si="11"/>
        <v/>
      </c>
      <c r="J100" t="str">
        <f t="shared" si="12"/>
        <v/>
      </c>
      <c r="K100" t="str">
        <f t="shared" si="13"/>
        <v/>
      </c>
      <c r="L100">
        <f t="shared" si="14"/>
        <v>0</v>
      </c>
      <c r="M100">
        <f t="shared" si="15"/>
        <v>0</v>
      </c>
      <c r="N100">
        <f t="shared" si="16"/>
        <v>0</v>
      </c>
      <c r="O100">
        <f t="shared" si="17"/>
        <v>1</v>
      </c>
      <c r="P100">
        <f t="shared" ca="1" si="18"/>
        <v>0</v>
      </c>
      <c r="Q100">
        <f t="shared" ca="1" si="19"/>
        <v>0</v>
      </c>
    </row>
    <row r="101" spans="1:17" x14ac:dyDescent="0.25">
      <c r="A101">
        <f t="shared" si="9"/>
        <v>100</v>
      </c>
      <c r="B101" s="212" t="s">
        <v>59</v>
      </c>
      <c r="C101" s="555">
        <v>2</v>
      </c>
      <c r="D101" t="s">
        <v>1467</v>
      </c>
      <c r="E101" t="s">
        <v>1420</v>
      </c>
      <c r="F101" s="494" t="str">
        <f>IF('PLAN PRODUCTION2'!I27="","",'PLAN PRODUCTION2'!I27)</f>
        <v/>
      </c>
      <c r="G101" s="494" t="str">
        <f>IF('PLAN PRODUCTION2'!J27="","",'PLAN PRODUCTION2'!J27)</f>
        <v/>
      </c>
      <c r="H101" t="str">
        <f t="shared" ca="1" si="20"/>
        <v>Plan Date Empty</v>
      </c>
      <c r="I101" t="str">
        <f t="shared" ca="1" si="11"/>
        <v/>
      </c>
      <c r="J101" t="str">
        <f t="shared" si="12"/>
        <v/>
      </c>
      <c r="K101" t="str">
        <f t="shared" si="13"/>
        <v/>
      </c>
      <c r="L101">
        <f t="shared" si="14"/>
        <v>0</v>
      </c>
      <c r="M101">
        <f t="shared" si="15"/>
        <v>0</v>
      </c>
      <c r="N101">
        <f t="shared" si="16"/>
        <v>0</v>
      </c>
      <c r="O101">
        <f t="shared" si="17"/>
        <v>1</v>
      </c>
      <c r="P101">
        <f t="shared" ca="1" si="18"/>
        <v>0</v>
      </c>
      <c r="Q101">
        <f t="shared" ca="1" si="19"/>
        <v>0</v>
      </c>
    </row>
    <row r="102" spans="1:17" x14ac:dyDescent="0.25">
      <c r="A102">
        <f t="shared" si="9"/>
        <v>101</v>
      </c>
      <c r="B102" s="212" t="s">
        <v>59</v>
      </c>
      <c r="C102" s="555">
        <v>2</v>
      </c>
      <c r="D102" t="s">
        <v>1468</v>
      </c>
      <c r="E102" t="s">
        <v>1420</v>
      </c>
      <c r="F102" s="494" t="str">
        <f>IF('PLAN PRODUCTION2'!K27="","",'PLAN PRODUCTION2'!K27)</f>
        <v/>
      </c>
      <c r="G102" s="494" t="str">
        <f>IF('PLAN PRODUCTION2'!L27="","",'PLAN PRODUCTION2'!L27)</f>
        <v/>
      </c>
      <c r="H102" t="str">
        <f t="shared" ca="1" si="20"/>
        <v>Plan Date Empty</v>
      </c>
      <c r="I102" t="str">
        <f t="shared" ca="1" si="11"/>
        <v/>
      </c>
      <c r="J102" t="str">
        <f t="shared" si="12"/>
        <v/>
      </c>
      <c r="K102" t="str">
        <f t="shared" si="13"/>
        <v/>
      </c>
      <c r="L102">
        <f t="shared" si="14"/>
        <v>0</v>
      </c>
      <c r="M102">
        <f t="shared" si="15"/>
        <v>0</v>
      </c>
      <c r="N102">
        <f t="shared" si="16"/>
        <v>0</v>
      </c>
      <c r="O102">
        <f t="shared" si="17"/>
        <v>1</v>
      </c>
      <c r="P102">
        <f t="shared" ca="1" si="18"/>
        <v>0</v>
      </c>
      <c r="Q102">
        <f t="shared" ca="1" si="19"/>
        <v>0</v>
      </c>
    </row>
    <row r="103" spans="1:17" x14ac:dyDescent="0.25">
      <c r="A103">
        <f t="shared" si="9"/>
        <v>102</v>
      </c>
      <c r="B103" s="212" t="s">
        <v>59</v>
      </c>
      <c r="C103" s="555">
        <v>2</v>
      </c>
      <c r="D103" t="s">
        <v>1469</v>
      </c>
      <c r="E103" t="s">
        <v>1422</v>
      </c>
      <c r="F103" s="494" t="str">
        <f>IF('PLAN PRODUCTION2'!M27="","",'PLAN PRODUCTION2'!M27)</f>
        <v/>
      </c>
      <c r="G103" s="494" t="str">
        <f>IF('PLAN PRODUCTION2'!N27="","",'PLAN PRODUCTION2'!N27)</f>
        <v/>
      </c>
      <c r="H103" t="str">
        <f t="shared" ca="1" si="20"/>
        <v>Plan Date Empty</v>
      </c>
      <c r="I103" t="str">
        <f t="shared" ca="1" si="11"/>
        <v/>
      </c>
      <c r="J103" t="str">
        <f t="shared" si="12"/>
        <v/>
      </c>
      <c r="K103" t="str">
        <f t="shared" si="13"/>
        <v/>
      </c>
      <c r="L103">
        <f t="shared" si="14"/>
        <v>0</v>
      </c>
      <c r="M103">
        <f t="shared" si="15"/>
        <v>0</v>
      </c>
      <c r="N103">
        <f t="shared" si="16"/>
        <v>0</v>
      </c>
      <c r="O103">
        <f t="shared" si="17"/>
        <v>1</v>
      </c>
      <c r="P103">
        <f t="shared" ca="1" si="18"/>
        <v>0</v>
      </c>
      <c r="Q103">
        <f t="shared" ca="1" si="19"/>
        <v>0</v>
      </c>
    </row>
    <row r="104" spans="1:17" x14ac:dyDescent="0.25">
      <c r="A104">
        <f t="shared" si="9"/>
        <v>103</v>
      </c>
      <c r="B104" s="212" t="s">
        <v>59</v>
      </c>
      <c r="C104" s="555">
        <v>2</v>
      </c>
      <c r="D104" t="s">
        <v>1470</v>
      </c>
      <c r="E104" t="s">
        <v>1422</v>
      </c>
      <c r="F104" s="494" t="str">
        <f>IF('PLAN PRODUCTION2'!O27="","",'PLAN PRODUCTION2'!O27)</f>
        <v/>
      </c>
      <c r="G104" s="494" t="str">
        <f>IF('PLAN PRODUCTION2'!P27="","",'PLAN PRODUCTION2'!P27)</f>
        <v/>
      </c>
      <c r="H104" t="str">
        <f t="shared" ca="1" si="20"/>
        <v>Plan Date Empty</v>
      </c>
      <c r="I104" t="str">
        <f t="shared" ca="1" si="11"/>
        <v/>
      </c>
      <c r="J104" t="str">
        <f t="shared" si="12"/>
        <v/>
      </c>
      <c r="K104" t="str">
        <f t="shared" si="13"/>
        <v/>
      </c>
      <c r="L104">
        <f t="shared" si="14"/>
        <v>0</v>
      </c>
      <c r="M104">
        <f t="shared" si="15"/>
        <v>0</v>
      </c>
      <c r="N104">
        <f t="shared" si="16"/>
        <v>0</v>
      </c>
      <c r="O104">
        <f t="shared" si="17"/>
        <v>1</v>
      </c>
      <c r="P104">
        <f t="shared" ca="1" si="18"/>
        <v>0</v>
      </c>
      <c r="Q104">
        <f t="shared" ca="1" si="19"/>
        <v>0</v>
      </c>
    </row>
    <row r="105" spans="1:17" x14ac:dyDescent="0.25">
      <c r="A105">
        <f t="shared" si="9"/>
        <v>104</v>
      </c>
      <c r="B105" s="212" t="s">
        <v>59</v>
      </c>
      <c r="C105" s="555">
        <v>2</v>
      </c>
      <c r="D105" t="s">
        <v>1471</v>
      </c>
      <c r="E105" t="s">
        <v>1424</v>
      </c>
      <c r="F105" s="494" t="str">
        <f>IF('PLAN PRODUCTION2'!Q27="","",'PLAN PRODUCTION2'!Q27)</f>
        <v/>
      </c>
      <c r="G105" s="494" t="str">
        <f>IF('PLAN PRODUCTION2'!R27="","",'PLAN PRODUCTION2'!R27)</f>
        <v/>
      </c>
      <c r="H105" t="str">
        <f t="shared" ca="1" si="20"/>
        <v>Plan Date Empty</v>
      </c>
      <c r="I105" t="str">
        <f t="shared" ca="1" si="11"/>
        <v/>
      </c>
      <c r="J105" t="str">
        <f t="shared" si="12"/>
        <v/>
      </c>
      <c r="K105" t="str">
        <f t="shared" si="13"/>
        <v/>
      </c>
      <c r="L105">
        <f t="shared" si="14"/>
        <v>0</v>
      </c>
      <c r="M105">
        <f t="shared" si="15"/>
        <v>0</v>
      </c>
      <c r="N105">
        <f t="shared" si="16"/>
        <v>0</v>
      </c>
      <c r="O105">
        <f t="shared" si="17"/>
        <v>1</v>
      </c>
      <c r="P105">
        <f t="shared" ca="1" si="18"/>
        <v>0</v>
      </c>
      <c r="Q105">
        <f t="shared" ca="1" si="19"/>
        <v>0</v>
      </c>
    </row>
    <row r="106" spans="1:17" x14ac:dyDescent="0.25">
      <c r="A106">
        <f t="shared" si="9"/>
        <v>105</v>
      </c>
      <c r="B106" s="212" t="s">
        <v>59</v>
      </c>
      <c r="C106" s="555">
        <v>2</v>
      </c>
      <c r="D106" t="s">
        <v>1472</v>
      </c>
      <c r="E106" t="s">
        <v>1426</v>
      </c>
      <c r="F106" s="494" t="str">
        <f>IF('PLAN PRODUCTION2'!S27="","",'PLAN PRODUCTION2'!S27)</f>
        <v/>
      </c>
      <c r="G106" s="494" t="str">
        <f>IF('PLAN PRODUCTION2'!T27="","",'PLAN PRODUCTION2'!T27)</f>
        <v/>
      </c>
      <c r="H106" t="str">
        <f t="shared" ca="1" si="20"/>
        <v>Plan Date Empty</v>
      </c>
      <c r="I106" t="str">
        <f t="shared" ca="1" si="11"/>
        <v/>
      </c>
      <c r="J106" t="str">
        <f t="shared" si="12"/>
        <v/>
      </c>
      <c r="K106" t="str">
        <f t="shared" si="13"/>
        <v/>
      </c>
      <c r="L106">
        <f t="shared" si="14"/>
        <v>0</v>
      </c>
      <c r="M106">
        <f t="shared" si="15"/>
        <v>0</v>
      </c>
      <c r="N106">
        <f t="shared" si="16"/>
        <v>0</v>
      </c>
      <c r="O106">
        <f t="shared" si="17"/>
        <v>1</v>
      </c>
      <c r="P106">
        <f t="shared" ca="1" si="18"/>
        <v>0</v>
      </c>
      <c r="Q106">
        <f t="shared" ca="1" si="19"/>
        <v>0</v>
      </c>
    </row>
    <row r="107" spans="1:17" x14ac:dyDescent="0.25">
      <c r="A107">
        <f t="shared" si="9"/>
        <v>106</v>
      </c>
      <c r="B107" s="212" t="s">
        <v>59</v>
      </c>
      <c r="C107" s="555">
        <v>2</v>
      </c>
      <c r="D107" t="s">
        <v>1473</v>
      </c>
      <c r="E107" t="s">
        <v>1426</v>
      </c>
      <c r="F107" s="494" t="str">
        <f>IF('PLAN PRODUCTION2'!U27="","",'PLAN PRODUCTION2'!U27)</f>
        <v/>
      </c>
      <c r="G107" s="494" t="str">
        <f>IF('PLAN PRODUCTION2'!V27="","",'PLAN PRODUCTION2'!V27)</f>
        <v/>
      </c>
      <c r="H107" t="str">
        <f t="shared" ca="1" si="20"/>
        <v>Plan Date Empty</v>
      </c>
      <c r="I107" t="str">
        <f t="shared" ca="1" si="11"/>
        <v/>
      </c>
      <c r="J107" t="str">
        <f t="shared" si="12"/>
        <v/>
      </c>
      <c r="K107" t="str">
        <f t="shared" si="13"/>
        <v/>
      </c>
      <c r="L107">
        <f t="shared" si="14"/>
        <v>0</v>
      </c>
      <c r="M107">
        <f t="shared" si="15"/>
        <v>0</v>
      </c>
      <c r="N107">
        <f t="shared" si="16"/>
        <v>0</v>
      </c>
      <c r="O107">
        <f t="shared" si="17"/>
        <v>1</v>
      </c>
      <c r="P107">
        <f t="shared" ca="1" si="18"/>
        <v>0</v>
      </c>
      <c r="Q107">
        <f t="shared" ca="1" si="19"/>
        <v>0</v>
      </c>
    </row>
    <row r="108" spans="1:17" x14ac:dyDescent="0.25">
      <c r="A108">
        <f t="shared" si="9"/>
        <v>107</v>
      </c>
      <c r="B108" s="212" t="s">
        <v>59</v>
      </c>
      <c r="C108" s="555">
        <v>2</v>
      </c>
      <c r="D108" t="s">
        <v>1474</v>
      </c>
      <c r="E108" t="s">
        <v>1426</v>
      </c>
      <c r="F108" s="494" t="str">
        <f>IF('PLAN PRODUCTION2'!W27="","",'PLAN PRODUCTION2'!W27)</f>
        <v/>
      </c>
      <c r="G108" s="494" t="str">
        <f>IF('PLAN PRODUCTION2'!X27="","",'PLAN PRODUCTION2'!X27)</f>
        <v/>
      </c>
      <c r="H108" t="str">
        <f t="shared" ca="1" si="20"/>
        <v>Plan Date Empty</v>
      </c>
      <c r="I108" t="str">
        <f t="shared" ca="1" si="11"/>
        <v/>
      </c>
      <c r="J108" t="str">
        <f t="shared" si="12"/>
        <v/>
      </c>
      <c r="K108" t="str">
        <f t="shared" si="13"/>
        <v/>
      </c>
      <c r="L108">
        <f t="shared" si="14"/>
        <v>0</v>
      </c>
      <c r="M108">
        <f t="shared" si="15"/>
        <v>0</v>
      </c>
      <c r="N108">
        <f t="shared" si="16"/>
        <v>0</v>
      </c>
      <c r="O108">
        <f t="shared" si="17"/>
        <v>1</v>
      </c>
      <c r="P108">
        <f t="shared" ca="1" si="18"/>
        <v>0</v>
      </c>
      <c r="Q108">
        <f t="shared" ca="1" si="19"/>
        <v>0</v>
      </c>
    </row>
    <row r="109" spans="1:17" x14ac:dyDescent="0.25">
      <c r="A109">
        <f t="shared" si="9"/>
        <v>108</v>
      </c>
      <c r="B109" s="212" t="s">
        <v>59</v>
      </c>
      <c r="C109" s="555">
        <v>2</v>
      </c>
      <c r="D109" t="s">
        <v>1475</v>
      </c>
      <c r="E109" t="s">
        <v>1426</v>
      </c>
      <c r="F109" s="494" t="str">
        <f>IF('PLAN PRODUCTION2'!Y27="","",'PLAN PRODUCTION2'!Y27)</f>
        <v/>
      </c>
      <c r="G109" s="494" t="str">
        <f>IF('PLAN PRODUCTION2'!Z27="","",'PLAN PRODUCTION2'!Z27)</f>
        <v/>
      </c>
      <c r="H109" t="str">
        <f t="shared" ca="1" si="20"/>
        <v>Plan Date Empty</v>
      </c>
      <c r="I109" t="str">
        <f t="shared" ca="1" si="11"/>
        <v/>
      </c>
      <c r="J109" t="str">
        <f t="shared" si="12"/>
        <v/>
      </c>
      <c r="K109" t="str">
        <f t="shared" si="13"/>
        <v/>
      </c>
      <c r="L109">
        <f t="shared" si="14"/>
        <v>0</v>
      </c>
      <c r="M109">
        <f t="shared" si="15"/>
        <v>0</v>
      </c>
      <c r="N109">
        <f t="shared" si="16"/>
        <v>0</v>
      </c>
      <c r="O109">
        <f t="shared" si="17"/>
        <v>1</v>
      </c>
      <c r="P109">
        <f t="shared" ca="1" si="18"/>
        <v>0</v>
      </c>
      <c r="Q109">
        <f t="shared" ca="1" si="19"/>
        <v>0</v>
      </c>
    </row>
    <row r="110" spans="1:17" x14ac:dyDescent="0.25">
      <c r="A110">
        <f t="shared" si="9"/>
        <v>109</v>
      </c>
      <c r="B110" s="212" t="s">
        <v>59</v>
      </c>
      <c r="C110" s="555">
        <v>2</v>
      </c>
      <c r="D110" t="s">
        <v>1476</v>
      </c>
      <c r="E110" t="s">
        <v>1426</v>
      </c>
      <c r="F110" s="494" t="str">
        <f>IF('PLAN PRODUCTION2'!AA27="","",'PLAN PRODUCTION2'!AA27)</f>
        <v/>
      </c>
      <c r="G110" s="494" t="str">
        <f>IF('PLAN PRODUCTION2'!AB27="","",'PLAN PRODUCTION2'!AB27)</f>
        <v/>
      </c>
      <c r="H110" t="str">
        <f t="shared" ca="1" si="20"/>
        <v>Plan Date Empty</v>
      </c>
      <c r="I110" t="str">
        <f t="shared" ca="1" si="11"/>
        <v/>
      </c>
      <c r="J110" t="str">
        <f t="shared" si="12"/>
        <v/>
      </c>
      <c r="K110" t="str">
        <f t="shared" si="13"/>
        <v/>
      </c>
      <c r="L110">
        <f t="shared" si="14"/>
        <v>0</v>
      </c>
      <c r="M110">
        <f t="shared" si="15"/>
        <v>0</v>
      </c>
      <c r="N110">
        <f t="shared" si="16"/>
        <v>0</v>
      </c>
      <c r="O110">
        <f t="shared" si="17"/>
        <v>1</v>
      </c>
      <c r="P110">
        <f t="shared" ca="1" si="18"/>
        <v>0</v>
      </c>
      <c r="Q110">
        <f t="shared" ca="1" si="19"/>
        <v>0</v>
      </c>
    </row>
    <row r="111" spans="1:17" x14ac:dyDescent="0.25">
      <c r="A111">
        <f t="shared" si="9"/>
        <v>110</v>
      </c>
      <c r="B111" s="212" t="s">
        <v>59</v>
      </c>
      <c r="C111" s="555">
        <v>2</v>
      </c>
      <c r="D111" t="s">
        <v>1477</v>
      </c>
      <c r="E111" t="s">
        <v>1422</v>
      </c>
      <c r="F111" s="494" t="str">
        <f>IF('PLAN PRODUCTION2'!AC27="","",'PLAN PRODUCTION2'!AC27)</f>
        <v/>
      </c>
      <c r="G111" s="494" t="str">
        <f>IF('PLAN PRODUCTION2'!AD27="","",'PLAN PRODUCTION2'!AD27)</f>
        <v/>
      </c>
      <c r="H111" t="str">
        <f t="shared" ca="1" si="20"/>
        <v>Plan Date Empty</v>
      </c>
      <c r="I111" t="str">
        <f t="shared" ca="1" si="11"/>
        <v/>
      </c>
      <c r="J111" t="str">
        <f t="shared" si="12"/>
        <v/>
      </c>
      <c r="K111" t="str">
        <f t="shared" si="13"/>
        <v/>
      </c>
      <c r="L111">
        <f t="shared" si="14"/>
        <v>0</v>
      </c>
      <c r="M111">
        <f t="shared" si="15"/>
        <v>0</v>
      </c>
      <c r="N111">
        <f t="shared" si="16"/>
        <v>0</v>
      </c>
      <c r="O111">
        <f t="shared" si="17"/>
        <v>1</v>
      </c>
      <c r="P111">
        <f t="shared" ca="1" si="18"/>
        <v>0</v>
      </c>
      <c r="Q111">
        <f t="shared" ca="1" si="19"/>
        <v>0</v>
      </c>
    </row>
    <row r="112" spans="1:17" x14ac:dyDescent="0.25">
      <c r="A112">
        <f t="shared" si="9"/>
        <v>111</v>
      </c>
      <c r="B112" s="212" t="s">
        <v>59</v>
      </c>
      <c r="C112" s="555">
        <v>2</v>
      </c>
      <c r="D112" t="s">
        <v>1478</v>
      </c>
      <c r="E112" t="s">
        <v>1429</v>
      </c>
      <c r="F112" s="494" t="str">
        <f>IF('PLAN PRODUCTION2'!AE27="","",'PLAN PRODUCTION2'!AE27)</f>
        <v/>
      </c>
      <c r="G112" s="494" t="str">
        <f>IF('PLAN PRODUCTION2'!AF27="","",'PLAN PRODUCTION2'!AF27)</f>
        <v/>
      </c>
      <c r="H112" t="str">
        <f t="shared" ca="1" si="20"/>
        <v>Plan Date Empty</v>
      </c>
      <c r="I112" t="str">
        <f t="shared" ca="1" si="11"/>
        <v/>
      </c>
      <c r="J112" t="str">
        <f t="shared" si="12"/>
        <v/>
      </c>
      <c r="K112" t="str">
        <f t="shared" si="13"/>
        <v/>
      </c>
      <c r="L112">
        <f t="shared" si="14"/>
        <v>0</v>
      </c>
      <c r="M112">
        <f t="shared" si="15"/>
        <v>0</v>
      </c>
      <c r="N112">
        <f t="shared" si="16"/>
        <v>0</v>
      </c>
      <c r="O112">
        <f t="shared" si="17"/>
        <v>1</v>
      </c>
      <c r="P112">
        <f t="shared" ca="1" si="18"/>
        <v>0</v>
      </c>
      <c r="Q112">
        <f t="shared" ca="1" si="19"/>
        <v>0</v>
      </c>
    </row>
    <row r="113" spans="1:17" x14ac:dyDescent="0.25">
      <c r="A113">
        <f t="shared" si="9"/>
        <v>112</v>
      </c>
      <c r="B113" s="212" t="s">
        <v>59</v>
      </c>
      <c r="C113" s="555">
        <v>2</v>
      </c>
      <c r="D113" t="s">
        <v>1479</v>
      </c>
      <c r="E113" t="s">
        <v>1429</v>
      </c>
      <c r="F113" s="494" t="str">
        <f>IF('PLAN PRODUCTION2'!AG27="","",'PLAN PRODUCTION2'!AG27)</f>
        <v/>
      </c>
      <c r="G113" s="494" t="str">
        <f>IF('PLAN PRODUCTION2'!AH27="","",'PLAN PRODUCTION2'!AH27)</f>
        <v/>
      </c>
      <c r="H113" t="str">
        <f t="shared" ca="1" si="20"/>
        <v>Plan Date Empty</v>
      </c>
      <c r="I113" t="str">
        <f t="shared" ca="1" si="11"/>
        <v/>
      </c>
      <c r="J113" t="str">
        <f t="shared" si="12"/>
        <v/>
      </c>
      <c r="K113" t="str">
        <f t="shared" si="13"/>
        <v/>
      </c>
      <c r="L113">
        <f t="shared" si="14"/>
        <v>0</v>
      </c>
      <c r="M113">
        <f t="shared" si="15"/>
        <v>0</v>
      </c>
      <c r="N113">
        <f t="shared" si="16"/>
        <v>0</v>
      </c>
      <c r="O113">
        <f t="shared" si="17"/>
        <v>1</v>
      </c>
      <c r="P113">
        <f t="shared" ca="1" si="18"/>
        <v>0</v>
      </c>
      <c r="Q113">
        <f t="shared" ca="1" si="19"/>
        <v>0</v>
      </c>
    </row>
    <row r="114" spans="1:17" x14ac:dyDescent="0.25">
      <c r="A114">
        <f t="shared" si="9"/>
        <v>113</v>
      </c>
      <c r="B114" s="212" t="s">
        <v>60</v>
      </c>
      <c r="C114" s="555">
        <v>25</v>
      </c>
      <c r="D114" t="s">
        <v>1466</v>
      </c>
      <c r="E114" t="s">
        <v>1420</v>
      </c>
      <c r="F114" s="494">
        <f>IF('PLAN PRODUCTION2'!E28="","",'PLAN PRODUCTION2'!E28)</f>
        <v>46202</v>
      </c>
      <c r="G114" s="494" t="str">
        <f>IF('PLAN PRODUCTION2'!F28="","",'PLAN PRODUCTION2'!F28)</f>
        <v/>
      </c>
      <c r="H114" t="str">
        <f t="shared" ca="1" si="20"/>
        <v>Not Done - Overdue</v>
      </c>
      <c r="I114">
        <f t="shared" ca="1" si="11"/>
        <v>50</v>
      </c>
      <c r="J114">
        <f t="shared" si="12"/>
        <v>27</v>
      </c>
      <c r="K114" t="str">
        <f t="shared" si="13"/>
        <v>Minggu 27 (2026)</v>
      </c>
      <c r="L114">
        <f t="shared" si="14"/>
        <v>0</v>
      </c>
      <c r="M114">
        <f t="shared" si="15"/>
        <v>0</v>
      </c>
      <c r="N114">
        <f t="shared" si="16"/>
        <v>0</v>
      </c>
      <c r="O114">
        <f t="shared" si="17"/>
        <v>1</v>
      </c>
      <c r="P114">
        <f t="shared" ca="1" si="18"/>
        <v>1</v>
      </c>
      <c r="Q114">
        <f t="shared" ca="1" si="19"/>
        <v>50</v>
      </c>
    </row>
    <row r="115" spans="1:17" x14ac:dyDescent="0.25">
      <c r="A115">
        <f t="shared" si="9"/>
        <v>114</v>
      </c>
      <c r="B115" s="212" t="s">
        <v>60</v>
      </c>
      <c r="C115" s="555">
        <v>25</v>
      </c>
      <c r="D115" t="s">
        <v>1467</v>
      </c>
      <c r="E115" t="s">
        <v>1420</v>
      </c>
      <c r="F115" s="494" t="str">
        <f>IF('PLAN PRODUCTION2'!I28="","",'PLAN PRODUCTION2'!I28)</f>
        <v/>
      </c>
      <c r="G115" s="494" t="str">
        <f>IF('PLAN PRODUCTION2'!J28="","",'PLAN PRODUCTION2'!J28)</f>
        <v/>
      </c>
      <c r="H115" t="str">
        <f t="shared" ca="1" si="20"/>
        <v>Plan Date Empty</v>
      </c>
      <c r="I115" t="str">
        <f t="shared" ca="1" si="11"/>
        <v/>
      </c>
      <c r="J115" t="str">
        <f t="shared" si="12"/>
        <v/>
      </c>
      <c r="K115" t="str">
        <f t="shared" si="13"/>
        <v/>
      </c>
      <c r="L115">
        <f t="shared" si="14"/>
        <v>0</v>
      </c>
      <c r="M115">
        <f t="shared" si="15"/>
        <v>0</v>
      </c>
      <c r="N115">
        <f t="shared" si="16"/>
        <v>0</v>
      </c>
      <c r="O115">
        <f t="shared" si="17"/>
        <v>1</v>
      </c>
      <c r="P115">
        <f t="shared" ca="1" si="18"/>
        <v>0</v>
      </c>
      <c r="Q115">
        <f t="shared" ca="1" si="19"/>
        <v>0</v>
      </c>
    </row>
    <row r="116" spans="1:17" x14ac:dyDescent="0.25">
      <c r="A116">
        <f t="shared" si="9"/>
        <v>115</v>
      </c>
      <c r="B116" s="212" t="s">
        <v>60</v>
      </c>
      <c r="C116" s="555">
        <v>25</v>
      </c>
      <c r="D116" t="s">
        <v>1468</v>
      </c>
      <c r="E116" t="s">
        <v>1420</v>
      </c>
      <c r="F116" s="494" t="str">
        <f>IF('PLAN PRODUCTION2'!K28="","",'PLAN PRODUCTION2'!K28)</f>
        <v/>
      </c>
      <c r="G116" s="494" t="str">
        <f>IF('PLAN PRODUCTION2'!L28="","",'PLAN PRODUCTION2'!L28)</f>
        <v/>
      </c>
      <c r="H116" t="str">
        <f t="shared" ca="1" si="20"/>
        <v>Plan Date Empty</v>
      </c>
      <c r="I116" t="str">
        <f t="shared" ref="I116:I127" ca="1" si="21">IF(AND(F116&lt;&gt;"",G116&lt;&gt;""),G116-F116,IF(AND(F116&lt;&gt;"",G116="",TODAY()&gt;F116),TODAY()-F116,""))</f>
        <v/>
      </c>
      <c r="J116" t="str">
        <f t="shared" ref="J116:J127" si="22">IF(F116="","",INT(((F116-DATE(YEAR(F116),1,1)+1)+WEEKDAY(DATE(YEAR(F116),1,1),2)-2)/7)+1)</f>
        <v/>
      </c>
      <c r="K116" t="str">
        <f t="shared" ref="K116:K127" si="23">IF(F116="","","Minggu "&amp;J116&amp;" ("&amp;YEAR(F116)&amp;")")</f>
        <v/>
      </c>
      <c r="L116">
        <f t="shared" ref="L116:L127" si="24">IF(G116&lt;&gt;"",1,0)</f>
        <v>0</v>
      </c>
      <c r="M116">
        <f t="shared" ref="M116:M127" si="25">IF(AND(G116&lt;&gt;"",G116&lt;=F116),1,0)</f>
        <v>0</v>
      </c>
      <c r="N116">
        <f t="shared" ref="N116:N127" si="26">IF(AND(G116&lt;&gt;"",G116&gt;F116),1,0)</f>
        <v>0</v>
      </c>
      <c r="O116">
        <f t="shared" ref="O116:O127" si="27">IF(G116="",1,0)</f>
        <v>1</v>
      </c>
      <c r="P116">
        <f t="shared" ref="P116:P127" ca="1" si="28">IF(AND(G116="",F116&lt;&gt;"",TODAY()&gt;F116),1,0)</f>
        <v>0</v>
      </c>
      <c r="Q116">
        <f t="shared" ref="Q116:Q127" ca="1" si="29">IF(I116="",0,I116)</f>
        <v>0</v>
      </c>
    </row>
    <row r="117" spans="1:17" x14ac:dyDescent="0.25">
      <c r="A117">
        <f t="shared" si="9"/>
        <v>116</v>
      </c>
      <c r="B117" s="212" t="s">
        <v>60</v>
      </c>
      <c r="C117" s="555">
        <v>25</v>
      </c>
      <c r="D117" t="s">
        <v>1469</v>
      </c>
      <c r="E117" t="s">
        <v>1422</v>
      </c>
      <c r="F117" s="494" t="str">
        <f>IF('PLAN PRODUCTION2'!M28="","",'PLAN PRODUCTION2'!M28)</f>
        <v/>
      </c>
      <c r="G117" s="494" t="str">
        <f>IF('PLAN PRODUCTION2'!N28="","",'PLAN PRODUCTION2'!N28)</f>
        <v/>
      </c>
      <c r="H117" t="str">
        <f t="shared" ref="H117:H180" ca="1" si="30">IF(F117="","Plan Date Empty",IF(G117&lt;&gt;"",IF(G117&lt;=F117,"Completed - On Time","Not Done - Overdue"),IF(TODAY()&gt;F117,"Not Done - Overdue","Not Done - On Schedule")))</f>
        <v>Plan Date Empty</v>
      </c>
      <c r="I117" t="str">
        <f t="shared" ca="1" si="21"/>
        <v/>
      </c>
      <c r="J117" t="str">
        <f t="shared" si="22"/>
        <v/>
      </c>
      <c r="K117" t="str">
        <f t="shared" si="23"/>
        <v/>
      </c>
      <c r="L117">
        <f t="shared" si="24"/>
        <v>0</v>
      </c>
      <c r="M117">
        <f t="shared" si="25"/>
        <v>0</v>
      </c>
      <c r="N117">
        <f t="shared" si="26"/>
        <v>0</v>
      </c>
      <c r="O117">
        <f t="shared" si="27"/>
        <v>1</v>
      </c>
      <c r="P117">
        <f t="shared" ca="1" si="28"/>
        <v>0</v>
      </c>
      <c r="Q117">
        <f t="shared" ca="1" si="29"/>
        <v>0</v>
      </c>
    </row>
    <row r="118" spans="1:17" x14ac:dyDescent="0.25">
      <c r="A118">
        <f t="shared" si="9"/>
        <v>117</v>
      </c>
      <c r="B118" s="212" t="s">
        <v>60</v>
      </c>
      <c r="C118" s="555">
        <v>25</v>
      </c>
      <c r="D118" t="s">
        <v>1470</v>
      </c>
      <c r="E118" t="s">
        <v>1422</v>
      </c>
      <c r="F118" s="494" t="str">
        <f>IF('PLAN PRODUCTION2'!O28="","",'PLAN PRODUCTION2'!O28)</f>
        <v/>
      </c>
      <c r="G118" s="494" t="str">
        <f>IF('PLAN PRODUCTION2'!P28="","",'PLAN PRODUCTION2'!P28)</f>
        <v/>
      </c>
      <c r="H118" t="str">
        <f t="shared" ca="1" si="30"/>
        <v>Plan Date Empty</v>
      </c>
      <c r="I118" t="str">
        <f t="shared" ca="1" si="21"/>
        <v/>
      </c>
      <c r="J118" t="str">
        <f t="shared" si="22"/>
        <v/>
      </c>
      <c r="K118" t="str">
        <f t="shared" si="23"/>
        <v/>
      </c>
      <c r="L118">
        <f t="shared" si="24"/>
        <v>0</v>
      </c>
      <c r="M118">
        <f t="shared" si="25"/>
        <v>0</v>
      </c>
      <c r="N118">
        <f t="shared" si="26"/>
        <v>0</v>
      </c>
      <c r="O118">
        <f t="shared" si="27"/>
        <v>1</v>
      </c>
      <c r="P118">
        <f t="shared" ca="1" si="28"/>
        <v>0</v>
      </c>
      <c r="Q118">
        <f t="shared" ca="1" si="29"/>
        <v>0</v>
      </c>
    </row>
    <row r="119" spans="1:17" x14ac:dyDescent="0.25">
      <c r="A119">
        <f t="shared" si="9"/>
        <v>118</v>
      </c>
      <c r="B119" s="212" t="s">
        <v>60</v>
      </c>
      <c r="C119" s="555">
        <v>25</v>
      </c>
      <c r="D119" t="s">
        <v>1471</v>
      </c>
      <c r="E119" t="s">
        <v>1424</v>
      </c>
      <c r="F119" s="494" t="str">
        <f>IF('PLAN PRODUCTION2'!Q28="","",'PLAN PRODUCTION2'!Q28)</f>
        <v/>
      </c>
      <c r="G119" s="494" t="str">
        <f>IF('PLAN PRODUCTION2'!R28="","",'PLAN PRODUCTION2'!R28)</f>
        <v/>
      </c>
      <c r="H119" t="str">
        <f t="shared" ca="1" si="30"/>
        <v>Plan Date Empty</v>
      </c>
      <c r="I119" t="str">
        <f t="shared" ca="1" si="21"/>
        <v/>
      </c>
      <c r="J119" t="str">
        <f t="shared" si="22"/>
        <v/>
      </c>
      <c r="K119" t="str">
        <f t="shared" si="23"/>
        <v/>
      </c>
      <c r="L119">
        <f t="shared" si="24"/>
        <v>0</v>
      </c>
      <c r="M119">
        <f t="shared" si="25"/>
        <v>0</v>
      </c>
      <c r="N119">
        <f t="shared" si="26"/>
        <v>0</v>
      </c>
      <c r="O119">
        <f t="shared" si="27"/>
        <v>1</v>
      </c>
      <c r="P119">
        <f t="shared" ca="1" si="28"/>
        <v>0</v>
      </c>
      <c r="Q119">
        <f t="shared" ca="1" si="29"/>
        <v>0</v>
      </c>
    </row>
    <row r="120" spans="1:17" x14ac:dyDescent="0.25">
      <c r="A120">
        <f t="shared" si="9"/>
        <v>119</v>
      </c>
      <c r="B120" s="212" t="s">
        <v>60</v>
      </c>
      <c r="C120" s="555">
        <v>25</v>
      </c>
      <c r="D120" t="s">
        <v>1472</v>
      </c>
      <c r="E120" t="s">
        <v>1426</v>
      </c>
      <c r="F120" s="494" t="str">
        <f>IF('PLAN PRODUCTION2'!S28="","",'PLAN PRODUCTION2'!S28)</f>
        <v/>
      </c>
      <c r="G120" s="494" t="str">
        <f>IF('PLAN PRODUCTION2'!T28="","",'PLAN PRODUCTION2'!T28)</f>
        <v/>
      </c>
      <c r="H120" t="str">
        <f t="shared" ca="1" si="30"/>
        <v>Plan Date Empty</v>
      </c>
      <c r="I120" t="str">
        <f t="shared" ca="1" si="21"/>
        <v/>
      </c>
      <c r="J120" t="str">
        <f t="shared" si="22"/>
        <v/>
      </c>
      <c r="K120" t="str">
        <f t="shared" si="23"/>
        <v/>
      </c>
      <c r="L120">
        <f t="shared" si="24"/>
        <v>0</v>
      </c>
      <c r="M120">
        <f t="shared" si="25"/>
        <v>0</v>
      </c>
      <c r="N120">
        <f t="shared" si="26"/>
        <v>0</v>
      </c>
      <c r="O120">
        <f t="shared" si="27"/>
        <v>1</v>
      </c>
      <c r="P120">
        <f t="shared" ca="1" si="28"/>
        <v>0</v>
      </c>
      <c r="Q120">
        <f t="shared" ca="1" si="29"/>
        <v>0</v>
      </c>
    </row>
    <row r="121" spans="1:17" x14ac:dyDescent="0.25">
      <c r="A121">
        <f t="shared" si="9"/>
        <v>120</v>
      </c>
      <c r="B121" s="212" t="s">
        <v>60</v>
      </c>
      <c r="C121" s="555">
        <v>25</v>
      </c>
      <c r="D121" t="s">
        <v>1473</v>
      </c>
      <c r="E121" t="s">
        <v>1426</v>
      </c>
      <c r="F121" s="494" t="str">
        <f>IF('PLAN PRODUCTION2'!U28="","",'PLAN PRODUCTION2'!U28)</f>
        <v/>
      </c>
      <c r="G121" s="494" t="str">
        <f>IF('PLAN PRODUCTION2'!V28="","",'PLAN PRODUCTION2'!V28)</f>
        <v/>
      </c>
      <c r="H121" t="str">
        <f t="shared" ca="1" si="30"/>
        <v>Plan Date Empty</v>
      </c>
      <c r="I121" t="str">
        <f t="shared" ca="1" si="21"/>
        <v/>
      </c>
      <c r="J121" t="str">
        <f t="shared" si="22"/>
        <v/>
      </c>
      <c r="K121" t="str">
        <f t="shared" si="23"/>
        <v/>
      </c>
      <c r="L121">
        <f t="shared" si="24"/>
        <v>0</v>
      </c>
      <c r="M121">
        <f t="shared" si="25"/>
        <v>0</v>
      </c>
      <c r="N121">
        <f t="shared" si="26"/>
        <v>0</v>
      </c>
      <c r="O121">
        <f t="shared" si="27"/>
        <v>1</v>
      </c>
      <c r="P121">
        <f t="shared" ca="1" si="28"/>
        <v>0</v>
      </c>
      <c r="Q121">
        <f t="shared" ca="1" si="29"/>
        <v>0</v>
      </c>
    </row>
    <row r="122" spans="1:17" x14ac:dyDescent="0.25">
      <c r="A122">
        <f t="shared" si="9"/>
        <v>121</v>
      </c>
      <c r="B122" s="212" t="s">
        <v>60</v>
      </c>
      <c r="C122" s="555">
        <v>25</v>
      </c>
      <c r="D122" t="s">
        <v>1474</v>
      </c>
      <c r="E122" t="s">
        <v>1426</v>
      </c>
      <c r="F122" s="494" t="str">
        <f>IF('PLAN PRODUCTION2'!W28="","",'PLAN PRODUCTION2'!W28)</f>
        <v/>
      </c>
      <c r="G122" s="494" t="str">
        <f>IF('PLAN PRODUCTION2'!X28="","",'PLAN PRODUCTION2'!X28)</f>
        <v/>
      </c>
      <c r="H122" t="str">
        <f t="shared" ca="1" si="30"/>
        <v>Plan Date Empty</v>
      </c>
      <c r="I122" t="str">
        <f t="shared" ca="1" si="21"/>
        <v/>
      </c>
      <c r="J122" t="str">
        <f t="shared" si="22"/>
        <v/>
      </c>
      <c r="K122" t="str">
        <f t="shared" si="23"/>
        <v/>
      </c>
      <c r="L122">
        <f t="shared" si="24"/>
        <v>0</v>
      </c>
      <c r="M122">
        <f t="shared" si="25"/>
        <v>0</v>
      </c>
      <c r="N122">
        <f t="shared" si="26"/>
        <v>0</v>
      </c>
      <c r="O122">
        <f t="shared" si="27"/>
        <v>1</v>
      </c>
      <c r="P122">
        <f t="shared" ca="1" si="28"/>
        <v>0</v>
      </c>
      <c r="Q122">
        <f t="shared" ca="1" si="29"/>
        <v>0</v>
      </c>
    </row>
    <row r="123" spans="1:17" x14ac:dyDescent="0.25">
      <c r="A123">
        <f t="shared" si="9"/>
        <v>122</v>
      </c>
      <c r="B123" s="212" t="s">
        <v>60</v>
      </c>
      <c r="C123" s="555">
        <v>25</v>
      </c>
      <c r="D123" t="s">
        <v>1475</v>
      </c>
      <c r="E123" t="s">
        <v>1426</v>
      </c>
      <c r="F123" s="494" t="str">
        <f>IF('PLAN PRODUCTION2'!Y28="","",'PLAN PRODUCTION2'!Y28)</f>
        <v/>
      </c>
      <c r="G123" s="494" t="str">
        <f>IF('PLAN PRODUCTION2'!Z28="","",'PLAN PRODUCTION2'!Z28)</f>
        <v/>
      </c>
      <c r="H123" t="str">
        <f t="shared" ca="1" si="30"/>
        <v>Plan Date Empty</v>
      </c>
      <c r="I123" t="str">
        <f t="shared" ca="1" si="21"/>
        <v/>
      </c>
      <c r="J123" t="str">
        <f t="shared" si="22"/>
        <v/>
      </c>
      <c r="K123" t="str">
        <f t="shared" si="23"/>
        <v/>
      </c>
      <c r="L123">
        <f t="shared" si="24"/>
        <v>0</v>
      </c>
      <c r="M123">
        <f t="shared" si="25"/>
        <v>0</v>
      </c>
      <c r="N123">
        <f t="shared" si="26"/>
        <v>0</v>
      </c>
      <c r="O123">
        <f t="shared" si="27"/>
        <v>1</v>
      </c>
      <c r="P123">
        <f t="shared" ca="1" si="28"/>
        <v>0</v>
      </c>
      <c r="Q123">
        <f t="shared" ca="1" si="29"/>
        <v>0</v>
      </c>
    </row>
    <row r="124" spans="1:17" x14ac:dyDescent="0.25">
      <c r="A124">
        <f t="shared" si="9"/>
        <v>123</v>
      </c>
      <c r="B124" s="212" t="s">
        <v>60</v>
      </c>
      <c r="C124" s="555">
        <v>25</v>
      </c>
      <c r="D124" t="s">
        <v>1476</v>
      </c>
      <c r="E124" t="s">
        <v>1426</v>
      </c>
      <c r="F124" s="494" t="str">
        <f>IF('PLAN PRODUCTION2'!AA28="","",'PLAN PRODUCTION2'!AA28)</f>
        <v/>
      </c>
      <c r="G124" s="494" t="str">
        <f>IF('PLAN PRODUCTION2'!AB28="","",'PLAN PRODUCTION2'!AB28)</f>
        <v/>
      </c>
      <c r="H124" t="str">
        <f t="shared" ca="1" si="30"/>
        <v>Plan Date Empty</v>
      </c>
      <c r="I124" t="str">
        <f t="shared" ca="1" si="21"/>
        <v/>
      </c>
      <c r="J124" t="str">
        <f t="shared" si="22"/>
        <v/>
      </c>
      <c r="K124" t="str">
        <f t="shared" si="23"/>
        <v/>
      </c>
      <c r="L124">
        <f t="shared" si="24"/>
        <v>0</v>
      </c>
      <c r="M124">
        <f t="shared" si="25"/>
        <v>0</v>
      </c>
      <c r="N124">
        <f t="shared" si="26"/>
        <v>0</v>
      </c>
      <c r="O124">
        <f t="shared" si="27"/>
        <v>1</v>
      </c>
      <c r="P124">
        <f t="shared" ca="1" si="28"/>
        <v>0</v>
      </c>
      <c r="Q124">
        <f t="shared" ca="1" si="29"/>
        <v>0</v>
      </c>
    </row>
    <row r="125" spans="1:17" x14ac:dyDescent="0.25">
      <c r="A125">
        <f t="shared" si="9"/>
        <v>124</v>
      </c>
      <c r="B125" s="212" t="s">
        <v>60</v>
      </c>
      <c r="C125" s="555">
        <v>25</v>
      </c>
      <c r="D125" t="s">
        <v>1477</v>
      </c>
      <c r="E125" t="s">
        <v>1422</v>
      </c>
      <c r="F125" s="494" t="str">
        <f>IF('PLAN PRODUCTION2'!AC28="","",'PLAN PRODUCTION2'!AC28)</f>
        <v/>
      </c>
      <c r="G125" s="494" t="str">
        <f>IF('PLAN PRODUCTION2'!AD28="","",'PLAN PRODUCTION2'!AD28)</f>
        <v/>
      </c>
      <c r="H125" t="str">
        <f t="shared" ca="1" si="30"/>
        <v>Plan Date Empty</v>
      </c>
      <c r="I125" t="str">
        <f t="shared" ca="1" si="21"/>
        <v/>
      </c>
      <c r="J125" t="str">
        <f t="shared" si="22"/>
        <v/>
      </c>
      <c r="K125" t="str">
        <f t="shared" si="23"/>
        <v/>
      </c>
      <c r="L125">
        <f t="shared" si="24"/>
        <v>0</v>
      </c>
      <c r="M125">
        <f t="shared" si="25"/>
        <v>0</v>
      </c>
      <c r="N125">
        <f t="shared" si="26"/>
        <v>0</v>
      </c>
      <c r="O125">
        <f t="shared" si="27"/>
        <v>1</v>
      </c>
      <c r="P125">
        <f t="shared" ca="1" si="28"/>
        <v>0</v>
      </c>
      <c r="Q125">
        <f t="shared" ca="1" si="29"/>
        <v>0</v>
      </c>
    </row>
    <row r="126" spans="1:17" x14ac:dyDescent="0.25">
      <c r="A126">
        <f t="shared" si="9"/>
        <v>125</v>
      </c>
      <c r="B126" s="212" t="s">
        <v>60</v>
      </c>
      <c r="C126" s="555">
        <v>25</v>
      </c>
      <c r="D126" t="s">
        <v>1478</v>
      </c>
      <c r="E126" t="s">
        <v>1429</v>
      </c>
      <c r="F126" s="494" t="str">
        <f>IF('PLAN PRODUCTION2'!AE28="","",'PLAN PRODUCTION2'!AE28)</f>
        <v/>
      </c>
      <c r="G126" s="494" t="str">
        <f>IF('PLAN PRODUCTION2'!AF28="","",'PLAN PRODUCTION2'!AF28)</f>
        <v/>
      </c>
      <c r="H126" t="str">
        <f t="shared" ca="1" si="30"/>
        <v>Plan Date Empty</v>
      </c>
      <c r="I126" t="str">
        <f t="shared" ca="1" si="21"/>
        <v/>
      </c>
      <c r="J126" t="str">
        <f t="shared" si="22"/>
        <v/>
      </c>
      <c r="K126" t="str">
        <f t="shared" si="23"/>
        <v/>
      </c>
      <c r="L126">
        <f t="shared" si="24"/>
        <v>0</v>
      </c>
      <c r="M126">
        <f t="shared" si="25"/>
        <v>0</v>
      </c>
      <c r="N126">
        <f t="shared" si="26"/>
        <v>0</v>
      </c>
      <c r="O126">
        <f t="shared" si="27"/>
        <v>1</v>
      </c>
      <c r="P126">
        <f t="shared" ca="1" si="28"/>
        <v>0</v>
      </c>
      <c r="Q126">
        <f t="shared" ca="1" si="29"/>
        <v>0</v>
      </c>
    </row>
    <row r="127" spans="1:17" x14ac:dyDescent="0.25">
      <c r="A127">
        <f t="shared" si="9"/>
        <v>126</v>
      </c>
      <c r="B127" s="212" t="s">
        <v>60</v>
      </c>
      <c r="C127" s="555">
        <v>25</v>
      </c>
      <c r="D127" t="s">
        <v>1479</v>
      </c>
      <c r="E127" t="s">
        <v>1429</v>
      </c>
      <c r="F127" s="494" t="str">
        <f>IF('PLAN PRODUCTION2'!AG28="","",'PLAN PRODUCTION2'!AG28)</f>
        <v/>
      </c>
      <c r="G127" s="494" t="str">
        <f>IF('PLAN PRODUCTION2'!AH28="","",'PLAN PRODUCTION2'!AH28)</f>
        <v/>
      </c>
      <c r="H127" t="str">
        <f t="shared" ca="1" si="30"/>
        <v>Plan Date Empty</v>
      </c>
      <c r="I127" t="str">
        <f t="shared" ca="1" si="21"/>
        <v/>
      </c>
      <c r="J127" t="str">
        <f t="shared" si="22"/>
        <v/>
      </c>
      <c r="K127" t="str">
        <f t="shared" si="23"/>
        <v/>
      </c>
      <c r="L127">
        <f t="shared" si="24"/>
        <v>0</v>
      </c>
      <c r="M127">
        <f t="shared" si="25"/>
        <v>0</v>
      </c>
      <c r="N127">
        <f t="shared" si="26"/>
        <v>0</v>
      </c>
      <c r="O127">
        <f t="shared" si="27"/>
        <v>1</v>
      </c>
      <c r="P127">
        <f t="shared" ca="1" si="28"/>
        <v>0</v>
      </c>
      <c r="Q127">
        <f t="shared" ca="1" si="29"/>
        <v>0</v>
      </c>
    </row>
    <row r="128" spans="1:17" x14ac:dyDescent="0.25">
      <c r="A128">
        <f t="shared" si="9"/>
        <v>127</v>
      </c>
      <c r="B128" s="212" t="s">
        <v>61</v>
      </c>
      <c r="C128" s="555">
        <v>74</v>
      </c>
      <c r="D128" t="s">
        <v>1466</v>
      </c>
      <c r="E128" t="s">
        <v>1420</v>
      </c>
      <c r="F128" s="494" t="str">
        <f>IF('PLAN PRODUCTION2'!E29="","",'PLAN PRODUCTION2'!E29)</f>
        <v/>
      </c>
      <c r="G128" s="494" t="str">
        <f>IF('PLAN PRODUCTION2'!F29="","",'PLAN PRODUCTION2'!F29)</f>
        <v/>
      </c>
      <c r="H128" t="str">
        <f t="shared" ca="1" si="30"/>
        <v>Plan Date Empty</v>
      </c>
      <c r="I128" t="str">
        <f t="shared" ref="I128" ca="1" si="31">IF(AND(F128&lt;&gt;"",G128&lt;&gt;""),G128-F128,IF(AND(F128&lt;&gt;"",G128="",TODAY()&gt;F128),TODAY()-F128,""))</f>
        <v/>
      </c>
      <c r="J128" t="str">
        <f t="shared" ref="J128" si="32">IF(F128="","",INT(((F128-DATE(YEAR(F128),1,1)+1)+WEEKDAY(DATE(YEAR(F128),1,1),2)-2)/7)+1)</f>
        <v/>
      </c>
      <c r="K128" t="str">
        <f t="shared" ref="K128" si="33">IF(F128="","","Minggu "&amp;J128&amp;" ("&amp;YEAR(F128)&amp;")")</f>
        <v/>
      </c>
      <c r="L128">
        <f t="shared" ref="L128" si="34">IF(G128&lt;&gt;"",1,0)</f>
        <v>0</v>
      </c>
      <c r="M128">
        <f t="shared" ref="M128" si="35">IF(AND(G128&lt;&gt;"",G128&lt;=F128),1,0)</f>
        <v>0</v>
      </c>
      <c r="N128">
        <f t="shared" ref="N128" si="36">IF(AND(G128&lt;&gt;"",G128&gt;F128),1,0)</f>
        <v>0</v>
      </c>
      <c r="O128">
        <f t="shared" ref="O128" si="37">IF(G128="",1,0)</f>
        <v>1</v>
      </c>
      <c r="P128">
        <f t="shared" ref="P128" ca="1" si="38">IF(AND(G128="",F128&lt;&gt;"",TODAY()&gt;F128),1,0)</f>
        <v>0</v>
      </c>
      <c r="Q128">
        <f t="shared" ref="Q128" ca="1" si="39">IF(I128="",0,I128)</f>
        <v>0</v>
      </c>
    </row>
    <row r="129" spans="1:17" x14ac:dyDescent="0.25">
      <c r="A129">
        <f t="shared" si="9"/>
        <v>128</v>
      </c>
      <c r="B129" s="212" t="s">
        <v>61</v>
      </c>
      <c r="C129" s="555">
        <v>74</v>
      </c>
      <c r="D129" t="s">
        <v>1467</v>
      </c>
      <c r="E129" t="s">
        <v>1420</v>
      </c>
      <c r="F129" s="494" t="str">
        <f>IF('PLAN PRODUCTION2'!I29="","",'PLAN PRODUCTION2'!I29)</f>
        <v/>
      </c>
      <c r="G129" s="494" t="str">
        <f>IF('PLAN PRODUCTION2'!J29="","",'PLAN PRODUCTION2'!J29)</f>
        <v/>
      </c>
      <c r="H129" t="str">
        <f t="shared" ca="1" si="30"/>
        <v>Plan Date Empty</v>
      </c>
      <c r="I129" t="str">
        <f t="shared" ref="I129:I192" ca="1" si="40">IF(AND(F129&lt;&gt;"",G129&lt;&gt;""),G129-F129,IF(AND(F129&lt;&gt;"",G129="",TODAY()&gt;F129),TODAY()-F129,""))</f>
        <v/>
      </c>
      <c r="J129" t="str">
        <f t="shared" ref="J129:J192" si="41">IF(F129="","",INT(((F129-DATE(YEAR(F129),1,1)+1)+WEEKDAY(DATE(YEAR(F129),1,1),2)-2)/7)+1)</f>
        <v/>
      </c>
      <c r="K129" t="str">
        <f t="shared" ref="K129:K192" si="42">IF(F129="","","Minggu "&amp;J129&amp;" ("&amp;YEAR(F129)&amp;")")</f>
        <v/>
      </c>
      <c r="L129">
        <f t="shared" ref="L129:L192" si="43">IF(G129&lt;&gt;"",1,0)</f>
        <v>0</v>
      </c>
      <c r="M129">
        <f t="shared" ref="M129:M192" si="44">IF(AND(G129&lt;&gt;"",G129&lt;=F129),1,0)</f>
        <v>0</v>
      </c>
      <c r="N129">
        <f t="shared" ref="N129:N192" si="45">IF(AND(G129&lt;&gt;"",G129&gt;F129),1,0)</f>
        <v>0</v>
      </c>
      <c r="O129">
        <f t="shared" ref="O129:O192" si="46">IF(G129="",1,0)</f>
        <v>1</v>
      </c>
      <c r="P129">
        <f t="shared" ref="P129:P192" ca="1" si="47">IF(AND(G129="",F129&lt;&gt;"",TODAY()&gt;F129),1,0)</f>
        <v>0</v>
      </c>
      <c r="Q129">
        <f t="shared" ref="Q129:Q192" ca="1" si="48">IF(I129="",0,I129)</f>
        <v>0</v>
      </c>
    </row>
    <row r="130" spans="1:17" x14ac:dyDescent="0.25">
      <c r="A130">
        <f t="shared" si="9"/>
        <v>129</v>
      </c>
      <c r="B130" s="212" t="s">
        <v>61</v>
      </c>
      <c r="C130" s="555">
        <v>74</v>
      </c>
      <c r="D130" t="s">
        <v>1468</v>
      </c>
      <c r="E130" t="s">
        <v>1420</v>
      </c>
      <c r="F130" s="494" t="str">
        <f>IF('PLAN PRODUCTION2'!K29="","",'PLAN PRODUCTION2'!K29)</f>
        <v/>
      </c>
      <c r="G130" s="494" t="str">
        <f>IF('PLAN PRODUCTION2'!L29="","",'PLAN PRODUCTION2'!L29)</f>
        <v/>
      </c>
      <c r="H130" t="str">
        <f t="shared" ca="1" si="30"/>
        <v>Plan Date Empty</v>
      </c>
      <c r="I130" t="str">
        <f t="shared" ca="1" si="40"/>
        <v/>
      </c>
      <c r="J130" t="str">
        <f t="shared" si="41"/>
        <v/>
      </c>
      <c r="K130" t="str">
        <f t="shared" si="42"/>
        <v/>
      </c>
      <c r="L130">
        <f t="shared" si="43"/>
        <v>0</v>
      </c>
      <c r="M130">
        <f t="shared" si="44"/>
        <v>0</v>
      </c>
      <c r="N130">
        <f t="shared" si="45"/>
        <v>0</v>
      </c>
      <c r="O130">
        <f t="shared" si="46"/>
        <v>1</v>
      </c>
      <c r="P130">
        <f t="shared" ca="1" si="47"/>
        <v>0</v>
      </c>
      <c r="Q130">
        <f t="shared" ca="1" si="48"/>
        <v>0</v>
      </c>
    </row>
    <row r="131" spans="1:17" x14ac:dyDescent="0.25">
      <c r="A131">
        <f t="shared" si="9"/>
        <v>130</v>
      </c>
      <c r="B131" s="212" t="s">
        <v>61</v>
      </c>
      <c r="C131" s="555">
        <v>74</v>
      </c>
      <c r="D131" t="s">
        <v>1469</v>
      </c>
      <c r="E131" t="s">
        <v>1422</v>
      </c>
      <c r="F131" s="494" t="str">
        <f>IF('PLAN PRODUCTION2'!M29="","",'PLAN PRODUCTION2'!M29)</f>
        <v/>
      </c>
      <c r="G131" s="494" t="str">
        <f>IF('PLAN PRODUCTION2'!N29="","",'PLAN PRODUCTION2'!N29)</f>
        <v/>
      </c>
      <c r="H131" t="str">
        <f t="shared" ca="1" si="30"/>
        <v>Plan Date Empty</v>
      </c>
      <c r="I131" t="str">
        <f t="shared" ca="1" si="40"/>
        <v/>
      </c>
      <c r="J131" t="str">
        <f t="shared" si="41"/>
        <v/>
      </c>
      <c r="K131" t="str">
        <f t="shared" si="42"/>
        <v/>
      </c>
      <c r="L131">
        <f t="shared" si="43"/>
        <v>0</v>
      </c>
      <c r="M131">
        <f t="shared" si="44"/>
        <v>0</v>
      </c>
      <c r="N131">
        <f t="shared" si="45"/>
        <v>0</v>
      </c>
      <c r="O131">
        <f t="shared" si="46"/>
        <v>1</v>
      </c>
      <c r="P131">
        <f t="shared" ca="1" si="47"/>
        <v>0</v>
      </c>
      <c r="Q131">
        <f t="shared" ca="1" si="48"/>
        <v>0</v>
      </c>
    </row>
    <row r="132" spans="1:17" x14ac:dyDescent="0.25">
      <c r="A132">
        <f t="shared" si="9"/>
        <v>131</v>
      </c>
      <c r="B132" s="212" t="s">
        <v>61</v>
      </c>
      <c r="C132" s="555">
        <v>74</v>
      </c>
      <c r="D132" t="s">
        <v>1470</v>
      </c>
      <c r="E132" t="s">
        <v>1422</v>
      </c>
      <c r="F132" s="494" t="str">
        <f>IF('PLAN PRODUCTION2'!O29="","",'PLAN PRODUCTION2'!O29)</f>
        <v/>
      </c>
      <c r="G132" s="494" t="str">
        <f>IF('PLAN PRODUCTION2'!P29="","",'PLAN PRODUCTION2'!P29)</f>
        <v/>
      </c>
      <c r="H132" t="str">
        <f t="shared" ca="1" si="30"/>
        <v>Plan Date Empty</v>
      </c>
      <c r="I132" t="str">
        <f t="shared" ca="1" si="40"/>
        <v/>
      </c>
      <c r="J132" t="str">
        <f t="shared" si="41"/>
        <v/>
      </c>
      <c r="K132" t="str">
        <f t="shared" si="42"/>
        <v/>
      </c>
      <c r="L132">
        <f t="shared" si="43"/>
        <v>0</v>
      </c>
      <c r="M132">
        <f t="shared" si="44"/>
        <v>0</v>
      </c>
      <c r="N132">
        <f t="shared" si="45"/>
        <v>0</v>
      </c>
      <c r="O132">
        <f t="shared" si="46"/>
        <v>1</v>
      </c>
      <c r="P132">
        <f t="shared" ca="1" si="47"/>
        <v>0</v>
      </c>
      <c r="Q132">
        <f t="shared" ca="1" si="48"/>
        <v>0</v>
      </c>
    </row>
    <row r="133" spans="1:17" x14ac:dyDescent="0.25">
      <c r="A133">
        <f t="shared" si="9"/>
        <v>132</v>
      </c>
      <c r="B133" s="212" t="s">
        <v>61</v>
      </c>
      <c r="C133" s="555">
        <v>74</v>
      </c>
      <c r="D133" t="s">
        <v>1471</v>
      </c>
      <c r="E133" t="s">
        <v>1424</v>
      </c>
      <c r="F133" s="494" t="str">
        <f>IF('PLAN PRODUCTION2'!Q29="","",'PLAN PRODUCTION2'!Q29)</f>
        <v/>
      </c>
      <c r="G133" s="494" t="str">
        <f>IF('PLAN PRODUCTION2'!R29="","",'PLAN PRODUCTION2'!R29)</f>
        <v/>
      </c>
      <c r="H133" t="str">
        <f t="shared" ca="1" si="30"/>
        <v>Plan Date Empty</v>
      </c>
      <c r="I133" t="str">
        <f t="shared" ca="1" si="40"/>
        <v/>
      </c>
      <c r="J133" t="str">
        <f t="shared" si="41"/>
        <v/>
      </c>
      <c r="K133" t="str">
        <f t="shared" si="42"/>
        <v/>
      </c>
      <c r="L133">
        <f t="shared" si="43"/>
        <v>0</v>
      </c>
      <c r="M133">
        <f t="shared" si="44"/>
        <v>0</v>
      </c>
      <c r="N133">
        <f t="shared" si="45"/>
        <v>0</v>
      </c>
      <c r="O133">
        <f t="shared" si="46"/>
        <v>1</v>
      </c>
      <c r="P133">
        <f t="shared" ca="1" si="47"/>
        <v>0</v>
      </c>
      <c r="Q133">
        <f t="shared" ca="1" si="48"/>
        <v>0</v>
      </c>
    </row>
    <row r="134" spans="1:17" x14ac:dyDescent="0.25">
      <c r="A134">
        <f t="shared" si="9"/>
        <v>133</v>
      </c>
      <c r="B134" s="212" t="s">
        <v>61</v>
      </c>
      <c r="C134" s="555">
        <v>74</v>
      </c>
      <c r="D134" t="s">
        <v>1472</v>
      </c>
      <c r="E134" t="s">
        <v>1426</v>
      </c>
      <c r="F134" s="494" t="str">
        <f>IF('PLAN PRODUCTION2'!S29="","",'PLAN PRODUCTION2'!S29)</f>
        <v/>
      </c>
      <c r="G134" s="494" t="str">
        <f>IF('PLAN PRODUCTION2'!T29="","",'PLAN PRODUCTION2'!T29)</f>
        <v/>
      </c>
      <c r="H134" t="str">
        <f t="shared" ca="1" si="30"/>
        <v>Plan Date Empty</v>
      </c>
      <c r="I134" t="str">
        <f t="shared" ca="1" si="40"/>
        <v/>
      </c>
      <c r="J134" t="str">
        <f t="shared" si="41"/>
        <v/>
      </c>
      <c r="K134" t="str">
        <f t="shared" si="42"/>
        <v/>
      </c>
      <c r="L134">
        <f t="shared" si="43"/>
        <v>0</v>
      </c>
      <c r="M134">
        <f t="shared" si="44"/>
        <v>0</v>
      </c>
      <c r="N134">
        <f t="shared" si="45"/>
        <v>0</v>
      </c>
      <c r="O134">
        <f t="shared" si="46"/>
        <v>1</v>
      </c>
      <c r="P134">
        <f t="shared" ca="1" si="47"/>
        <v>0</v>
      </c>
      <c r="Q134">
        <f t="shared" ca="1" si="48"/>
        <v>0</v>
      </c>
    </row>
    <row r="135" spans="1:17" x14ac:dyDescent="0.25">
      <c r="A135">
        <f t="shared" si="9"/>
        <v>134</v>
      </c>
      <c r="B135" s="212" t="s">
        <v>61</v>
      </c>
      <c r="C135" s="555">
        <v>74</v>
      </c>
      <c r="D135" t="s">
        <v>1473</v>
      </c>
      <c r="E135" t="s">
        <v>1426</v>
      </c>
      <c r="F135" s="494" t="str">
        <f>IF('PLAN PRODUCTION2'!U29="","",'PLAN PRODUCTION2'!U29)</f>
        <v/>
      </c>
      <c r="G135" s="494" t="str">
        <f>IF('PLAN PRODUCTION2'!V29="","",'PLAN PRODUCTION2'!V29)</f>
        <v/>
      </c>
      <c r="H135" t="str">
        <f t="shared" ca="1" si="30"/>
        <v>Plan Date Empty</v>
      </c>
      <c r="I135" t="str">
        <f t="shared" ca="1" si="40"/>
        <v/>
      </c>
      <c r="J135" t="str">
        <f t="shared" si="41"/>
        <v/>
      </c>
      <c r="K135" t="str">
        <f t="shared" si="42"/>
        <v/>
      </c>
      <c r="L135">
        <f t="shared" si="43"/>
        <v>0</v>
      </c>
      <c r="M135">
        <f t="shared" si="44"/>
        <v>0</v>
      </c>
      <c r="N135">
        <f t="shared" si="45"/>
        <v>0</v>
      </c>
      <c r="O135">
        <f t="shared" si="46"/>
        <v>1</v>
      </c>
      <c r="P135">
        <f t="shared" ca="1" si="47"/>
        <v>0</v>
      </c>
      <c r="Q135">
        <f t="shared" ca="1" si="48"/>
        <v>0</v>
      </c>
    </row>
    <row r="136" spans="1:17" x14ac:dyDescent="0.25">
      <c r="A136">
        <f t="shared" si="9"/>
        <v>135</v>
      </c>
      <c r="B136" s="212" t="s">
        <v>61</v>
      </c>
      <c r="C136" s="555">
        <v>74</v>
      </c>
      <c r="D136" t="s">
        <v>1474</v>
      </c>
      <c r="E136" t="s">
        <v>1426</v>
      </c>
      <c r="F136" s="494" t="str">
        <f>IF('PLAN PRODUCTION2'!W29="","",'PLAN PRODUCTION2'!W29)</f>
        <v/>
      </c>
      <c r="G136" s="494" t="str">
        <f>IF('PLAN PRODUCTION2'!X29="","",'PLAN PRODUCTION2'!X29)</f>
        <v/>
      </c>
      <c r="H136" t="str">
        <f t="shared" ca="1" si="30"/>
        <v>Plan Date Empty</v>
      </c>
      <c r="I136" t="str">
        <f t="shared" ca="1" si="40"/>
        <v/>
      </c>
      <c r="J136" t="str">
        <f t="shared" si="41"/>
        <v/>
      </c>
      <c r="K136" t="str">
        <f t="shared" si="42"/>
        <v/>
      </c>
      <c r="L136">
        <f t="shared" si="43"/>
        <v>0</v>
      </c>
      <c r="M136">
        <f t="shared" si="44"/>
        <v>0</v>
      </c>
      <c r="N136">
        <f t="shared" si="45"/>
        <v>0</v>
      </c>
      <c r="O136">
        <f t="shared" si="46"/>
        <v>1</v>
      </c>
      <c r="P136">
        <f t="shared" ca="1" si="47"/>
        <v>0</v>
      </c>
      <c r="Q136">
        <f t="shared" ca="1" si="48"/>
        <v>0</v>
      </c>
    </row>
    <row r="137" spans="1:17" x14ac:dyDescent="0.25">
      <c r="A137">
        <f t="shared" si="9"/>
        <v>136</v>
      </c>
      <c r="B137" s="212" t="s">
        <v>61</v>
      </c>
      <c r="C137" s="555">
        <v>74</v>
      </c>
      <c r="D137" t="s">
        <v>1475</v>
      </c>
      <c r="E137" t="s">
        <v>1426</v>
      </c>
      <c r="F137" s="494" t="str">
        <f>IF('PLAN PRODUCTION2'!Y29="","",'PLAN PRODUCTION2'!Y29)</f>
        <v/>
      </c>
      <c r="G137" s="494" t="str">
        <f>IF('PLAN PRODUCTION2'!Z29="","",'PLAN PRODUCTION2'!Z29)</f>
        <v/>
      </c>
      <c r="H137" t="str">
        <f t="shared" ca="1" si="30"/>
        <v>Plan Date Empty</v>
      </c>
      <c r="I137" t="str">
        <f t="shared" ca="1" si="40"/>
        <v/>
      </c>
      <c r="J137" t="str">
        <f t="shared" si="41"/>
        <v/>
      </c>
      <c r="K137" t="str">
        <f t="shared" si="42"/>
        <v/>
      </c>
      <c r="L137">
        <f t="shared" si="43"/>
        <v>0</v>
      </c>
      <c r="M137">
        <f t="shared" si="44"/>
        <v>0</v>
      </c>
      <c r="N137">
        <f t="shared" si="45"/>
        <v>0</v>
      </c>
      <c r="O137">
        <f t="shared" si="46"/>
        <v>1</v>
      </c>
      <c r="P137">
        <f t="shared" ca="1" si="47"/>
        <v>0</v>
      </c>
      <c r="Q137">
        <f t="shared" ca="1" si="48"/>
        <v>0</v>
      </c>
    </row>
    <row r="138" spans="1:17" x14ac:dyDescent="0.25">
      <c r="A138">
        <f t="shared" si="9"/>
        <v>137</v>
      </c>
      <c r="B138" s="212" t="s">
        <v>61</v>
      </c>
      <c r="C138" s="555">
        <v>74</v>
      </c>
      <c r="D138" t="s">
        <v>1476</v>
      </c>
      <c r="E138" t="s">
        <v>1426</v>
      </c>
      <c r="F138" s="494" t="str">
        <f>IF('PLAN PRODUCTION2'!AA29="","",'PLAN PRODUCTION2'!AA29)</f>
        <v/>
      </c>
      <c r="G138" s="494" t="str">
        <f>IF('PLAN PRODUCTION2'!AB29="","",'PLAN PRODUCTION2'!AB29)</f>
        <v/>
      </c>
      <c r="H138" t="str">
        <f t="shared" ca="1" si="30"/>
        <v>Plan Date Empty</v>
      </c>
      <c r="I138" t="str">
        <f t="shared" ca="1" si="40"/>
        <v/>
      </c>
      <c r="J138" t="str">
        <f t="shared" si="41"/>
        <v/>
      </c>
      <c r="K138" t="str">
        <f t="shared" si="42"/>
        <v/>
      </c>
      <c r="L138">
        <f t="shared" si="43"/>
        <v>0</v>
      </c>
      <c r="M138">
        <f t="shared" si="44"/>
        <v>0</v>
      </c>
      <c r="N138">
        <f t="shared" si="45"/>
        <v>0</v>
      </c>
      <c r="O138">
        <f t="shared" si="46"/>
        <v>1</v>
      </c>
      <c r="P138">
        <f t="shared" ca="1" si="47"/>
        <v>0</v>
      </c>
      <c r="Q138">
        <f t="shared" ca="1" si="48"/>
        <v>0</v>
      </c>
    </row>
    <row r="139" spans="1:17" x14ac:dyDescent="0.25">
      <c r="A139">
        <f t="shared" si="9"/>
        <v>138</v>
      </c>
      <c r="B139" s="212" t="s">
        <v>61</v>
      </c>
      <c r="C139" s="555">
        <v>74</v>
      </c>
      <c r="D139" t="s">
        <v>1477</v>
      </c>
      <c r="E139" t="s">
        <v>1422</v>
      </c>
      <c r="F139" s="494" t="str">
        <f>IF('PLAN PRODUCTION2'!AC29="","",'PLAN PRODUCTION2'!AC29)</f>
        <v/>
      </c>
      <c r="G139" s="494" t="str">
        <f>IF('PLAN PRODUCTION2'!AD29="","",'PLAN PRODUCTION2'!AD29)</f>
        <v/>
      </c>
      <c r="H139" t="str">
        <f t="shared" ca="1" si="30"/>
        <v>Plan Date Empty</v>
      </c>
      <c r="I139" t="str">
        <f t="shared" ca="1" si="40"/>
        <v/>
      </c>
      <c r="J139" t="str">
        <f t="shared" si="41"/>
        <v/>
      </c>
      <c r="K139" t="str">
        <f t="shared" si="42"/>
        <v/>
      </c>
      <c r="L139">
        <f t="shared" si="43"/>
        <v>0</v>
      </c>
      <c r="M139">
        <f t="shared" si="44"/>
        <v>0</v>
      </c>
      <c r="N139">
        <f t="shared" si="45"/>
        <v>0</v>
      </c>
      <c r="O139">
        <f t="shared" si="46"/>
        <v>1</v>
      </c>
      <c r="P139">
        <f t="shared" ca="1" si="47"/>
        <v>0</v>
      </c>
      <c r="Q139">
        <f t="shared" ca="1" si="48"/>
        <v>0</v>
      </c>
    </row>
    <row r="140" spans="1:17" x14ac:dyDescent="0.25">
      <c r="A140">
        <f t="shared" si="9"/>
        <v>139</v>
      </c>
      <c r="B140" s="212" t="s">
        <v>61</v>
      </c>
      <c r="C140" s="555">
        <v>74</v>
      </c>
      <c r="D140" t="s">
        <v>1478</v>
      </c>
      <c r="E140" t="s">
        <v>1429</v>
      </c>
      <c r="F140" s="494" t="str">
        <f>IF('PLAN PRODUCTION2'!AE29="","",'PLAN PRODUCTION2'!AE29)</f>
        <v/>
      </c>
      <c r="G140" s="494" t="str">
        <f>IF('PLAN PRODUCTION2'!AF29="","",'PLAN PRODUCTION2'!AF29)</f>
        <v/>
      </c>
      <c r="H140" t="str">
        <f t="shared" ca="1" si="30"/>
        <v>Plan Date Empty</v>
      </c>
      <c r="I140" t="str">
        <f t="shared" ca="1" si="40"/>
        <v/>
      </c>
      <c r="J140" t="str">
        <f t="shared" si="41"/>
        <v/>
      </c>
      <c r="K140" t="str">
        <f t="shared" si="42"/>
        <v/>
      </c>
      <c r="L140">
        <f t="shared" si="43"/>
        <v>0</v>
      </c>
      <c r="M140">
        <f t="shared" si="44"/>
        <v>0</v>
      </c>
      <c r="N140">
        <f t="shared" si="45"/>
        <v>0</v>
      </c>
      <c r="O140">
        <f t="shared" si="46"/>
        <v>1</v>
      </c>
      <c r="P140">
        <f t="shared" ca="1" si="47"/>
        <v>0</v>
      </c>
      <c r="Q140">
        <f t="shared" ca="1" si="48"/>
        <v>0</v>
      </c>
    </row>
    <row r="141" spans="1:17" x14ac:dyDescent="0.25">
      <c r="A141">
        <f t="shared" si="9"/>
        <v>140</v>
      </c>
      <c r="B141" s="212" t="s">
        <v>61</v>
      </c>
      <c r="C141" s="555">
        <v>74</v>
      </c>
      <c r="D141" t="s">
        <v>1479</v>
      </c>
      <c r="E141" t="s">
        <v>1429</v>
      </c>
      <c r="F141" s="494" t="str">
        <f>IF('PLAN PRODUCTION2'!AG29="","",'PLAN PRODUCTION2'!AG29)</f>
        <v/>
      </c>
      <c r="G141" s="494" t="str">
        <f>IF('PLAN PRODUCTION2'!AH29="","",'PLAN PRODUCTION2'!AH29)</f>
        <v/>
      </c>
      <c r="H141" t="str">
        <f t="shared" ca="1" si="30"/>
        <v>Plan Date Empty</v>
      </c>
      <c r="I141" t="str">
        <f t="shared" ca="1" si="40"/>
        <v/>
      </c>
      <c r="J141" t="str">
        <f t="shared" si="41"/>
        <v/>
      </c>
      <c r="K141" t="str">
        <f t="shared" si="42"/>
        <v/>
      </c>
      <c r="L141">
        <f t="shared" si="43"/>
        <v>0</v>
      </c>
      <c r="M141">
        <f t="shared" si="44"/>
        <v>0</v>
      </c>
      <c r="N141">
        <f t="shared" si="45"/>
        <v>0</v>
      </c>
      <c r="O141">
        <f t="shared" si="46"/>
        <v>1</v>
      </c>
      <c r="P141">
        <f t="shared" ca="1" si="47"/>
        <v>0</v>
      </c>
      <c r="Q141">
        <f t="shared" ca="1" si="48"/>
        <v>0</v>
      </c>
    </row>
    <row r="142" spans="1:17" x14ac:dyDescent="0.25">
      <c r="A142">
        <f t="shared" si="9"/>
        <v>141</v>
      </c>
      <c r="B142" s="212" t="s">
        <v>62</v>
      </c>
      <c r="C142" s="555">
        <v>18</v>
      </c>
      <c r="D142" t="s">
        <v>1466</v>
      </c>
      <c r="E142" t="s">
        <v>1420</v>
      </c>
      <c r="F142" s="494" t="str">
        <f>IF('PLAN PRODUCTION2'!E30="","",'PLAN PRODUCTION2'!E30)</f>
        <v/>
      </c>
      <c r="G142" s="494" t="str">
        <f>IF('PLAN PRODUCTION2'!F30="","",'PLAN PRODUCTION2'!F30)</f>
        <v/>
      </c>
      <c r="H142" t="str">
        <f t="shared" ca="1" si="30"/>
        <v>Plan Date Empty</v>
      </c>
      <c r="I142" t="str">
        <f t="shared" ca="1" si="40"/>
        <v/>
      </c>
      <c r="J142" t="str">
        <f t="shared" si="41"/>
        <v/>
      </c>
      <c r="K142" t="str">
        <f t="shared" si="42"/>
        <v/>
      </c>
      <c r="L142">
        <f t="shared" si="43"/>
        <v>0</v>
      </c>
      <c r="M142">
        <f t="shared" si="44"/>
        <v>0</v>
      </c>
      <c r="N142">
        <f t="shared" si="45"/>
        <v>0</v>
      </c>
      <c r="O142">
        <f t="shared" si="46"/>
        <v>1</v>
      </c>
      <c r="P142">
        <f t="shared" ca="1" si="47"/>
        <v>0</v>
      </c>
      <c r="Q142">
        <f t="shared" ca="1" si="48"/>
        <v>0</v>
      </c>
    </row>
    <row r="143" spans="1:17" x14ac:dyDescent="0.25">
      <c r="A143">
        <f t="shared" si="9"/>
        <v>142</v>
      </c>
      <c r="B143" s="212" t="s">
        <v>62</v>
      </c>
      <c r="C143" s="555">
        <v>18</v>
      </c>
      <c r="D143" t="s">
        <v>1467</v>
      </c>
      <c r="E143" t="s">
        <v>1420</v>
      </c>
      <c r="F143" s="494" t="str">
        <f>IF('PLAN PRODUCTION2'!I30="","",'PLAN PRODUCTION2'!I30)</f>
        <v/>
      </c>
      <c r="G143" s="494" t="str">
        <f>IF('PLAN PRODUCTION2'!J30="","",'PLAN PRODUCTION2'!J30)</f>
        <v/>
      </c>
      <c r="H143" t="str">
        <f t="shared" ca="1" si="30"/>
        <v>Plan Date Empty</v>
      </c>
      <c r="I143" t="str">
        <f t="shared" ca="1" si="40"/>
        <v/>
      </c>
      <c r="J143" t="str">
        <f t="shared" si="41"/>
        <v/>
      </c>
      <c r="K143" t="str">
        <f t="shared" si="42"/>
        <v/>
      </c>
      <c r="L143">
        <f t="shared" si="43"/>
        <v>0</v>
      </c>
      <c r="M143">
        <f t="shared" si="44"/>
        <v>0</v>
      </c>
      <c r="N143">
        <f t="shared" si="45"/>
        <v>0</v>
      </c>
      <c r="O143">
        <f t="shared" si="46"/>
        <v>1</v>
      </c>
      <c r="P143">
        <f t="shared" ca="1" si="47"/>
        <v>0</v>
      </c>
      <c r="Q143">
        <f t="shared" ca="1" si="48"/>
        <v>0</v>
      </c>
    </row>
    <row r="144" spans="1:17" x14ac:dyDescent="0.25">
      <c r="A144">
        <f t="shared" si="9"/>
        <v>143</v>
      </c>
      <c r="B144" s="212" t="s">
        <v>62</v>
      </c>
      <c r="C144" s="555">
        <v>18</v>
      </c>
      <c r="D144" t="s">
        <v>1468</v>
      </c>
      <c r="E144" t="s">
        <v>1420</v>
      </c>
      <c r="F144" s="494" t="str">
        <f>IF('PLAN PRODUCTION2'!K30="","",'PLAN PRODUCTION2'!K30)</f>
        <v/>
      </c>
      <c r="G144" s="494" t="str">
        <f>IF('PLAN PRODUCTION2'!L30="","",'PLAN PRODUCTION2'!L30)</f>
        <v/>
      </c>
      <c r="H144" t="str">
        <f t="shared" ca="1" si="30"/>
        <v>Plan Date Empty</v>
      </c>
      <c r="I144" t="str">
        <f t="shared" ca="1" si="40"/>
        <v/>
      </c>
      <c r="J144" t="str">
        <f t="shared" si="41"/>
        <v/>
      </c>
      <c r="K144" t="str">
        <f t="shared" si="42"/>
        <v/>
      </c>
      <c r="L144">
        <f t="shared" si="43"/>
        <v>0</v>
      </c>
      <c r="M144">
        <f t="shared" si="44"/>
        <v>0</v>
      </c>
      <c r="N144">
        <f t="shared" si="45"/>
        <v>0</v>
      </c>
      <c r="O144">
        <f t="shared" si="46"/>
        <v>1</v>
      </c>
      <c r="P144">
        <f t="shared" ca="1" si="47"/>
        <v>0</v>
      </c>
      <c r="Q144">
        <f t="shared" ca="1" si="48"/>
        <v>0</v>
      </c>
    </row>
    <row r="145" spans="1:17" x14ac:dyDescent="0.25">
      <c r="A145">
        <f t="shared" si="9"/>
        <v>144</v>
      </c>
      <c r="B145" s="212" t="s">
        <v>62</v>
      </c>
      <c r="C145" s="555">
        <v>18</v>
      </c>
      <c r="D145" t="s">
        <v>1469</v>
      </c>
      <c r="E145" t="s">
        <v>1422</v>
      </c>
      <c r="F145" s="494" t="str">
        <f>IF('PLAN PRODUCTION2'!M30="","",'PLAN PRODUCTION2'!M30)</f>
        <v/>
      </c>
      <c r="G145" s="494" t="str">
        <f>IF('PLAN PRODUCTION2'!N30="","",'PLAN PRODUCTION2'!N30)</f>
        <v/>
      </c>
      <c r="H145" t="str">
        <f t="shared" ca="1" si="30"/>
        <v>Plan Date Empty</v>
      </c>
      <c r="I145" t="str">
        <f t="shared" ca="1" si="40"/>
        <v/>
      </c>
      <c r="J145" t="str">
        <f t="shared" si="41"/>
        <v/>
      </c>
      <c r="K145" t="str">
        <f t="shared" si="42"/>
        <v/>
      </c>
      <c r="L145">
        <f t="shared" si="43"/>
        <v>0</v>
      </c>
      <c r="M145">
        <f t="shared" si="44"/>
        <v>0</v>
      </c>
      <c r="N145">
        <f t="shared" si="45"/>
        <v>0</v>
      </c>
      <c r="O145">
        <f t="shared" si="46"/>
        <v>1</v>
      </c>
      <c r="P145">
        <f t="shared" ca="1" si="47"/>
        <v>0</v>
      </c>
      <c r="Q145">
        <f t="shared" ca="1" si="48"/>
        <v>0</v>
      </c>
    </row>
    <row r="146" spans="1:17" x14ac:dyDescent="0.25">
      <c r="A146">
        <f t="shared" si="9"/>
        <v>145</v>
      </c>
      <c r="B146" s="212" t="s">
        <v>62</v>
      </c>
      <c r="C146" s="555">
        <v>18</v>
      </c>
      <c r="D146" t="s">
        <v>1470</v>
      </c>
      <c r="E146" t="s">
        <v>1422</v>
      </c>
      <c r="F146" s="494" t="str">
        <f>IF('PLAN PRODUCTION2'!O30="","",'PLAN PRODUCTION2'!O30)</f>
        <v/>
      </c>
      <c r="G146" s="494" t="str">
        <f>IF('PLAN PRODUCTION2'!P30="","",'PLAN PRODUCTION2'!P30)</f>
        <v/>
      </c>
      <c r="H146" t="str">
        <f t="shared" ca="1" si="30"/>
        <v>Plan Date Empty</v>
      </c>
      <c r="I146" t="str">
        <f t="shared" ca="1" si="40"/>
        <v/>
      </c>
      <c r="J146" t="str">
        <f t="shared" si="41"/>
        <v/>
      </c>
      <c r="K146" t="str">
        <f t="shared" si="42"/>
        <v/>
      </c>
      <c r="L146">
        <f t="shared" si="43"/>
        <v>0</v>
      </c>
      <c r="M146">
        <f t="shared" si="44"/>
        <v>0</v>
      </c>
      <c r="N146">
        <f t="shared" si="45"/>
        <v>0</v>
      </c>
      <c r="O146">
        <f t="shared" si="46"/>
        <v>1</v>
      </c>
      <c r="P146">
        <f t="shared" ca="1" si="47"/>
        <v>0</v>
      </c>
      <c r="Q146">
        <f t="shared" ca="1" si="48"/>
        <v>0</v>
      </c>
    </row>
    <row r="147" spans="1:17" x14ac:dyDescent="0.25">
      <c r="A147">
        <f t="shared" si="9"/>
        <v>146</v>
      </c>
      <c r="B147" s="212" t="s">
        <v>62</v>
      </c>
      <c r="C147" s="555">
        <v>18</v>
      </c>
      <c r="D147" t="s">
        <v>1471</v>
      </c>
      <c r="E147" t="s">
        <v>1424</v>
      </c>
      <c r="F147" s="494" t="str">
        <f>IF('PLAN PRODUCTION2'!Q30="","",'PLAN PRODUCTION2'!Q30)</f>
        <v/>
      </c>
      <c r="G147" s="494" t="str">
        <f>IF('PLAN PRODUCTION2'!R30="","",'PLAN PRODUCTION2'!R30)</f>
        <v/>
      </c>
      <c r="H147" t="str">
        <f t="shared" ca="1" si="30"/>
        <v>Plan Date Empty</v>
      </c>
      <c r="I147" t="str">
        <f t="shared" ca="1" si="40"/>
        <v/>
      </c>
      <c r="J147" t="str">
        <f t="shared" si="41"/>
        <v/>
      </c>
      <c r="K147" t="str">
        <f t="shared" si="42"/>
        <v/>
      </c>
      <c r="L147">
        <f t="shared" si="43"/>
        <v>0</v>
      </c>
      <c r="M147">
        <f t="shared" si="44"/>
        <v>0</v>
      </c>
      <c r="N147">
        <f t="shared" si="45"/>
        <v>0</v>
      </c>
      <c r="O147">
        <f t="shared" si="46"/>
        <v>1</v>
      </c>
      <c r="P147">
        <f t="shared" ca="1" si="47"/>
        <v>0</v>
      </c>
      <c r="Q147">
        <f t="shared" ca="1" si="48"/>
        <v>0</v>
      </c>
    </row>
    <row r="148" spans="1:17" x14ac:dyDescent="0.25">
      <c r="A148">
        <f t="shared" si="9"/>
        <v>147</v>
      </c>
      <c r="B148" s="212" t="s">
        <v>62</v>
      </c>
      <c r="C148" s="555">
        <v>18</v>
      </c>
      <c r="D148" t="s">
        <v>1472</v>
      </c>
      <c r="E148" t="s">
        <v>1426</v>
      </c>
      <c r="F148" s="494" t="str">
        <f>IF('PLAN PRODUCTION2'!S30="","",'PLAN PRODUCTION2'!S30)</f>
        <v/>
      </c>
      <c r="G148" s="494" t="str">
        <f>IF('PLAN PRODUCTION2'!T30="","",'PLAN PRODUCTION2'!T30)</f>
        <v/>
      </c>
      <c r="H148" t="str">
        <f t="shared" ca="1" si="30"/>
        <v>Plan Date Empty</v>
      </c>
      <c r="I148" t="str">
        <f t="shared" ca="1" si="40"/>
        <v/>
      </c>
      <c r="J148" t="str">
        <f t="shared" si="41"/>
        <v/>
      </c>
      <c r="K148" t="str">
        <f t="shared" si="42"/>
        <v/>
      </c>
      <c r="L148">
        <f t="shared" si="43"/>
        <v>0</v>
      </c>
      <c r="M148">
        <f t="shared" si="44"/>
        <v>0</v>
      </c>
      <c r="N148">
        <f t="shared" si="45"/>
        <v>0</v>
      </c>
      <c r="O148">
        <f t="shared" si="46"/>
        <v>1</v>
      </c>
      <c r="P148">
        <f t="shared" ca="1" si="47"/>
        <v>0</v>
      </c>
      <c r="Q148">
        <f t="shared" ca="1" si="48"/>
        <v>0</v>
      </c>
    </row>
    <row r="149" spans="1:17" x14ac:dyDescent="0.25">
      <c r="A149">
        <f t="shared" si="9"/>
        <v>148</v>
      </c>
      <c r="B149" s="212" t="s">
        <v>62</v>
      </c>
      <c r="C149" s="555">
        <v>18</v>
      </c>
      <c r="D149" t="s">
        <v>1473</v>
      </c>
      <c r="E149" t="s">
        <v>1426</v>
      </c>
      <c r="F149" s="494" t="str">
        <f>IF('PLAN PRODUCTION2'!U30="","",'PLAN PRODUCTION2'!U30)</f>
        <v/>
      </c>
      <c r="G149" s="494" t="str">
        <f>IF('PLAN PRODUCTION2'!V30="","",'PLAN PRODUCTION2'!V30)</f>
        <v/>
      </c>
      <c r="H149" t="str">
        <f t="shared" ca="1" si="30"/>
        <v>Plan Date Empty</v>
      </c>
      <c r="I149" t="str">
        <f t="shared" ca="1" si="40"/>
        <v/>
      </c>
      <c r="J149" t="str">
        <f t="shared" si="41"/>
        <v/>
      </c>
      <c r="K149" t="str">
        <f t="shared" si="42"/>
        <v/>
      </c>
      <c r="L149">
        <f t="shared" si="43"/>
        <v>0</v>
      </c>
      <c r="M149">
        <f t="shared" si="44"/>
        <v>0</v>
      </c>
      <c r="N149">
        <f t="shared" si="45"/>
        <v>0</v>
      </c>
      <c r="O149">
        <f t="shared" si="46"/>
        <v>1</v>
      </c>
      <c r="P149">
        <f t="shared" ca="1" si="47"/>
        <v>0</v>
      </c>
      <c r="Q149">
        <f t="shared" ca="1" si="48"/>
        <v>0</v>
      </c>
    </row>
    <row r="150" spans="1:17" x14ac:dyDescent="0.25">
      <c r="A150">
        <f t="shared" si="9"/>
        <v>149</v>
      </c>
      <c r="B150" s="212" t="s">
        <v>62</v>
      </c>
      <c r="C150" s="555">
        <v>18</v>
      </c>
      <c r="D150" t="s">
        <v>1474</v>
      </c>
      <c r="E150" t="s">
        <v>1426</v>
      </c>
      <c r="F150" s="494" t="str">
        <f>IF('PLAN PRODUCTION2'!W30="","",'PLAN PRODUCTION2'!W30)</f>
        <v/>
      </c>
      <c r="G150" s="494" t="str">
        <f>IF('PLAN PRODUCTION2'!X30="","",'PLAN PRODUCTION2'!X30)</f>
        <v/>
      </c>
      <c r="H150" t="str">
        <f t="shared" ca="1" si="30"/>
        <v>Plan Date Empty</v>
      </c>
      <c r="I150" t="str">
        <f t="shared" ca="1" si="40"/>
        <v/>
      </c>
      <c r="J150" t="str">
        <f t="shared" si="41"/>
        <v/>
      </c>
      <c r="K150" t="str">
        <f t="shared" si="42"/>
        <v/>
      </c>
      <c r="L150">
        <f t="shared" si="43"/>
        <v>0</v>
      </c>
      <c r="M150">
        <f t="shared" si="44"/>
        <v>0</v>
      </c>
      <c r="N150">
        <f t="shared" si="45"/>
        <v>0</v>
      </c>
      <c r="O150">
        <f t="shared" si="46"/>
        <v>1</v>
      </c>
      <c r="P150">
        <f t="shared" ca="1" si="47"/>
        <v>0</v>
      </c>
      <c r="Q150">
        <f t="shared" ca="1" si="48"/>
        <v>0</v>
      </c>
    </row>
    <row r="151" spans="1:17" x14ac:dyDescent="0.25">
      <c r="A151">
        <f t="shared" si="9"/>
        <v>150</v>
      </c>
      <c r="B151" s="212" t="s">
        <v>62</v>
      </c>
      <c r="C151" s="555">
        <v>18</v>
      </c>
      <c r="D151" t="s">
        <v>1475</v>
      </c>
      <c r="E151" t="s">
        <v>1426</v>
      </c>
      <c r="F151" s="494" t="str">
        <f>IF('PLAN PRODUCTION2'!Y30="","",'PLAN PRODUCTION2'!Y30)</f>
        <v/>
      </c>
      <c r="G151" s="494" t="str">
        <f>IF('PLAN PRODUCTION2'!Z30="","",'PLAN PRODUCTION2'!Z30)</f>
        <v/>
      </c>
      <c r="H151" t="str">
        <f t="shared" ca="1" si="30"/>
        <v>Plan Date Empty</v>
      </c>
      <c r="I151" t="str">
        <f t="shared" ca="1" si="40"/>
        <v/>
      </c>
      <c r="J151" t="str">
        <f t="shared" si="41"/>
        <v/>
      </c>
      <c r="K151" t="str">
        <f t="shared" si="42"/>
        <v/>
      </c>
      <c r="L151">
        <f t="shared" si="43"/>
        <v>0</v>
      </c>
      <c r="M151">
        <f t="shared" si="44"/>
        <v>0</v>
      </c>
      <c r="N151">
        <f t="shared" si="45"/>
        <v>0</v>
      </c>
      <c r="O151">
        <f t="shared" si="46"/>
        <v>1</v>
      </c>
      <c r="P151">
        <f t="shared" ca="1" si="47"/>
        <v>0</v>
      </c>
      <c r="Q151">
        <f t="shared" ca="1" si="48"/>
        <v>0</v>
      </c>
    </row>
    <row r="152" spans="1:17" x14ac:dyDescent="0.25">
      <c r="A152">
        <f t="shared" si="9"/>
        <v>151</v>
      </c>
      <c r="B152" s="212" t="s">
        <v>62</v>
      </c>
      <c r="C152" s="555">
        <v>18</v>
      </c>
      <c r="D152" t="s">
        <v>1476</v>
      </c>
      <c r="E152" t="s">
        <v>1426</v>
      </c>
      <c r="F152" s="494" t="str">
        <f>IF('PLAN PRODUCTION2'!AA30="","",'PLAN PRODUCTION2'!AA30)</f>
        <v/>
      </c>
      <c r="G152" s="494" t="str">
        <f>IF('PLAN PRODUCTION2'!AB30="","",'PLAN PRODUCTION2'!AB30)</f>
        <v/>
      </c>
      <c r="H152" t="str">
        <f t="shared" ca="1" si="30"/>
        <v>Plan Date Empty</v>
      </c>
      <c r="I152" t="str">
        <f t="shared" ca="1" si="40"/>
        <v/>
      </c>
      <c r="J152" t="str">
        <f t="shared" si="41"/>
        <v/>
      </c>
      <c r="K152" t="str">
        <f t="shared" si="42"/>
        <v/>
      </c>
      <c r="L152">
        <f t="shared" si="43"/>
        <v>0</v>
      </c>
      <c r="M152">
        <f t="shared" si="44"/>
        <v>0</v>
      </c>
      <c r="N152">
        <f t="shared" si="45"/>
        <v>0</v>
      </c>
      <c r="O152">
        <f t="shared" si="46"/>
        <v>1</v>
      </c>
      <c r="P152">
        <f t="shared" ca="1" si="47"/>
        <v>0</v>
      </c>
      <c r="Q152">
        <f t="shared" ca="1" si="48"/>
        <v>0</v>
      </c>
    </row>
    <row r="153" spans="1:17" x14ac:dyDescent="0.25">
      <c r="A153">
        <f t="shared" si="9"/>
        <v>152</v>
      </c>
      <c r="B153" s="212" t="s">
        <v>62</v>
      </c>
      <c r="C153" s="555">
        <v>18</v>
      </c>
      <c r="D153" t="s">
        <v>1477</v>
      </c>
      <c r="E153" t="s">
        <v>1422</v>
      </c>
      <c r="F153" s="494" t="str">
        <f>IF('PLAN PRODUCTION2'!AC30="","",'PLAN PRODUCTION2'!AC30)</f>
        <v/>
      </c>
      <c r="G153" s="494" t="str">
        <f>IF('PLAN PRODUCTION2'!AD30="","",'PLAN PRODUCTION2'!AD30)</f>
        <v/>
      </c>
      <c r="H153" t="str">
        <f t="shared" ca="1" si="30"/>
        <v>Plan Date Empty</v>
      </c>
      <c r="I153" t="str">
        <f t="shared" ca="1" si="40"/>
        <v/>
      </c>
      <c r="J153" t="str">
        <f t="shared" si="41"/>
        <v/>
      </c>
      <c r="K153" t="str">
        <f t="shared" si="42"/>
        <v/>
      </c>
      <c r="L153">
        <f t="shared" si="43"/>
        <v>0</v>
      </c>
      <c r="M153">
        <f t="shared" si="44"/>
        <v>0</v>
      </c>
      <c r="N153">
        <f t="shared" si="45"/>
        <v>0</v>
      </c>
      <c r="O153">
        <f t="shared" si="46"/>
        <v>1</v>
      </c>
      <c r="P153">
        <f t="shared" ca="1" si="47"/>
        <v>0</v>
      </c>
      <c r="Q153">
        <f t="shared" ca="1" si="48"/>
        <v>0</v>
      </c>
    </row>
    <row r="154" spans="1:17" x14ac:dyDescent="0.25">
      <c r="A154">
        <f t="shared" si="9"/>
        <v>153</v>
      </c>
      <c r="B154" s="212" t="s">
        <v>62</v>
      </c>
      <c r="C154" s="555">
        <v>18</v>
      </c>
      <c r="D154" t="s">
        <v>1478</v>
      </c>
      <c r="E154" t="s">
        <v>1429</v>
      </c>
      <c r="F154" s="494" t="str">
        <f>IF('PLAN PRODUCTION2'!AE30="","",'PLAN PRODUCTION2'!AE30)</f>
        <v/>
      </c>
      <c r="G154" s="494" t="str">
        <f>IF('PLAN PRODUCTION2'!AF30="","",'PLAN PRODUCTION2'!AF30)</f>
        <v/>
      </c>
      <c r="H154" t="str">
        <f t="shared" ca="1" si="30"/>
        <v>Plan Date Empty</v>
      </c>
      <c r="I154" t="str">
        <f t="shared" ca="1" si="40"/>
        <v/>
      </c>
      <c r="J154" t="str">
        <f t="shared" si="41"/>
        <v/>
      </c>
      <c r="K154" t="str">
        <f t="shared" si="42"/>
        <v/>
      </c>
      <c r="L154">
        <f t="shared" si="43"/>
        <v>0</v>
      </c>
      <c r="M154">
        <f t="shared" si="44"/>
        <v>0</v>
      </c>
      <c r="N154">
        <f t="shared" si="45"/>
        <v>0</v>
      </c>
      <c r="O154">
        <f t="shared" si="46"/>
        <v>1</v>
      </c>
      <c r="P154">
        <f t="shared" ca="1" si="47"/>
        <v>0</v>
      </c>
      <c r="Q154">
        <f t="shared" ca="1" si="48"/>
        <v>0</v>
      </c>
    </row>
    <row r="155" spans="1:17" x14ac:dyDescent="0.25">
      <c r="A155">
        <f t="shared" si="9"/>
        <v>154</v>
      </c>
      <c r="B155" s="212" t="s">
        <v>62</v>
      </c>
      <c r="C155" s="555">
        <v>18</v>
      </c>
      <c r="D155" t="s">
        <v>1479</v>
      </c>
      <c r="E155" t="s">
        <v>1429</v>
      </c>
      <c r="F155" s="494" t="str">
        <f>IF('PLAN PRODUCTION2'!AG30="","",'PLAN PRODUCTION2'!AG30)</f>
        <v/>
      </c>
      <c r="G155" s="494" t="str">
        <f>IF('PLAN PRODUCTION2'!AH30="","",'PLAN PRODUCTION2'!AH30)</f>
        <v/>
      </c>
      <c r="H155" t="str">
        <f t="shared" ca="1" si="30"/>
        <v>Plan Date Empty</v>
      </c>
      <c r="I155" t="str">
        <f t="shared" ca="1" si="40"/>
        <v/>
      </c>
      <c r="J155" t="str">
        <f t="shared" si="41"/>
        <v/>
      </c>
      <c r="K155" t="str">
        <f t="shared" si="42"/>
        <v/>
      </c>
      <c r="L155">
        <f t="shared" si="43"/>
        <v>0</v>
      </c>
      <c r="M155">
        <f t="shared" si="44"/>
        <v>0</v>
      </c>
      <c r="N155">
        <f t="shared" si="45"/>
        <v>0</v>
      </c>
      <c r="O155">
        <f t="shared" si="46"/>
        <v>1</v>
      </c>
      <c r="P155">
        <f t="shared" ca="1" si="47"/>
        <v>0</v>
      </c>
      <c r="Q155">
        <f t="shared" ca="1" si="48"/>
        <v>0</v>
      </c>
    </row>
    <row r="156" spans="1:17" x14ac:dyDescent="0.25">
      <c r="A156">
        <f t="shared" si="9"/>
        <v>155</v>
      </c>
      <c r="B156" s="212" t="s">
        <v>63</v>
      </c>
      <c r="C156" s="555">
        <v>11</v>
      </c>
      <c r="D156" t="s">
        <v>1466</v>
      </c>
      <c r="E156" t="s">
        <v>1420</v>
      </c>
      <c r="F156" s="494">
        <f>IF('PLAN PRODUCTION2'!E31="","",'PLAN PRODUCTION2'!E31)</f>
        <v>46202</v>
      </c>
      <c r="G156" s="494" t="str">
        <f>IF('PLAN PRODUCTION2'!F31="","",'PLAN PRODUCTION2'!F31)</f>
        <v/>
      </c>
      <c r="H156" t="str">
        <f t="shared" ca="1" si="30"/>
        <v>Not Done - Overdue</v>
      </c>
      <c r="I156">
        <f t="shared" ca="1" si="40"/>
        <v>50</v>
      </c>
      <c r="J156">
        <f t="shared" si="41"/>
        <v>27</v>
      </c>
      <c r="K156" t="str">
        <f t="shared" si="42"/>
        <v>Minggu 27 (2026)</v>
      </c>
      <c r="L156">
        <f t="shared" si="43"/>
        <v>0</v>
      </c>
      <c r="M156">
        <f t="shared" si="44"/>
        <v>0</v>
      </c>
      <c r="N156">
        <f t="shared" si="45"/>
        <v>0</v>
      </c>
      <c r="O156">
        <f t="shared" si="46"/>
        <v>1</v>
      </c>
      <c r="P156">
        <f t="shared" ca="1" si="47"/>
        <v>1</v>
      </c>
      <c r="Q156">
        <f t="shared" ca="1" si="48"/>
        <v>50</v>
      </c>
    </row>
    <row r="157" spans="1:17" x14ac:dyDescent="0.25">
      <c r="A157">
        <f t="shared" si="9"/>
        <v>156</v>
      </c>
      <c r="B157" s="212" t="s">
        <v>63</v>
      </c>
      <c r="C157" s="555">
        <v>11</v>
      </c>
      <c r="D157" t="s">
        <v>1467</v>
      </c>
      <c r="E157" t="s">
        <v>1420</v>
      </c>
      <c r="F157" s="494">
        <f>IF('PLAN PRODUCTION2'!I31="","",'PLAN PRODUCTION2'!I31)</f>
        <v>46182</v>
      </c>
      <c r="G157" s="494" t="str">
        <f>IF('PLAN PRODUCTION2'!J31="","",'PLAN PRODUCTION2'!J31)</f>
        <v/>
      </c>
      <c r="H157" t="str">
        <f t="shared" ca="1" si="30"/>
        <v>Not Done - Overdue</v>
      </c>
      <c r="I157">
        <f t="shared" ca="1" si="40"/>
        <v>70</v>
      </c>
      <c r="J157">
        <f t="shared" si="41"/>
        <v>24</v>
      </c>
      <c r="K157" t="str">
        <f t="shared" si="42"/>
        <v>Minggu 24 (2026)</v>
      </c>
      <c r="L157">
        <f t="shared" si="43"/>
        <v>0</v>
      </c>
      <c r="M157">
        <f t="shared" si="44"/>
        <v>0</v>
      </c>
      <c r="N157">
        <f t="shared" si="45"/>
        <v>0</v>
      </c>
      <c r="O157">
        <f t="shared" si="46"/>
        <v>1</v>
      </c>
      <c r="P157">
        <f t="shared" ca="1" si="47"/>
        <v>1</v>
      </c>
      <c r="Q157">
        <f t="shared" ca="1" si="48"/>
        <v>70</v>
      </c>
    </row>
    <row r="158" spans="1:17" x14ac:dyDescent="0.25">
      <c r="A158">
        <f t="shared" si="9"/>
        <v>157</v>
      </c>
      <c r="B158" s="212" t="s">
        <v>63</v>
      </c>
      <c r="C158" s="555">
        <v>11</v>
      </c>
      <c r="D158" t="s">
        <v>1468</v>
      </c>
      <c r="E158" t="s">
        <v>1420</v>
      </c>
      <c r="F158" s="494">
        <f>IF('PLAN PRODUCTION2'!K31="","",'PLAN PRODUCTION2'!K31)</f>
        <v>46182</v>
      </c>
      <c r="G158" s="494" t="str">
        <f>IF('PLAN PRODUCTION2'!L31="","",'PLAN PRODUCTION2'!L31)</f>
        <v/>
      </c>
      <c r="H158" t="str">
        <f t="shared" ca="1" si="30"/>
        <v>Not Done - Overdue</v>
      </c>
      <c r="I158">
        <f t="shared" ca="1" si="40"/>
        <v>70</v>
      </c>
      <c r="J158">
        <f t="shared" si="41"/>
        <v>24</v>
      </c>
      <c r="K158" t="str">
        <f t="shared" si="42"/>
        <v>Minggu 24 (2026)</v>
      </c>
      <c r="L158">
        <f t="shared" si="43"/>
        <v>0</v>
      </c>
      <c r="M158">
        <f t="shared" si="44"/>
        <v>0</v>
      </c>
      <c r="N158">
        <f t="shared" si="45"/>
        <v>0</v>
      </c>
      <c r="O158">
        <f t="shared" si="46"/>
        <v>1</v>
      </c>
      <c r="P158">
        <f t="shared" ca="1" si="47"/>
        <v>1</v>
      </c>
      <c r="Q158">
        <f t="shared" ca="1" si="48"/>
        <v>70</v>
      </c>
    </row>
    <row r="159" spans="1:17" x14ac:dyDescent="0.25">
      <c r="A159">
        <f t="shared" si="9"/>
        <v>158</v>
      </c>
      <c r="B159" s="212" t="s">
        <v>63</v>
      </c>
      <c r="C159" s="555">
        <v>11</v>
      </c>
      <c r="D159" t="s">
        <v>1469</v>
      </c>
      <c r="E159" t="s">
        <v>1422</v>
      </c>
      <c r="F159" s="494">
        <f>IF('PLAN PRODUCTION2'!M31="","",'PLAN PRODUCTION2'!M31)</f>
        <v>46183</v>
      </c>
      <c r="G159" s="494" t="str">
        <f>IF('PLAN PRODUCTION2'!N31="","",'PLAN PRODUCTION2'!N31)</f>
        <v/>
      </c>
      <c r="H159" t="str">
        <f t="shared" ca="1" si="30"/>
        <v>Not Done - Overdue</v>
      </c>
      <c r="I159">
        <f t="shared" ca="1" si="40"/>
        <v>69</v>
      </c>
      <c r="J159">
        <f t="shared" si="41"/>
        <v>24</v>
      </c>
      <c r="K159" t="str">
        <f t="shared" si="42"/>
        <v>Minggu 24 (2026)</v>
      </c>
      <c r="L159">
        <f t="shared" si="43"/>
        <v>0</v>
      </c>
      <c r="M159">
        <f t="shared" si="44"/>
        <v>0</v>
      </c>
      <c r="N159">
        <f t="shared" si="45"/>
        <v>0</v>
      </c>
      <c r="O159">
        <f t="shared" si="46"/>
        <v>1</v>
      </c>
      <c r="P159">
        <f t="shared" ca="1" si="47"/>
        <v>1</v>
      </c>
      <c r="Q159">
        <f t="shared" ca="1" si="48"/>
        <v>69</v>
      </c>
    </row>
    <row r="160" spans="1:17" x14ac:dyDescent="0.25">
      <c r="A160">
        <f t="shared" si="9"/>
        <v>159</v>
      </c>
      <c r="B160" s="212" t="s">
        <v>63</v>
      </c>
      <c r="C160" s="555">
        <v>11</v>
      </c>
      <c r="D160" t="s">
        <v>1470</v>
      </c>
      <c r="E160" t="s">
        <v>1422</v>
      </c>
      <c r="F160" s="494">
        <f>IF('PLAN PRODUCTION2'!O31="","",'PLAN PRODUCTION2'!O31)</f>
        <v>46185</v>
      </c>
      <c r="G160" s="494" t="str">
        <f>IF('PLAN PRODUCTION2'!P31="","",'PLAN PRODUCTION2'!P31)</f>
        <v/>
      </c>
      <c r="H160" t="str">
        <f t="shared" ca="1" si="30"/>
        <v>Not Done - Overdue</v>
      </c>
      <c r="I160">
        <f t="shared" ca="1" si="40"/>
        <v>67</v>
      </c>
      <c r="J160">
        <f t="shared" si="41"/>
        <v>24</v>
      </c>
      <c r="K160" t="str">
        <f t="shared" si="42"/>
        <v>Minggu 24 (2026)</v>
      </c>
      <c r="L160">
        <f t="shared" si="43"/>
        <v>0</v>
      </c>
      <c r="M160">
        <f t="shared" si="44"/>
        <v>0</v>
      </c>
      <c r="N160">
        <f t="shared" si="45"/>
        <v>0</v>
      </c>
      <c r="O160">
        <f t="shared" si="46"/>
        <v>1</v>
      </c>
      <c r="P160">
        <f t="shared" ca="1" si="47"/>
        <v>1</v>
      </c>
      <c r="Q160">
        <f t="shared" ca="1" si="48"/>
        <v>67</v>
      </c>
    </row>
    <row r="161" spans="1:17" x14ac:dyDescent="0.25">
      <c r="A161">
        <f t="shared" si="9"/>
        <v>160</v>
      </c>
      <c r="B161" s="212" t="s">
        <v>63</v>
      </c>
      <c r="C161" s="555">
        <v>11</v>
      </c>
      <c r="D161" t="s">
        <v>1471</v>
      </c>
      <c r="E161" t="s">
        <v>1424</v>
      </c>
      <c r="F161" s="494">
        <f>IF('PLAN PRODUCTION2'!Q31="","",'PLAN PRODUCTION2'!Q31)</f>
        <v>41070</v>
      </c>
      <c r="G161" s="494" t="str">
        <f>IF('PLAN PRODUCTION2'!R31="","",'PLAN PRODUCTION2'!R31)</f>
        <v/>
      </c>
      <c r="H161" t="str">
        <f t="shared" ca="1" si="30"/>
        <v>Not Done - Overdue</v>
      </c>
      <c r="I161">
        <f t="shared" ca="1" si="40"/>
        <v>5182</v>
      </c>
      <c r="J161">
        <f t="shared" si="41"/>
        <v>24</v>
      </c>
      <c r="K161" t="str">
        <f t="shared" si="42"/>
        <v>Minggu 24 (2012)</v>
      </c>
      <c r="L161">
        <f t="shared" si="43"/>
        <v>0</v>
      </c>
      <c r="M161">
        <f t="shared" si="44"/>
        <v>0</v>
      </c>
      <c r="N161">
        <f t="shared" si="45"/>
        <v>0</v>
      </c>
      <c r="O161">
        <f t="shared" si="46"/>
        <v>1</v>
      </c>
      <c r="P161">
        <f t="shared" ca="1" si="47"/>
        <v>1</v>
      </c>
      <c r="Q161">
        <f t="shared" ca="1" si="48"/>
        <v>5182</v>
      </c>
    </row>
    <row r="162" spans="1:17" x14ac:dyDescent="0.25">
      <c r="A162">
        <f t="shared" si="9"/>
        <v>161</v>
      </c>
      <c r="B162" s="212" t="s">
        <v>63</v>
      </c>
      <c r="C162" s="555">
        <v>11</v>
      </c>
      <c r="D162" t="s">
        <v>1472</v>
      </c>
      <c r="E162" t="s">
        <v>1426</v>
      </c>
      <c r="F162" s="494">
        <f>IF('PLAN PRODUCTION2'!S31="","",'PLAN PRODUCTION2'!S31)</f>
        <v>46184</v>
      </c>
      <c r="G162" s="494" t="str">
        <f>IF('PLAN PRODUCTION2'!T31="","",'PLAN PRODUCTION2'!T31)</f>
        <v/>
      </c>
      <c r="H162" t="str">
        <f t="shared" ca="1" si="30"/>
        <v>Not Done - Overdue</v>
      </c>
      <c r="I162">
        <f t="shared" ca="1" si="40"/>
        <v>68</v>
      </c>
      <c r="J162">
        <f t="shared" si="41"/>
        <v>24</v>
      </c>
      <c r="K162" t="str">
        <f t="shared" si="42"/>
        <v>Minggu 24 (2026)</v>
      </c>
      <c r="L162">
        <f t="shared" si="43"/>
        <v>0</v>
      </c>
      <c r="M162">
        <f t="shared" si="44"/>
        <v>0</v>
      </c>
      <c r="N162">
        <f t="shared" si="45"/>
        <v>0</v>
      </c>
      <c r="O162">
        <f t="shared" si="46"/>
        <v>1</v>
      </c>
      <c r="P162">
        <f t="shared" ca="1" si="47"/>
        <v>1</v>
      </c>
      <c r="Q162">
        <f t="shared" ca="1" si="48"/>
        <v>68</v>
      </c>
    </row>
    <row r="163" spans="1:17" x14ac:dyDescent="0.25">
      <c r="A163">
        <f t="shared" si="9"/>
        <v>162</v>
      </c>
      <c r="B163" s="212" t="s">
        <v>63</v>
      </c>
      <c r="C163" s="555">
        <v>11</v>
      </c>
      <c r="D163" t="s">
        <v>1473</v>
      </c>
      <c r="E163" t="s">
        <v>1426</v>
      </c>
      <c r="F163" s="494">
        <f>IF('PLAN PRODUCTION2'!U31="","",'PLAN PRODUCTION2'!U31)</f>
        <v>46184</v>
      </c>
      <c r="G163" s="494" t="str">
        <f>IF('PLAN PRODUCTION2'!V31="","",'PLAN PRODUCTION2'!V31)</f>
        <v/>
      </c>
      <c r="H163" t="str">
        <f t="shared" ca="1" si="30"/>
        <v>Not Done - Overdue</v>
      </c>
      <c r="I163">
        <f t="shared" ca="1" si="40"/>
        <v>68</v>
      </c>
      <c r="J163">
        <f t="shared" si="41"/>
        <v>24</v>
      </c>
      <c r="K163" t="str">
        <f t="shared" si="42"/>
        <v>Minggu 24 (2026)</v>
      </c>
      <c r="L163">
        <f t="shared" si="43"/>
        <v>0</v>
      </c>
      <c r="M163">
        <f t="shared" si="44"/>
        <v>0</v>
      </c>
      <c r="N163">
        <f t="shared" si="45"/>
        <v>0</v>
      </c>
      <c r="O163">
        <f t="shared" si="46"/>
        <v>1</v>
      </c>
      <c r="P163">
        <f t="shared" ca="1" si="47"/>
        <v>1</v>
      </c>
      <c r="Q163">
        <f t="shared" ca="1" si="48"/>
        <v>68</v>
      </c>
    </row>
    <row r="164" spans="1:17" x14ac:dyDescent="0.25">
      <c r="A164">
        <f t="shared" si="9"/>
        <v>163</v>
      </c>
      <c r="B164" s="212" t="s">
        <v>63</v>
      </c>
      <c r="C164" s="555">
        <v>11</v>
      </c>
      <c r="D164" t="s">
        <v>1474</v>
      </c>
      <c r="E164" t="s">
        <v>1426</v>
      </c>
      <c r="F164" s="494">
        <f>IF('PLAN PRODUCTION2'!W31="","",'PLAN PRODUCTION2'!W31)</f>
        <v>46188</v>
      </c>
      <c r="G164" s="494" t="str">
        <f>IF('PLAN PRODUCTION2'!X31="","",'PLAN PRODUCTION2'!X31)</f>
        <v/>
      </c>
      <c r="H164" t="str">
        <f t="shared" ca="1" si="30"/>
        <v>Not Done - Overdue</v>
      </c>
      <c r="I164">
        <f t="shared" ca="1" si="40"/>
        <v>64</v>
      </c>
      <c r="J164">
        <f t="shared" si="41"/>
        <v>25</v>
      </c>
      <c r="K164" t="str">
        <f t="shared" si="42"/>
        <v>Minggu 25 (2026)</v>
      </c>
      <c r="L164">
        <f t="shared" si="43"/>
        <v>0</v>
      </c>
      <c r="M164">
        <f t="shared" si="44"/>
        <v>0</v>
      </c>
      <c r="N164">
        <f t="shared" si="45"/>
        <v>0</v>
      </c>
      <c r="O164">
        <f t="shared" si="46"/>
        <v>1</v>
      </c>
      <c r="P164">
        <f t="shared" ca="1" si="47"/>
        <v>1</v>
      </c>
      <c r="Q164">
        <f t="shared" ca="1" si="48"/>
        <v>64</v>
      </c>
    </row>
    <row r="165" spans="1:17" x14ac:dyDescent="0.25">
      <c r="A165">
        <f t="shared" si="9"/>
        <v>164</v>
      </c>
      <c r="B165" s="212" t="s">
        <v>63</v>
      </c>
      <c r="C165" s="555">
        <v>11</v>
      </c>
      <c r="D165" t="s">
        <v>1475</v>
      </c>
      <c r="E165" t="s">
        <v>1426</v>
      </c>
      <c r="F165" s="494">
        <f>IF('PLAN PRODUCTION2'!Y31="","",'PLAN PRODUCTION2'!Y31)</f>
        <v>46191</v>
      </c>
      <c r="G165" s="494" t="str">
        <f>IF('PLAN PRODUCTION2'!Z31="","",'PLAN PRODUCTION2'!Z31)</f>
        <v/>
      </c>
      <c r="H165" t="str">
        <f t="shared" ca="1" si="30"/>
        <v>Not Done - Overdue</v>
      </c>
      <c r="I165">
        <f t="shared" ca="1" si="40"/>
        <v>61</v>
      </c>
      <c r="J165">
        <f t="shared" si="41"/>
        <v>25</v>
      </c>
      <c r="K165" t="str">
        <f t="shared" si="42"/>
        <v>Minggu 25 (2026)</v>
      </c>
      <c r="L165">
        <f t="shared" si="43"/>
        <v>0</v>
      </c>
      <c r="M165">
        <f t="shared" si="44"/>
        <v>0</v>
      </c>
      <c r="N165">
        <f t="shared" si="45"/>
        <v>0</v>
      </c>
      <c r="O165">
        <f t="shared" si="46"/>
        <v>1</v>
      </c>
      <c r="P165">
        <f t="shared" ca="1" si="47"/>
        <v>1</v>
      </c>
      <c r="Q165">
        <f t="shared" ca="1" si="48"/>
        <v>61</v>
      </c>
    </row>
    <row r="166" spans="1:17" x14ac:dyDescent="0.25">
      <c r="A166">
        <f t="shared" si="9"/>
        <v>165</v>
      </c>
      <c r="B166" s="212" t="s">
        <v>63</v>
      </c>
      <c r="C166" s="555">
        <v>11</v>
      </c>
      <c r="D166" t="s">
        <v>1476</v>
      </c>
      <c r="E166" t="s">
        <v>1426</v>
      </c>
      <c r="F166" s="494">
        <f>IF('PLAN PRODUCTION2'!AA31="","",'PLAN PRODUCTION2'!AA31)</f>
        <v>46192</v>
      </c>
      <c r="G166" s="494" t="str">
        <f>IF('PLAN PRODUCTION2'!AB31="","",'PLAN PRODUCTION2'!AB31)</f>
        <v/>
      </c>
      <c r="H166" t="str">
        <f t="shared" ca="1" si="30"/>
        <v>Not Done - Overdue</v>
      </c>
      <c r="I166">
        <f t="shared" ca="1" si="40"/>
        <v>60</v>
      </c>
      <c r="J166">
        <f t="shared" si="41"/>
        <v>25</v>
      </c>
      <c r="K166" t="str">
        <f t="shared" si="42"/>
        <v>Minggu 25 (2026)</v>
      </c>
      <c r="L166">
        <f t="shared" si="43"/>
        <v>0</v>
      </c>
      <c r="M166">
        <f t="shared" si="44"/>
        <v>0</v>
      </c>
      <c r="N166">
        <f t="shared" si="45"/>
        <v>0</v>
      </c>
      <c r="O166">
        <f t="shared" si="46"/>
        <v>1</v>
      </c>
      <c r="P166">
        <f t="shared" ca="1" si="47"/>
        <v>1</v>
      </c>
      <c r="Q166">
        <f t="shared" ca="1" si="48"/>
        <v>60</v>
      </c>
    </row>
    <row r="167" spans="1:17" x14ac:dyDescent="0.25">
      <c r="A167">
        <f t="shared" si="9"/>
        <v>166</v>
      </c>
      <c r="B167" s="212" t="s">
        <v>63</v>
      </c>
      <c r="C167" s="555">
        <v>11</v>
      </c>
      <c r="D167" t="s">
        <v>1477</v>
      </c>
      <c r="E167" t="s">
        <v>1422</v>
      </c>
      <c r="F167" s="494">
        <f>IF('PLAN PRODUCTION2'!AC31="","",'PLAN PRODUCTION2'!AC31)</f>
        <v>46192</v>
      </c>
      <c r="G167" s="494" t="str">
        <f>IF('PLAN PRODUCTION2'!AD31="","",'PLAN PRODUCTION2'!AD31)</f>
        <v/>
      </c>
      <c r="H167" t="str">
        <f t="shared" ca="1" si="30"/>
        <v>Not Done - Overdue</v>
      </c>
      <c r="I167">
        <f t="shared" ca="1" si="40"/>
        <v>60</v>
      </c>
      <c r="J167">
        <f t="shared" si="41"/>
        <v>25</v>
      </c>
      <c r="K167" t="str">
        <f t="shared" si="42"/>
        <v>Minggu 25 (2026)</v>
      </c>
      <c r="L167">
        <f t="shared" si="43"/>
        <v>0</v>
      </c>
      <c r="M167">
        <f t="shared" si="44"/>
        <v>0</v>
      </c>
      <c r="N167">
        <f t="shared" si="45"/>
        <v>0</v>
      </c>
      <c r="O167">
        <f t="shared" si="46"/>
        <v>1</v>
      </c>
      <c r="P167">
        <f t="shared" ca="1" si="47"/>
        <v>1</v>
      </c>
      <c r="Q167">
        <f t="shared" ca="1" si="48"/>
        <v>60</v>
      </c>
    </row>
    <row r="168" spans="1:17" x14ac:dyDescent="0.25">
      <c r="A168">
        <f t="shared" si="9"/>
        <v>167</v>
      </c>
      <c r="B168" s="212" t="s">
        <v>63</v>
      </c>
      <c r="C168" s="555">
        <v>11</v>
      </c>
      <c r="D168" t="s">
        <v>1478</v>
      </c>
      <c r="E168" t="s">
        <v>1429</v>
      </c>
      <c r="F168" s="494">
        <f>IF('PLAN PRODUCTION2'!AE31="","",'PLAN PRODUCTION2'!AE31)</f>
        <v>46195</v>
      </c>
      <c r="G168" s="494" t="str">
        <f>IF('PLAN PRODUCTION2'!AF31="","",'PLAN PRODUCTION2'!AF31)</f>
        <v/>
      </c>
      <c r="H168" t="str">
        <f t="shared" ca="1" si="30"/>
        <v>Not Done - Overdue</v>
      </c>
      <c r="I168">
        <f t="shared" ca="1" si="40"/>
        <v>57</v>
      </c>
      <c r="J168">
        <f t="shared" si="41"/>
        <v>26</v>
      </c>
      <c r="K168" t="str">
        <f t="shared" si="42"/>
        <v>Minggu 26 (2026)</v>
      </c>
      <c r="L168">
        <f t="shared" si="43"/>
        <v>0</v>
      </c>
      <c r="M168">
        <f t="shared" si="44"/>
        <v>0</v>
      </c>
      <c r="N168">
        <f t="shared" si="45"/>
        <v>0</v>
      </c>
      <c r="O168">
        <f t="shared" si="46"/>
        <v>1</v>
      </c>
      <c r="P168">
        <f t="shared" ca="1" si="47"/>
        <v>1</v>
      </c>
      <c r="Q168">
        <f t="shared" ca="1" si="48"/>
        <v>57</v>
      </c>
    </row>
    <row r="169" spans="1:17" x14ac:dyDescent="0.25">
      <c r="A169">
        <f t="shared" si="9"/>
        <v>168</v>
      </c>
      <c r="B169" s="212" t="s">
        <v>63</v>
      </c>
      <c r="C169" s="555">
        <v>11</v>
      </c>
      <c r="D169" t="s">
        <v>1479</v>
      </c>
      <c r="E169" t="s">
        <v>1429</v>
      </c>
      <c r="F169" s="494">
        <f>IF('PLAN PRODUCTION2'!AG31="","",'PLAN PRODUCTION2'!AG31)</f>
        <v>46196</v>
      </c>
      <c r="G169" s="494" t="str">
        <f>IF('PLAN PRODUCTION2'!AH31="","",'PLAN PRODUCTION2'!AH31)</f>
        <v/>
      </c>
      <c r="H169" t="str">
        <f t="shared" ca="1" si="30"/>
        <v>Not Done - Overdue</v>
      </c>
      <c r="I169">
        <f t="shared" ca="1" si="40"/>
        <v>56</v>
      </c>
      <c r="J169">
        <f t="shared" si="41"/>
        <v>26</v>
      </c>
      <c r="K169" t="str">
        <f t="shared" si="42"/>
        <v>Minggu 26 (2026)</v>
      </c>
      <c r="L169">
        <f t="shared" si="43"/>
        <v>0</v>
      </c>
      <c r="M169">
        <f t="shared" si="44"/>
        <v>0</v>
      </c>
      <c r="N169">
        <f t="shared" si="45"/>
        <v>0</v>
      </c>
      <c r="O169">
        <f t="shared" si="46"/>
        <v>1</v>
      </c>
      <c r="P169">
        <f t="shared" ca="1" si="47"/>
        <v>1</v>
      </c>
      <c r="Q169">
        <f t="shared" ca="1" si="48"/>
        <v>56</v>
      </c>
    </row>
    <row r="170" spans="1:17" x14ac:dyDescent="0.25">
      <c r="A170">
        <f t="shared" si="9"/>
        <v>169</v>
      </c>
      <c r="B170" s="212" t="s">
        <v>64</v>
      </c>
      <c r="C170" s="555">
        <v>8</v>
      </c>
      <c r="D170" t="s">
        <v>1466</v>
      </c>
      <c r="E170" t="s">
        <v>1420</v>
      </c>
      <c r="F170" s="494" t="str">
        <f>IF('PLAN PRODUCTION2'!E32="","",'PLAN PRODUCTION2'!E32)</f>
        <v/>
      </c>
      <c r="G170" s="494" t="str">
        <f>IF('PLAN PRODUCTION2'!F32="","",'PLAN PRODUCTION2'!F32)</f>
        <v/>
      </c>
      <c r="H170" t="str">
        <f t="shared" ca="1" si="30"/>
        <v>Plan Date Empty</v>
      </c>
      <c r="I170" t="str">
        <f t="shared" ca="1" si="40"/>
        <v/>
      </c>
      <c r="J170" t="str">
        <f t="shared" si="41"/>
        <v/>
      </c>
      <c r="K170" t="str">
        <f t="shared" si="42"/>
        <v/>
      </c>
      <c r="L170">
        <f t="shared" si="43"/>
        <v>0</v>
      </c>
      <c r="M170">
        <f t="shared" si="44"/>
        <v>0</v>
      </c>
      <c r="N170">
        <f t="shared" si="45"/>
        <v>0</v>
      </c>
      <c r="O170">
        <f t="shared" si="46"/>
        <v>1</v>
      </c>
      <c r="P170">
        <f t="shared" ca="1" si="47"/>
        <v>0</v>
      </c>
      <c r="Q170">
        <f t="shared" ca="1" si="48"/>
        <v>0</v>
      </c>
    </row>
    <row r="171" spans="1:17" x14ac:dyDescent="0.25">
      <c r="A171">
        <f t="shared" si="9"/>
        <v>170</v>
      </c>
      <c r="B171" s="212" t="s">
        <v>64</v>
      </c>
      <c r="C171" s="555">
        <v>8</v>
      </c>
      <c r="D171" t="s">
        <v>1467</v>
      </c>
      <c r="E171" t="s">
        <v>1420</v>
      </c>
      <c r="F171" s="494" t="str">
        <f>IF('PLAN PRODUCTION2'!I32="","",'PLAN PRODUCTION2'!I32)</f>
        <v/>
      </c>
      <c r="G171" s="494" t="str">
        <f>IF('PLAN PRODUCTION2'!J32="","",'PLAN PRODUCTION2'!J32)</f>
        <v/>
      </c>
      <c r="H171" t="str">
        <f t="shared" ca="1" si="30"/>
        <v>Plan Date Empty</v>
      </c>
      <c r="I171" t="str">
        <f t="shared" ca="1" si="40"/>
        <v/>
      </c>
      <c r="J171" t="str">
        <f t="shared" si="41"/>
        <v/>
      </c>
      <c r="K171" t="str">
        <f t="shared" si="42"/>
        <v/>
      </c>
      <c r="L171">
        <f t="shared" si="43"/>
        <v>0</v>
      </c>
      <c r="M171">
        <f t="shared" si="44"/>
        <v>0</v>
      </c>
      <c r="N171">
        <f t="shared" si="45"/>
        <v>0</v>
      </c>
      <c r="O171">
        <f t="shared" si="46"/>
        <v>1</v>
      </c>
      <c r="P171">
        <f t="shared" ca="1" si="47"/>
        <v>0</v>
      </c>
      <c r="Q171">
        <f t="shared" ca="1" si="48"/>
        <v>0</v>
      </c>
    </row>
    <row r="172" spans="1:17" x14ac:dyDescent="0.25">
      <c r="A172">
        <f t="shared" si="9"/>
        <v>171</v>
      </c>
      <c r="B172" s="212" t="s">
        <v>64</v>
      </c>
      <c r="C172" s="555">
        <v>8</v>
      </c>
      <c r="D172" t="s">
        <v>1468</v>
      </c>
      <c r="E172" t="s">
        <v>1420</v>
      </c>
      <c r="F172" s="494" t="str">
        <f>IF('PLAN PRODUCTION2'!K32="","",'PLAN PRODUCTION2'!K32)</f>
        <v/>
      </c>
      <c r="G172" s="494" t="str">
        <f>IF('PLAN PRODUCTION2'!L32="","",'PLAN PRODUCTION2'!L32)</f>
        <v/>
      </c>
      <c r="H172" t="str">
        <f t="shared" ca="1" si="30"/>
        <v>Plan Date Empty</v>
      </c>
      <c r="I172" t="str">
        <f t="shared" ca="1" si="40"/>
        <v/>
      </c>
      <c r="J172" t="str">
        <f t="shared" si="41"/>
        <v/>
      </c>
      <c r="K172" t="str">
        <f t="shared" si="42"/>
        <v/>
      </c>
      <c r="L172">
        <f t="shared" si="43"/>
        <v>0</v>
      </c>
      <c r="M172">
        <f t="shared" si="44"/>
        <v>0</v>
      </c>
      <c r="N172">
        <f t="shared" si="45"/>
        <v>0</v>
      </c>
      <c r="O172">
        <f t="shared" si="46"/>
        <v>1</v>
      </c>
      <c r="P172">
        <f t="shared" ca="1" si="47"/>
        <v>0</v>
      </c>
      <c r="Q172">
        <f t="shared" ca="1" si="48"/>
        <v>0</v>
      </c>
    </row>
    <row r="173" spans="1:17" x14ac:dyDescent="0.25">
      <c r="A173">
        <f t="shared" si="9"/>
        <v>172</v>
      </c>
      <c r="B173" s="212" t="s">
        <v>64</v>
      </c>
      <c r="C173" s="555">
        <v>8</v>
      </c>
      <c r="D173" t="s">
        <v>1469</v>
      </c>
      <c r="E173" t="s">
        <v>1422</v>
      </c>
      <c r="F173" s="494" t="str">
        <f>IF('PLAN PRODUCTION2'!M32="","",'PLAN PRODUCTION2'!M32)</f>
        <v/>
      </c>
      <c r="G173" s="494" t="str">
        <f>IF('PLAN PRODUCTION2'!N32="","",'PLAN PRODUCTION2'!N32)</f>
        <v/>
      </c>
      <c r="H173" t="str">
        <f t="shared" ca="1" si="30"/>
        <v>Plan Date Empty</v>
      </c>
      <c r="I173" t="str">
        <f t="shared" ca="1" si="40"/>
        <v/>
      </c>
      <c r="J173" t="str">
        <f t="shared" si="41"/>
        <v/>
      </c>
      <c r="K173" t="str">
        <f t="shared" si="42"/>
        <v/>
      </c>
      <c r="L173">
        <f t="shared" si="43"/>
        <v>0</v>
      </c>
      <c r="M173">
        <f t="shared" si="44"/>
        <v>0</v>
      </c>
      <c r="N173">
        <f t="shared" si="45"/>
        <v>0</v>
      </c>
      <c r="O173">
        <f t="shared" si="46"/>
        <v>1</v>
      </c>
      <c r="P173">
        <f t="shared" ca="1" si="47"/>
        <v>0</v>
      </c>
      <c r="Q173">
        <f t="shared" ca="1" si="48"/>
        <v>0</v>
      </c>
    </row>
    <row r="174" spans="1:17" x14ac:dyDescent="0.25">
      <c r="A174">
        <f t="shared" si="9"/>
        <v>173</v>
      </c>
      <c r="B174" s="212" t="s">
        <v>64</v>
      </c>
      <c r="C174" s="555">
        <v>8</v>
      </c>
      <c r="D174" t="s">
        <v>1470</v>
      </c>
      <c r="E174" t="s">
        <v>1422</v>
      </c>
      <c r="F174" s="494" t="str">
        <f>IF('PLAN PRODUCTION2'!O32="","",'PLAN PRODUCTION2'!O32)</f>
        <v/>
      </c>
      <c r="G174" s="494" t="str">
        <f>IF('PLAN PRODUCTION2'!P32="","",'PLAN PRODUCTION2'!P32)</f>
        <v/>
      </c>
      <c r="H174" t="str">
        <f t="shared" ca="1" si="30"/>
        <v>Plan Date Empty</v>
      </c>
      <c r="I174" t="str">
        <f t="shared" ca="1" si="40"/>
        <v/>
      </c>
      <c r="J174" t="str">
        <f t="shared" si="41"/>
        <v/>
      </c>
      <c r="K174" t="str">
        <f t="shared" si="42"/>
        <v/>
      </c>
      <c r="L174">
        <f t="shared" si="43"/>
        <v>0</v>
      </c>
      <c r="M174">
        <f t="shared" si="44"/>
        <v>0</v>
      </c>
      <c r="N174">
        <f t="shared" si="45"/>
        <v>0</v>
      </c>
      <c r="O174">
        <f t="shared" si="46"/>
        <v>1</v>
      </c>
      <c r="P174">
        <f t="shared" ca="1" si="47"/>
        <v>0</v>
      </c>
      <c r="Q174">
        <f t="shared" ca="1" si="48"/>
        <v>0</v>
      </c>
    </row>
    <row r="175" spans="1:17" x14ac:dyDescent="0.25">
      <c r="A175">
        <f t="shared" si="9"/>
        <v>174</v>
      </c>
      <c r="B175" s="212" t="s">
        <v>64</v>
      </c>
      <c r="C175" s="555">
        <v>8</v>
      </c>
      <c r="D175" t="s">
        <v>1471</v>
      </c>
      <c r="E175" t="s">
        <v>1424</v>
      </c>
      <c r="F175" s="494" t="str">
        <f>IF('PLAN PRODUCTION2'!Q32="","",'PLAN PRODUCTION2'!Q32)</f>
        <v/>
      </c>
      <c r="G175" s="494" t="str">
        <f>IF('PLAN PRODUCTION2'!R32="","",'PLAN PRODUCTION2'!R32)</f>
        <v/>
      </c>
      <c r="H175" t="str">
        <f t="shared" ca="1" si="30"/>
        <v>Plan Date Empty</v>
      </c>
      <c r="I175" t="str">
        <f t="shared" ca="1" si="40"/>
        <v/>
      </c>
      <c r="J175" t="str">
        <f t="shared" si="41"/>
        <v/>
      </c>
      <c r="K175" t="str">
        <f t="shared" si="42"/>
        <v/>
      </c>
      <c r="L175">
        <f t="shared" si="43"/>
        <v>0</v>
      </c>
      <c r="M175">
        <f t="shared" si="44"/>
        <v>0</v>
      </c>
      <c r="N175">
        <f t="shared" si="45"/>
        <v>0</v>
      </c>
      <c r="O175">
        <f t="shared" si="46"/>
        <v>1</v>
      </c>
      <c r="P175">
        <f t="shared" ca="1" si="47"/>
        <v>0</v>
      </c>
      <c r="Q175">
        <f t="shared" ca="1" si="48"/>
        <v>0</v>
      </c>
    </row>
    <row r="176" spans="1:17" x14ac:dyDescent="0.25">
      <c r="A176">
        <f t="shared" si="9"/>
        <v>175</v>
      </c>
      <c r="B176" s="212" t="s">
        <v>64</v>
      </c>
      <c r="C176" s="555">
        <v>8</v>
      </c>
      <c r="D176" t="s">
        <v>1472</v>
      </c>
      <c r="E176" t="s">
        <v>1426</v>
      </c>
      <c r="F176" s="494" t="str">
        <f>IF('PLAN PRODUCTION2'!S32="","",'PLAN PRODUCTION2'!S32)</f>
        <v/>
      </c>
      <c r="G176" s="494" t="str">
        <f>IF('PLAN PRODUCTION2'!T32="","",'PLAN PRODUCTION2'!T32)</f>
        <v/>
      </c>
      <c r="H176" t="str">
        <f t="shared" ca="1" si="30"/>
        <v>Plan Date Empty</v>
      </c>
      <c r="I176" t="str">
        <f t="shared" ca="1" si="40"/>
        <v/>
      </c>
      <c r="J176" t="str">
        <f t="shared" si="41"/>
        <v/>
      </c>
      <c r="K176" t="str">
        <f t="shared" si="42"/>
        <v/>
      </c>
      <c r="L176">
        <f t="shared" si="43"/>
        <v>0</v>
      </c>
      <c r="M176">
        <f t="shared" si="44"/>
        <v>0</v>
      </c>
      <c r="N176">
        <f t="shared" si="45"/>
        <v>0</v>
      </c>
      <c r="O176">
        <f t="shared" si="46"/>
        <v>1</v>
      </c>
      <c r="P176">
        <f t="shared" ca="1" si="47"/>
        <v>0</v>
      </c>
      <c r="Q176">
        <f t="shared" ca="1" si="48"/>
        <v>0</v>
      </c>
    </row>
    <row r="177" spans="1:17" x14ac:dyDescent="0.25">
      <c r="A177">
        <f t="shared" si="9"/>
        <v>176</v>
      </c>
      <c r="B177" s="212" t="s">
        <v>64</v>
      </c>
      <c r="C177" s="555">
        <v>8</v>
      </c>
      <c r="D177" t="s">
        <v>1473</v>
      </c>
      <c r="E177" t="s">
        <v>1426</v>
      </c>
      <c r="F177" s="494" t="str">
        <f>IF('PLAN PRODUCTION2'!U32="","",'PLAN PRODUCTION2'!U32)</f>
        <v/>
      </c>
      <c r="G177" s="494" t="str">
        <f>IF('PLAN PRODUCTION2'!V32="","",'PLAN PRODUCTION2'!V32)</f>
        <v/>
      </c>
      <c r="H177" t="str">
        <f t="shared" ca="1" si="30"/>
        <v>Plan Date Empty</v>
      </c>
      <c r="I177" t="str">
        <f t="shared" ca="1" si="40"/>
        <v/>
      </c>
      <c r="J177" t="str">
        <f t="shared" si="41"/>
        <v/>
      </c>
      <c r="K177" t="str">
        <f t="shared" si="42"/>
        <v/>
      </c>
      <c r="L177">
        <f t="shared" si="43"/>
        <v>0</v>
      </c>
      <c r="M177">
        <f t="shared" si="44"/>
        <v>0</v>
      </c>
      <c r="N177">
        <f t="shared" si="45"/>
        <v>0</v>
      </c>
      <c r="O177">
        <f t="shared" si="46"/>
        <v>1</v>
      </c>
      <c r="P177">
        <f t="shared" ca="1" si="47"/>
        <v>0</v>
      </c>
      <c r="Q177">
        <f t="shared" ca="1" si="48"/>
        <v>0</v>
      </c>
    </row>
    <row r="178" spans="1:17" x14ac:dyDescent="0.25">
      <c r="A178">
        <f t="shared" si="9"/>
        <v>177</v>
      </c>
      <c r="B178" s="212" t="s">
        <v>64</v>
      </c>
      <c r="C178" s="555">
        <v>8</v>
      </c>
      <c r="D178" t="s">
        <v>1474</v>
      </c>
      <c r="E178" t="s">
        <v>1426</v>
      </c>
      <c r="F178" s="494" t="str">
        <f>IF('PLAN PRODUCTION2'!W32="","",'PLAN PRODUCTION2'!W32)</f>
        <v/>
      </c>
      <c r="G178" s="494" t="str">
        <f>IF('PLAN PRODUCTION2'!X32="","",'PLAN PRODUCTION2'!X32)</f>
        <v/>
      </c>
      <c r="H178" t="str">
        <f t="shared" ca="1" si="30"/>
        <v>Plan Date Empty</v>
      </c>
      <c r="I178" t="str">
        <f t="shared" ca="1" si="40"/>
        <v/>
      </c>
      <c r="J178" t="str">
        <f t="shared" si="41"/>
        <v/>
      </c>
      <c r="K178" t="str">
        <f t="shared" si="42"/>
        <v/>
      </c>
      <c r="L178">
        <f t="shared" si="43"/>
        <v>0</v>
      </c>
      <c r="M178">
        <f t="shared" si="44"/>
        <v>0</v>
      </c>
      <c r="N178">
        <f t="shared" si="45"/>
        <v>0</v>
      </c>
      <c r="O178">
        <f t="shared" si="46"/>
        <v>1</v>
      </c>
      <c r="P178">
        <f t="shared" ca="1" si="47"/>
        <v>0</v>
      </c>
      <c r="Q178">
        <f t="shared" ca="1" si="48"/>
        <v>0</v>
      </c>
    </row>
    <row r="179" spans="1:17" x14ac:dyDescent="0.25">
      <c r="A179">
        <f t="shared" si="9"/>
        <v>178</v>
      </c>
      <c r="B179" s="212" t="s">
        <v>64</v>
      </c>
      <c r="C179" s="555">
        <v>8</v>
      </c>
      <c r="D179" t="s">
        <v>1475</v>
      </c>
      <c r="E179" t="s">
        <v>1426</v>
      </c>
      <c r="F179" s="494" t="str">
        <f>IF('PLAN PRODUCTION2'!Y32="","",'PLAN PRODUCTION2'!Y32)</f>
        <v/>
      </c>
      <c r="G179" s="494" t="str">
        <f>IF('PLAN PRODUCTION2'!Z32="","",'PLAN PRODUCTION2'!Z32)</f>
        <v/>
      </c>
      <c r="H179" t="str">
        <f t="shared" ca="1" si="30"/>
        <v>Plan Date Empty</v>
      </c>
      <c r="I179" t="str">
        <f t="shared" ca="1" si="40"/>
        <v/>
      </c>
      <c r="J179" t="str">
        <f t="shared" si="41"/>
        <v/>
      </c>
      <c r="K179" t="str">
        <f t="shared" si="42"/>
        <v/>
      </c>
      <c r="L179">
        <f t="shared" si="43"/>
        <v>0</v>
      </c>
      <c r="M179">
        <f t="shared" si="44"/>
        <v>0</v>
      </c>
      <c r="N179">
        <f t="shared" si="45"/>
        <v>0</v>
      </c>
      <c r="O179">
        <f t="shared" si="46"/>
        <v>1</v>
      </c>
      <c r="P179">
        <f t="shared" ca="1" si="47"/>
        <v>0</v>
      </c>
      <c r="Q179">
        <f t="shared" ca="1" si="48"/>
        <v>0</v>
      </c>
    </row>
    <row r="180" spans="1:17" x14ac:dyDescent="0.25">
      <c r="A180">
        <f t="shared" si="9"/>
        <v>179</v>
      </c>
      <c r="B180" s="212" t="s">
        <v>64</v>
      </c>
      <c r="C180" s="555">
        <v>8</v>
      </c>
      <c r="D180" t="s">
        <v>1476</v>
      </c>
      <c r="E180" t="s">
        <v>1426</v>
      </c>
      <c r="F180" s="494" t="str">
        <f>IF('PLAN PRODUCTION2'!AA32="","",'PLAN PRODUCTION2'!AA32)</f>
        <v/>
      </c>
      <c r="G180" s="494" t="str">
        <f>IF('PLAN PRODUCTION2'!AB32="","",'PLAN PRODUCTION2'!AB32)</f>
        <v/>
      </c>
      <c r="H180" t="str">
        <f t="shared" ca="1" si="30"/>
        <v>Plan Date Empty</v>
      </c>
      <c r="I180" t="str">
        <f t="shared" ca="1" si="40"/>
        <v/>
      </c>
      <c r="J180" t="str">
        <f t="shared" si="41"/>
        <v/>
      </c>
      <c r="K180" t="str">
        <f t="shared" si="42"/>
        <v/>
      </c>
      <c r="L180">
        <f t="shared" si="43"/>
        <v>0</v>
      </c>
      <c r="M180">
        <f t="shared" si="44"/>
        <v>0</v>
      </c>
      <c r="N180">
        <f t="shared" si="45"/>
        <v>0</v>
      </c>
      <c r="O180">
        <f t="shared" si="46"/>
        <v>1</v>
      </c>
      <c r="P180">
        <f t="shared" ca="1" si="47"/>
        <v>0</v>
      </c>
      <c r="Q180">
        <f t="shared" ca="1" si="48"/>
        <v>0</v>
      </c>
    </row>
    <row r="181" spans="1:17" x14ac:dyDescent="0.25">
      <c r="A181">
        <f t="shared" si="9"/>
        <v>180</v>
      </c>
      <c r="B181" s="212" t="s">
        <v>64</v>
      </c>
      <c r="C181" s="555">
        <v>8</v>
      </c>
      <c r="D181" t="s">
        <v>1477</v>
      </c>
      <c r="E181" t="s">
        <v>1422</v>
      </c>
      <c r="F181" s="494" t="str">
        <f>IF('PLAN PRODUCTION2'!AC32="","",'PLAN PRODUCTION2'!AC32)</f>
        <v/>
      </c>
      <c r="G181" s="494" t="str">
        <f>IF('PLAN PRODUCTION2'!AD32="","",'PLAN PRODUCTION2'!AD32)</f>
        <v/>
      </c>
      <c r="H181" t="str">
        <f t="shared" ref="H181:H244" ca="1" si="49">IF(F181="","Plan Date Empty",IF(G181&lt;&gt;"",IF(G181&lt;=F181,"Completed - On Time","Not Done - Overdue"),IF(TODAY()&gt;F181,"Not Done - Overdue","Not Done - On Schedule")))</f>
        <v>Plan Date Empty</v>
      </c>
      <c r="I181" t="str">
        <f t="shared" ca="1" si="40"/>
        <v/>
      </c>
      <c r="J181" t="str">
        <f t="shared" si="41"/>
        <v/>
      </c>
      <c r="K181" t="str">
        <f t="shared" si="42"/>
        <v/>
      </c>
      <c r="L181">
        <f t="shared" si="43"/>
        <v>0</v>
      </c>
      <c r="M181">
        <f t="shared" si="44"/>
        <v>0</v>
      </c>
      <c r="N181">
        <f t="shared" si="45"/>
        <v>0</v>
      </c>
      <c r="O181">
        <f t="shared" si="46"/>
        <v>1</v>
      </c>
      <c r="P181">
        <f t="shared" ca="1" si="47"/>
        <v>0</v>
      </c>
      <c r="Q181">
        <f t="shared" ca="1" si="48"/>
        <v>0</v>
      </c>
    </row>
    <row r="182" spans="1:17" x14ac:dyDescent="0.25">
      <c r="A182">
        <f t="shared" si="9"/>
        <v>181</v>
      </c>
      <c r="B182" s="212" t="s">
        <v>64</v>
      </c>
      <c r="C182" s="555">
        <v>8</v>
      </c>
      <c r="D182" t="s">
        <v>1478</v>
      </c>
      <c r="E182" t="s">
        <v>1429</v>
      </c>
      <c r="F182" s="494" t="str">
        <f>IF('PLAN PRODUCTION2'!AE32="","",'PLAN PRODUCTION2'!AE32)</f>
        <v/>
      </c>
      <c r="G182" s="494" t="str">
        <f>IF('PLAN PRODUCTION2'!AF32="","",'PLAN PRODUCTION2'!AF32)</f>
        <v/>
      </c>
      <c r="H182" t="str">
        <f t="shared" ca="1" si="49"/>
        <v>Plan Date Empty</v>
      </c>
      <c r="I182" t="str">
        <f t="shared" ca="1" si="40"/>
        <v/>
      </c>
      <c r="J182" t="str">
        <f t="shared" si="41"/>
        <v/>
      </c>
      <c r="K182" t="str">
        <f t="shared" si="42"/>
        <v/>
      </c>
      <c r="L182">
        <f t="shared" si="43"/>
        <v>0</v>
      </c>
      <c r="M182">
        <f t="shared" si="44"/>
        <v>0</v>
      </c>
      <c r="N182">
        <f t="shared" si="45"/>
        <v>0</v>
      </c>
      <c r="O182">
        <f t="shared" si="46"/>
        <v>1</v>
      </c>
      <c r="P182">
        <f t="shared" ca="1" si="47"/>
        <v>0</v>
      </c>
      <c r="Q182">
        <f t="shared" ca="1" si="48"/>
        <v>0</v>
      </c>
    </row>
    <row r="183" spans="1:17" x14ac:dyDescent="0.25">
      <c r="A183">
        <f t="shared" si="9"/>
        <v>182</v>
      </c>
      <c r="B183" s="212" t="s">
        <v>64</v>
      </c>
      <c r="C183" s="555">
        <v>8</v>
      </c>
      <c r="D183" t="s">
        <v>1479</v>
      </c>
      <c r="E183" t="s">
        <v>1429</v>
      </c>
      <c r="F183" s="494" t="str">
        <f>IF('PLAN PRODUCTION2'!AG32="","",'PLAN PRODUCTION2'!AG32)</f>
        <v/>
      </c>
      <c r="G183" s="494" t="str">
        <f>IF('PLAN PRODUCTION2'!AH32="","",'PLAN PRODUCTION2'!AH32)</f>
        <v/>
      </c>
      <c r="H183" t="str">
        <f t="shared" ca="1" si="49"/>
        <v>Plan Date Empty</v>
      </c>
      <c r="I183" t="str">
        <f t="shared" ca="1" si="40"/>
        <v/>
      </c>
      <c r="J183" t="str">
        <f t="shared" si="41"/>
        <v/>
      </c>
      <c r="K183" t="str">
        <f t="shared" si="42"/>
        <v/>
      </c>
      <c r="L183">
        <f t="shared" si="43"/>
        <v>0</v>
      </c>
      <c r="M183">
        <f t="shared" si="44"/>
        <v>0</v>
      </c>
      <c r="N183">
        <f t="shared" si="45"/>
        <v>0</v>
      </c>
      <c r="O183">
        <f t="shared" si="46"/>
        <v>1</v>
      </c>
      <c r="P183">
        <f t="shared" ca="1" si="47"/>
        <v>0</v>
      </c>
      <c r="Q183">
        <f t="shared" ca="1" si="48"/>
        <v>0</v>
      </c>
    </row>
    <row r="184" spans="1:17" x14ac:dyDescent="0.25">
      <c r="A184">
        <f t="shared" si="9"/>
        <v>183</v>
      </c>
      <c r="B184" s="212" t="s">
        <v>65</v>
      </c>
      <c r="C184" s="555">
        <v>7</v>
      </c>
      <c r="D184" t="s">
        <v>1466</v>
      </c>
      <c r="E184" t="s">
        <v>1420</v>
      </c>
      <c r="F184" s="494" t="str">
        <f>IF('PLAN PRODUCTION2'!E33="","",'PLAN PRODUCTION2'!E33)</f>
        <v/>
      </c>
      <c r="G184" s="494" t="str">
        <f>IF('PLAN PRODUCTION2'!F33="","",'PLAN PRODUCTION2'!F33)</f>
        <v/>
      </c>
      <c r="H184" t="str">
        <f t="shared" ca="1" si="49"/>
        <v>Plan Date Empty</v>
      </c>
      <c r="I184" t="str">
        <f t="shared" ca="1" si="40"/>
        <v/>
      </c>
      <c r="J184" t="str">
        <f t="shared" si="41"/>
        <v/>
      </c>
      <c r="K184" t="str">
        <f t="shared" si="42"/>
        <v/>
      </c>
      <c r="L184">
        <f t="shared" si="43"/>
        <v>0</v>
      </c>
      <c r="M184">
        <f t="shared" si="44"/>
        <v>0</v>
      </c>
      <c r="N184">
        <f t="shared" si="45"/>
        <v>0</v>
      </c>
      <c r="O184">
        <f t="shared" si="46"/>
        <v>1</v>
      </c>
      <c r="P184">
        <f t="shared" ca="1" si="47"/>
        <v>0</v>
      </c>
      <c r="Q184">
        <f t="shared" ca="1" si="48"/>
        <v>0</v>
      </c>
    </row>
    <row r="185" spans="1:17" x14ac:dyDescent="0.25">
      <c r="A185">
        <f t="shared" si="9"/>
        <v>184</v>
      </c>
      <c r="B185" s="212" t="s">
        <v>65</v>
      </c>
      <c r="C185" s="555">
        <v>7</v>
      </c>
      <c r="D185" t="s">
        <v>1467</v>
      </c>
      <c r="E185" t="s">
        <v>1420</v>
      </c>
      <c r="F185" s="494" t="str">
        <f>IF('PLAN PRODUCTION2'!I33="","",'PLAN PRODUCTION2'!I33)</f>
        <v/>
      </c>
      <c r="G185" s="494" t="str">
        <f>IF('PLAN PRODUCTION2'!J33="","",'PLAN PRODUCTION2'!J33)</f>
        <v/>
      </c>
      <c r="H185" t="str">
        <f t="shared" ca="1" si="49"/>
        <v>Plan Date Empty</v>
      </c>
      <c r="I185" t="str">
        <f t="shared" ca="1" si="40"/>
        <v/>
      </c>
      <c r="J185" t="str">
        <f t="shared" si="41"/>
        <v/>
      </c>
      <c r="K185" t="str">
        <f t="shared" si="42"/>
        <v/>
      </c>
      <c r="L185">
        <f t="shared" si="43"/>
        <v>0</v>
      </c>
      <c r="M185">
        <f t="shared" si="44"/>
        <v>0</v>
      </c>
      <c r="N185">
        <f t="shared" si="45"/>
        <v>0</v>
      </c>
      <c r="O185">
        <f t="shared" si="46"/>
        <v>1</v>
      </c>
      <c r="P185">
        <f t="shared" ca="1" si="47"/>
        <v>0</v>
      </c>
      <c r="Q185">
        <f t="shared" ca="1" si="48"/>
        <v>0</v>
      </c>
    </row>
    <row r="186" spans="1:17" x14ac:dyDescent="0.25">
      <c r="A186">
        <f t="shared" si="9"/>
        <v>185</v>
      </c>
      <c r="B186" s="212" t="s">
        <v>65</v>
      </c>
      <c r="C186" s="555">
        <v>7</v>
      </c>
      <c r="D186" t="s">
        <v>1468</v>
      </c>
      <c r="E186" t="s">
        <v>1420</v>
      </c>
      <c r="F186" s="494" t="str">
        <f>IF('PLAN PRODUCTION2'!K33="","",'PLAN PRODUCTION2'!K33)</f>
        <v/>
      </c>
      <c r="G186" s="494" t="str">
        <f>IF('PLAN PRODUCTION2'!L33="","",'PLAN PRODUCTION2'!L33)</f>
        <v/>
      </c>
      <c r="H186" t="str">
        <f t="shared" ca="1" si="49"/>
        <v>Plan Date Empty</v>
      </c>
      <c r="I186" t="str">
        <f t="shared" ca="1" si="40"/>
        <v/>
      </c>
      <c r="J186" t="str">
        <f t="shared" si="41"/>
        <v/>
      </c>
      <c r="K186" t="str">
        <f t="shared" si="42"/>
        <v/>
      </c>
      <c r="L186">
        <f t="shared" si="43"/>
        <v>0</v>
      </c>
      <c r="M186">
        <f t="shared" si="44"/>
        <v>0</v>
      </c>
      <c r="N186">
        <f t="shared" si="45"/>
        <v>0</v>
      </c>
      <c r="O186">
        <f t="shared" si="46"/>
        <v>1</v>
      </c>
      <c r="P186">
        <f t="shared" ca="1" si="47"/>
        <v>0</v>
      </c>
      <c r="Q186">
        <f t="shared" ca="1" si="48"/>
        <v>0</v>
      </c>
    </row>
    <row r="187" spans="1:17" x14ac:dyDescent="0.25">
      <c r="A187">
        <f t="shared" si="9"/>
        <v>186</v>
      </c>
      <c r="B187" s="212" t="s">
        <v>65</v>
      </c>
      <c r="C187" s="555">
        <v>7</v>
      </c>
      <c r="D187" t="s">
        <v>1469</v>
      </c>
      <c r="E187" t="s">
        <v>1422</v>
      </c>
      <c r="F187" s="494" t="str">
        <f>IF('PLAN PRODUCTION2'!M33="","",'PLAN PRODUCTION2'!M33)</f>
        <v/>
      </c>
      <c r="G187" s="494" t="str">
        <f>IF('PLAN PRODUCTION2'!N33="","",'PLAN PRODUCTION2'!N33)</f>
        <v/>
      </c>
      <c r="H187" t="str">
        <f t="shared" ca="1" si="49"/>
        <v>Plan Date Empty</v>
      </c>
      <c r="I187" t="str">
        <f t="shared" ca="1" si="40"/>
        <v/>
      </c>
      <c r="J187" t="str">
        <f t="shared" si="41"/>
        <v/>
      </c>
      <c r="K187" t="str">
        <f t="shared" si="42"/>
        <v/>
      </c>
      <c r="L187">
        <f t="shared" si="43"/>
        <v>0</v>
      </c>
      <c r="M187">
        <f t="shared" si="44"/>
        <v>0</v>
      </c>
      <c r="N187">
        <f t="shared" si="45"/>
        <v>0</v>
      </c>
      <c r="O187">
        <f t="shared" si="46"/>
        <v>1</v>
      </c>
      <c r="P187">
        <f t="shared" ca="1" si="47"/>
        <v>0</v>
      </c>
      <c r="Q187">
        <f t="shared" ca="1" si="48"/>
        <v>0</v>
      </c>
    </row>
    <row r="188" spans="1:17" x14ac:dyDescent="0.25">
      <c r="A188">
        <f t="shared" si="9"/>
        <v>187</v>
      </c>
      <c r="B188" s="212" t="s">
        <v>65</v>
      </c>
      <c r="C188" s="555">
        <v>7</v>
      </c>
      <c r="D188" t="s">
        <v>1470</v>
      </c>
      <c r="E188" t="s">
        <v>1422</v>
      </c>
      <c r="F188" s="494" t="str">
        <f>IF('PLAN PRODUCTION2'!O33="","",'PLAN PRODUCTION2'!O33)</f>
        <v/>
      </c>
      <c r="G188" s="494" t="str">
        <f>IF('PLAN PRODUCTION2'!P33="","",'PLAN PRODUCTION2'!P33)</f>
        <v/>
      </c>
      <c r="H188" t="str">
        <f t="shared" ca="1" si="49"/>
        <v>Plan Date Empty</v>
      </c>
      <c r="I188" t="str">
        <f t="shared" ca="1" si="40"/>
        <v/>
      </c>
      <c r="J188" t="str">
        <f t="shared" si="41"/>
        <v/>
      </c>
      <c r="K188" t="str">
        <f t="shared" si="42"/>
        <v/>
      </c>
      <c r="L188">
        <f t="shared" si="43"/>
        <v>0</v>
      </c>
      <c r="M188">
        <f t="shared" si="44"/>
        <v>0</v>
      </c>
      <c r="N188">
        <f t="shared" si="45"/>
        <v>0</v>
      </c>
      <c r="O188">
        <f t="shared" si="46"/>
        <v>1</v>
      </c>
      <c r="P188">
        <f t="shared" ca="1" si="47"/>
        <v>0</v>
      </c>
      <c r="Q188">
        <f t="shared" ca="1" si="48"/>
        <v>0</v>
      </c>
    </row>
    <row r="189" spans="1:17" x14ac:dyDescent="0.25">
      <c r="A189">
        <f t="shared" si="9"/>
        <v>188</v>
      </c>
      <c r="B189" s="212" t="s">
        <v>65</v>
      </c>
      <c r="C189" s="555">
        <v>7</v>
      </c>
      <c r="D189" t="s">
        <v>1471</v>
      </c>
      <c r="E189" t="s">
        <v>1424</v>
      </c>
      <c r="F189" s="494" t="str">
        <f>IF('PLAN PRODUCTION2'!Q33="","",'PLAN PRODUCTION2'!Q33)</f>
        <v/>
      </c>
      <c r="G189" s="494" t="str">
        <f>IF('PLAN PRODUCTION2'!R33="","",'PLAN PRODUCTION2'!R33)</f>
        <v/>
      </c>
      <c r="H189" t="str">
        <f t="shared" ca="1" si="49"/>
        <v>Plan Date Empty</v>
      </c>
      <c r="I189" t="str">
        <f t="shared" ca="1" si="40"/>
        <v/>
      </c>
      <c r="J189" t="str">
        <f t="shared" si="41"/>
        <v/>
      </c>
      <c r="K189" t="str">
        <f t="shared" si="42"/>
        <v/>
      </c>
      <c r="L189">
        <f t="shared" si="43"/>
        <v>0</v>
      </c>
      <c r="M189">
        <f t="shared" si="44"/>
        <v>0</v>
      </c>
      <c r="N189">
        <f t="shared" si="45"/>
        <v>0</v>
      </c>
      <c r="O189">
        <f t="shared" si="46"/>
        <v>1</v>
      </c>
      <c r="P189">
        <f t="shared" ca="1" si="47"/>
        <v>0</v>
      </c>
      <c r="Q189">
        <f t="shared" ca="1" si="48"/>
        <v>0</v>
      </c>
    </row>
    <row r="190" spans="1:17" x14ac:dyDescent="0.25">
      <c r="A190">
        <f t="shared" si="9"/>
        <v>189</v>
      </c>
      <c r="B190" s="212" t="s">
        <v>65</v>
      </c>
      <c r="C190" s="555">
        <v>7</v>
      </c>
      <c r="D190" t="s">
        <v>1472</v>
      </c>
      <c r="E190" t="s">
        <v>1426</v>
      </c>
      <c r="F190" s="494" t="str">
        <f>IF('PLAN PRODUCTION2'!S33="","",'PLAN PRODUCTION2'!S33)</f>
        <v/>
      </c>
      <c r="G190" s="494" t="str">
        <f>IF('PLAN PRODUCTION2'!T33="","",'PLAN PRODUCTION2'!T33)</f>
        <v/>
      </c>
      <c r="H190" t="str">
        <f t="shared" ca="1" si="49"/>
        <v>Plan Date Empty</v>
      </c>
      <c r="I190" t="str">
        <f t="shared" ca="1" si="40"/>
        <v/>
      </c>
      <c r="J190" t="str">
        <f t="shared" si="41"/>
        <v/>
      </c>
      <c r="K190" t="str">
        <f t="shared" si="42"/>
        <v/>
      </c>
      <c r="L190">
        <f t="shared" si="43"/>
        <v>0</v>
      </c>
      <c r="M190">
        <f t="shared" si="44"/>
        <v>0</v>
      </c>
      <c r="N190">
        <f t="shared" si="45"/>
        <v>0</v>
      </c>
      <c r="O190">
        <f t="shared" si="46"/>
        <v>1</v>
      </c>
      <c r="P190">
        <f t="shared" ca="1" si="47"/>
        <v>0</v>
      </c>
      <c r="Q190">
        <f t="shared" ca="1" si="48"/>
        <v>0</v>
      </c>
    </row>
    <row r="191" spans="1:17" x14ac:dyDescent="0.25">
      <c r="A191">
        <f t="shared" si="9"/>
        <v>190</v>
      </c>
      <c r="B191" s="212" t="s">
        <v>65</v>
      </c>
      <c r="C191" s="555">
        <v>7</v>
      </c>
      <c r="D191" t="s">
        <v>1473</v>
      </c>
      <c r="E191" t="s">
        <v>1426</v>
      </c>
      <c r="F191" s="494" t="str">
        <f>IF('PLAN PRODUCTION2'!U33="","",'PLAN PRODUCTION2'!U33)</f>
        <v/>
      </c>
      <c r="G191" s="494" t="str">
        <f>IF('PLAN PRODUCTION2'!V33="","",'PLAN PRODUCTION2'!V33)</f>
        <v/>
      </c>
      <c r="H191" t="str">
        <f t="shared" ca="1" si="49"/>
        <v>Plan Date Empty</v>
      </c>
      <c r="I191" t="str">
        <f t="shared" ca="1" si="40"/>
        <v/>
      </c>
      <c r="J191" t="str">
        <f t="shared" si="41"/>
        <v/>
      </c>
      <c r="K191" t="str">
        <f t="shared" si="42"/>
        <v/>
      </c>
      <c r="L191">
        <f t="shared" si="43"/>
        <v>0</v>
      </c>
      <c r="M191">
        <f t="shared" si="44"/>
        <v>0</v>
      </c>
      <c r="N191">
        <f t="shared" si="45"/>
        <v>0</v>
      </c>
      <c r="O191">
        <f t="shared" si="46"/>
        <v>1</v>
      </c>
      <c r="P191">
        <f t="shared" ca="1" si="47"/>
        <v>0</v>
      </c>
      <c r="Q191">
        <f t="shared" ca="1" si="48"/>
        <v>0</v>
      </c>
    </row>
    <row r="192" spans="1:17" x14ac:dyDescent="0.25">
      <c r="A192">
        <f t="shared" ref="A192:A255" si="50">ROW(B192)-1</f>
        <v>191</v>
      </c>
      <c r="B192" s="212" t="s">
        <v>65</v>
      </c>
      <c r="C192" s="555">
        <v>7</v>
      </c>
      <c r="D192" t="s">
        <v>1474</v>
      </c>
      <c r="E192" t="s">
        <v>1426</v>
      </c>
      <c r="F192" s="494" t="str">
        <f>IF('PLAN PRODUCTION2'!W33="","",'PLAN PRODUCTION2'!W33)</f>
        <v/>
      </c>
      <c r="G192" s="494" t="str">
        <f>IF('PLAN PRODUCTION2'!X33="","",'PLAN PRODUCTION2'!X33)</f>
        <v/>
      </c>
      <c r="H192" t="str">
        <f t="shared" ca="1" si="49"/>
        <v>Plan Date Empty</v>
      </c>
      <c r="I192" t="str">
        <f t="shared" ca="1" si="40"/>
        <v/>
      </c>
      <c r="J192" t="str">
        <f t="shared" si="41"/>
        <v/>
      </c>
      <c r="K192" t="str">
        <f t="shared" si="42"/>
        <v/>
      </c>
      <c r="L192">
        <f t="shared" si="43"/>
        <v>0</v>
      </c>
      <c r="M192">
        <f t="shared" si="44"/>
        <v>0</v>
      </c>
      <c r="N192">
        <f t="shared" si="45"/>
        <v>0</v>
      </c>
      <c r="O192">
        <f t="shared" si="46"/>
        <v>1</v>
      </c>
      <c r="P192">
        <f t="shared" ca="1" si="47"/>
        <v>0</v>
      </c>
      <c r="Q192">
        <f t="shared" ca="1" si="48"/>
        <v>0</v>
      </c>
    </row>
    <row r="193" spans="1:17" x14ac:dyDescent="0.25">
      <c r="A193">
        <f t="shared" si="50"/>
        <v>192</v>
      </c>
      <c r="B193" s="212" t="s">
        <v>65</v>
      </c>
      <c r="C193" s="555">
        <v>7</v>
      </c>
      <c r="D193" t="s">
        <v>1475</v>
      </c>
      <c r="E193" t="s">
        <v>1426</v>
      </c>
      <c r="F193" s="494" t="str">
        <f>IF('PLAN PRODUCTION2'!Y33="","",'PLAN PRODUCTION2'!Y33)</f>
        <v/>
      </c>
      <c r="G193" s="494" t="str">
        <f>IF('PLAN PRODUCTION2'!Z33="","",'PLAN PRODUCTION2'!Z33)</f>
        <v/>
      </c>
      <c r="H193" t="str">
        <f t="shared" ca="1" si="49"/>
        <v>Plan Date Empty</v>
      </c>
      <c r="I193" t="str">
        <f t="shared" ref="I193:I256" ca="1" si="51">IF(AND(F193&lt;&gt;"",G193&lt;&gt;""),G193-F193,IF(AND(F193&lt;&gt;"",G193="",TODAY()&gt;F193),TODAY()-F193,""))</f>
        <v/>
      </c>
      <c r="J193" t="str">
        <f t="shared" ref="J193:J256" si="52">IF(F193="","",INT(((F193-DATE(YEAR(F193),1,1)+1)+WEEKDAY(DATE(YEAR(F193),1,1),2)-2)/7)+1)</f>
        <v/>
      </c>
      <c r="K193" t="str">
        <f t="shared" ref="K193:K256" si="53">IF(F193="","","Minggu "&amp;J193&amp;" ("&amp;YEAR(F193)&amp;")")</f>
        <v/>
      </c>
      <c r="L193">
        <f t="shared" ref="L193:L256" si="54">IF(G193&lt;&gt;"",1,0)</f>
        <v>0</v>
      </c>
      <c r="M193">
        <f t="shared" ref="M193:M256" si="55">IF(AND(G193&lt;&gt;"",G193&lt;=F193),1,0)</f>
        <v>0</v>
      </c>
      <c r="N193">
        <f t="shared" ref="N193:N256" si="56">IF(AND(G193&lt;&gt;"",G193&gt;F193),1,0)</f>
        <v>0</v>
      </c>
      <c r="O193">
        <f t="shared" ref="O193:O256" si="57">IF(G193="",1,0)</f>
        <v>1</v>
      </c>
      <c r="P193">
        <f t="shared" ref="P193:P256" ca="1" si="58">IF(AND(G193="",F193&lt;&gt;"",TODAY()&gt;F193),1,0)</f>
        <v>0</v>
      </c>
      <c r="Q193">
        <f t="shared" ref="Q193:Q256" ca="1" si="59">IF(I193="",0,I193)</f>
        <v>0</v>
      </c>
    </row>
    <row r="194" spans="1:17" x14ac:dyDescent="0.25">
      <c r="A194">
        <f t="shared" si="50"/>
        <v>193</v>
      </c>
      <c r="B194" s="212" t="s">
        <v>65</v>
      </c>
      <c r="C194" s="555">
        <v>7</v>
      </c>
      <c r="D194" t="s">
        <v>1476</v>
      </c>
      <c r="E194" t="s">
        <v>1426</v>
      </c>
      <c r="F194" s="494" t="str">
        <f>IF('PLAN PRODUCTION2'!AA33="","",'PLAN PRODUCTION2'!AA33)</f>
        <v/>
      </c>
      <c r="G194" s="494" t="str">
        <f>IF('PLAN PRODUCTION2'!AB33="","",'PLAN PRODUCTION2'!AB33)</f>
        <v/>
      </c>
      <c r="H194" t="str">
        <f t="shared" ca="1" si="49"/>
        <v>Plan Date Empty</v>
      </c>
      <c r="I194" t="str">
        <f t="shared" ca="1" si="51"/>
        <v/>
      </c>
      <c r="J194" t="str">
        <f t="shared" si="52"/>
        <v/>
      </c>
      <c r="K194" t="str">
        <f t="shared" si="53"/>
        <v/>
      </c>
      <c r="L194">
        <f t="shared" si="54"/>
        <v>0</v>
      </c>
      <c r="M194">
        <f t="shared" si="55"/>
        <v>0</v>
      </c>
      <c r="N194">
        <f t="shared" si="56"/>
        <v>0</v>
      </c>
      <c r="O194">
        <f t="shared" si="57"/>
        <v>1</v>
      </c>
      <c r="P194">
        <f t="shared" ca="1" si="58"/>
        <v>0</v>
      </c>
      <c r="Q194">
        <f t="shared" ca="1" si="59"/>
        <v>0</v>
      </c>
    </row>
    <row r="195" spans="1:17" x14ac:dyDescent="0.25">
      <c r="A195">
        <f t="shared" si="50"/>
        <v>194</v>
      </c>
      <c r="B195" s="212" t="s">
        <v>65</v>
      </c>
      <c r="C195" s="555">
        <v>7</v>
      </c>
      <c r="D195" t="s">
        <v>1477</v>
      </c>
      <c r="E195" t="s">
        <v>1422</v>
      </c>
      <c r="F195" s="494" t="str">
        <f>IF('PLAN PRODUCTION2'!AC33="","",'PLAN PRODUCTION2'!AC33)</f>
        <v/>
      </c>
      <c r="G195" s="494" t="str">
        <f>IF('PLAN PRODUCTION2'!AD33="","",'PLAN PRODUCTION2'!AD33)</f>
        <v/>
      </c>
      <c r="H195" t="str">
        <f t="shared" ca="1" si="49"/>
        <v>Plan Date Empty</v>
      </c>
      <c r="I195" t="str">
        <f t="shared" ca="1" si="51"/>
        <v/>
      </c>
      <c r="J195" t="str">
        <f t="shared" si="52"/>
        <v/>
      </c>
      <c r="K195" t="str">
        <f t="shared" si="53"/>
        <v/>
      </c>
      <c r="L195">
        <f t="shared" si="54"/>
        <v>0</v>
      </c>
      <c r="M195">
        <f t="shared" si="55"/>
        <v>0</v>
      </c>
      <c r="N195">
        <f t="shared" si="56"/>
        <v>0</v>
      </c>
      <c r="O195">
        <f t="shared" si="57"/>
        <v>1</v>
      </c>
      <c r="P195">
        <f t="shared" ca="1" si="58"/>
        <v>0</v>
      </c>
      <c r="Q195">
        <f t="shared" ca="1" si="59"/>
        <v>0</v>
      </c>
    </row>
    <row r="196" spans="1:17" x14ac:dyDescent="0.25">
      <c r="A196">
        <f t="shared" si="50"/>
        <v>195</v>
      </c>
      <c r="B196" s="212" t="s">
        <v>65</v>
      </c>
      <c r="C196" s="555">
        <v>7</v>
      </c>
      <c r="D196" t="s">
        <v>1478</v>
      </c>
      <c r="E196" t="s">
        <v>1429</v>
      </c>
      <c r="F196" s="494" t="str">
        <f>IF('PLAN PRODUCTION2'!AE33="","",'PLAN PRODUCTION2'!AE33)</f>
        <v/>
      </c>
      <c r="G196" s="494" t="str">
        <f>IF('PLAN PRODUCTION2'!AF33="","",'PLAN PRODUCTION2'!AF33)</f>
        <v/>
      </c>
      <c r="H196" t="str">
        <f t="shared" ca="1" si="49"/>
        <v>Plan Date Empty</v>
      </c>
      <c r="I196" t="str">
        <f t="shared" ca="1" si="51"/>
        <v/>
      </c>
      <c r="J196" t="str">
        <f t="shared" si="52"/>
        <v/>
      </c>
      <c r="K196" t="str">
        <f t="shared" si="53"/>
        <v/>
      </c>
      <c r="L196">
        <f t="shared" si="54"/>
        <v>0</v>
      </c>
      <c r="M196">
        <f t="shared" si="55"/>
        <v>0</v>
      </c>
      <c r="N196">
        <f t="shared" si="56"/>
        <v>0</v>
      </c>
      <c r="O196">
        <f t="shared" si="57"/>
        <v>1</v>
      </c>
      <c r="P196">
        <f t="shared" ca="1" si="58"/>
        <v>0</v>
      </c>
      <c r="Q196">
        <f t="shared" ca="1" si="59"/>
        <v>0</v>
      </c>
    </row>
    <row r="197" spans="1:17" x14ac:dyDescent="0.25">
      <c r="A197">
        <f t="shared" si="50"/>
        <v>196</v>
      </c>
      <c r="B197" s="212" t="s">
        <v>65</v>
      </c>
      <c r="C197" s="555">
        <v>7</v>
      </c>
      <c r="D197" t="s">
        <v>1479</v>
      </c>
      <c r="E197" t="s">
        <v>1429</v>
      </c>
      <c r="F197" s="494" t="str">
        <f>IF('PLAN PRODUCTION2'!AG33="","",'PLAN PRODUCTION2'!AG33)</f>
        <v/>
      </c>
      <c r="G197" s="494" t="str">
        <f>IF('PLAN PRODUCTION2'!AH33="","",'PLAN PRODUCTION2'!AH33)</f>
        <v/>
      </c>
      <c r="H197" t="str">
        <f t="shared" ca="1" si="49"/>
        <v>Plan Date Empty</v>
      </c>
      <c r="I197" t="str">
        <f t="shared" ca="1" si="51"/>
        <v/>
      </c>
      <c r="J197" t="str">
        <f t="shared" si="52"/>
        <v/>
      </c>
      <c r="K197" t="str">
        <f t="shared" si="53"/>
        <v/>
      </c>
      <c r="L197">
        <f t="shared" si="54"/>
        <v>0</v>
      </c>
      <c r="M197">
        <f t="shared" si="55"/>
        <v>0</v>
      </c>
      <c r="N197">
        <f t="shared" si="56"/>
        <v>0</v>
      </c>
      <c r="O197">
        <f t="shared" si="57"/>
        <v>1</v>
      </c>
      <c r="P197">
        <f t="shared" ca="1" si="58"/>
        <v>0</v>
      </c>
      <c r="Q197">
        <f t="shared" ca="1" si="59"/>
        <v>0</v>
      </c>
    </row>
    <row r="198" spans="1:17" x14ac:dyDescent="0.25">
      <c r="A198">
        <f t="shared" si="50"/>
        <v>197</v>
      </c>
      <c r="B198" s="212" t="s">
        <v>66</v>
      </c>
      <c r="C198" s="555">
        <v>4</v>
      </c>
      <c r="D198" t="s">
        <v>1466</v>
      </c>
      <c r="E198" t="s">
        <v>1420</v>
      </c>
      <c r="F198" s="494" t="str">
        <f>IF('PLAN PRODUCTION2'!E34="","",'PLAN PRODUCTION2'!E34)</f>
        <v/>
      </c>
      <c r="G198" s="494" t="str">
        <f>IF('PLAN PRODUCTION2'!F34="","",'PLAN PRODUCTION2'!F34)</f>
        <v/>
      </c>
      <c r="H198" t="str">
        <f t="shared" ca="1" si="49"/>
        <v>Plan Date Empty</v>
      </c>
      <c r="I198" t="str">
        <f t="shared" ca="1" si="51"/>
        <v/>
      </c>
      <c r="J198" t="str">
        <f t="shared" si="52"/>
        <v/>
      </c>
      <c r="K198" t="str">
        <f t="shared" si="53"/>
        <v/>
      </c>
      <c r="L198">
        <f t="shared" si="54"/>
        <v>0</v>
      </c>
      <c r="M198">
        <f t="shared" si="55"/>
        <v>0</v>
      </c>
      <c r="N198">
        <f t="shared" si="56"/>
        <v>0</v>
      </c>
      <c r="O198">
        <f t="shared" si="57"/>
        <v>1</v>
      </c>
      <c r="P198">
        <f t="shared" ca="1" si="58"/>
        <v>0</v>
      </c>
      <c r="Q198">
        <f t="shared" ca="1" si="59"/>
        <v>0</v>
      </c>
    </row>
    <row r="199" spans="1:17" x14ac:dyDescent="0.25">
      <c r="A199">
        <f t="shared" si="50"/>
        <v>198</v>
      </c>
      <c r="B199" s="212" t="s">
        <v>66</v>
      </c>
      <c r="C199" s="555">
        <v>4</v>
      </c>
      <c r="D199" t="s">
        <v>1467</v>
      </c>
      <c r="E199" t="s">
        <v>1420</v>
      </c>
      <c r="F199" s="494" t="str">
        <f>IF('PLAN PRODUCTION2'!I34="","",'PLAN PRODUCTION2'!I34)</f>
        <v/>
      </c>
      <c r="G199" s="494" t="str">
        <f>IF('PLAN PRODUCTION2'!J34="","",'PLAN PRODUCTION2'!J34)</f>
        <v/>
      </c>
      <c r="H199" t="str">
        <f t="shared" ca="1" si="49"/>
        <v>Plan Date Empty</v>
      </c>
      <c r="I199" t="str">
        <f t="shared" ca="1" si="51"/>
        <v/>
      </c>
      <c r="J199" t="str">
        <f t="shared" si="52"/>
        <v/>
      </c>
      <c r="K199" t="str">
        <f t="shared" si="53"/>
        <v/>
      </c>
      <c r="L199">
        <f t="shared" si="54"/>
        <v>0</v>
      </c>
      <c r="M199">
        <f t="shared" si="55"/>
        <v>0</v>
      </c>
      <c r="N199">
        <f t="shared" si="56"/>
        <v>0</v>
      </c>
      <c r="O199">
        <f t="shared" si="57"/>
        <v>1</v>
      </c>
      <c r="P199">
        <f t="shared" ca="1" si="58"/>
        <v>0</v>
      </c>
      <c r="Q199">
        <f t="shared" ca="1" si="59"/>
        <v>0</v>
      </c>
    </row>
    <row r="200" spans="1:17" x14ac:dyDescent="0.25">
      <c r="A200">
        <f t="shared" si="50"/>
        <v>199</v>
      </c>
      <c r="B200" s="212" t="s">
        <v>66</v>
      </c>
      <c r="C200" s="555">
        <v>4</v>
      </c>
      <c r="D200" t="s">
        <v>1468</v>
      </c>
      <c r="E200" t="s">
        <v>1420</v>
      </c>
      <c r="F200" s="494" t="str">
        <f>IF('PLAN PRODUCTION2'!K34="","",'PLAN PRODUCTION2'!K34)</f>
        <v/>
      </c>
      <c r="G200" s="494" t="str">
        <f>IF('PLAN PRODUCTION2'!L34="","",'PLAN PRODUCTION2'!L34)</f>
        <v/>
      </c>
      <c r="H200" t="str">
        <f t="shared" ca="1" si="49"/>
        <v>Plan Date Empty</v>
      </c>
      <c r="I200" t="str">
        <f t="shared" ca="1" si="51"/>
        <v/>
      </c>
      <c r="J200" t="str">
        <f t="shared" si="52"/>
        <v/>
      </c>
      <c r="K200" t="str">
        <f t="shared" si="53"/>
        <v/>
      </c>
      <c r="L200">
        <f t="shared" si="54"/>
        <v>0</v>
      </c>
      <c r="M200">
        <f t="shared" si="55"/>
        <v>0</v>
      </c>
      <c r="N200">
        <f t="shared" si="56"/>
        <v>0</v>
      </c>
      <c r="O200">
        <f t="shared" si="57"/>
        <v>1</v>
      </c>
      <c r="P200">
        <f t="shared" ca="1" si="58"/>
        <v>0</v>
      </c>
      <c r="Q200">
        <f t="shared" ca="1" si="59"/>
        <v>0</v>
      </c>
    </row>
    <row r="201" spans="1:17" x14ac:dyDescent="0.25">
      <c r="A201">
        <f t="shared" si="50"/>
        <v>200</v>
      </c>
      <c r="B201" s="212" t="s">
        <v>66</v>
      </c>
      <c r="C201" s="555">
        <v>4</v>
      </c>
      <c r="D201" t="s">
        <v>1469</v>
      </c>
      <c r="E201" t="s">
        <v>1422</v>
      </c>
      <c r="F201" s="494" t="str">
        <f>IF('PLAN PRODUCTION2'!M34="","",'PLAN PRODUCTION2'!M34)</f>
        <v/>
      </c>
      <c r="G201" s="494" t="str">
        <f>IF('PLAN PRODUCTION2'!N34="","",'PLAN PRODUCTION2'!N34)</f>
        <v/>
      </c>
      <c r="H201" t="str">
        <f t="shared" ca="1" si="49"/>
        <v>Plan Date Empty</v>
      </c>
      <c r="I201" t="str">
        <f t="shared" ca="1" si="51"/>
        <v/>
      </c>
      <c r="J201" t="str">
        <f t="shared" si="52"/>
        <v/>
      </c>
      <c r="K201" t="str">
        <f t="shared" si="53"/>
        <v/>
      </c>
      <c r="L201">
        <f t="shared" si="54"/>
        <v>0</v>
      </c>
      <c r="M201">
        <f t="shared" si="55"/>
        <v>0</v>
      </c>
      <c r="N201">
        <f t="shared" si="56"/>
        <v>0</v>
      </c>
      <c r="O201">
        <f t="shared" si="57"/>
        <v>1</v>
      </c>
      <c r="P201">
        <f t="shared" ca="1" si="58"/>
        <v>0</v>
      </c>
      <c r="Q201">
        <f t="shared" ca="1" si="59"/>
        <v>0</v>
      </c>
    </row>
    <row r="202" spans="1:17" x14ac:dyDescent="0.25">
      <c r="A202">
        <f t="shared" si="50"/>
        <v>201</v>
      </c>
      <c r="B202" s="212" t="s">
        <v>66</v>
      </c>
      <c r="C202" s="555">
        <v>4</v>
      </c>
      <c r="D202" t="s">
        <v>1470</v>
      </c>
      <c r="E202" t="s">
        <v>1422</v>
      </c>
      <c r="F202" s="494" t="str">
        <f>IF('PLAN PRODUCTION2'!O34="","",'PLAN PRODUCTION2'!O34)</f>
        <v/>
      </c>
      <c r="G202" s="494" t="str">
        <f>IF('PLAN PRODUCTION2'!P34="","",'PLAN PRODUCTION2'!P34)</f>
        <v/>
      </c>
      <c r="H202" t="str">
        <f t="shared" ca="1" si="49"/>
        <v>Plan Date Empty</v>
      </c>
      <c r="I202" t="str">
        <f t="shared" ca="1" si="51"/>
        <v/>
      </c>
      <c r="J202" t="str">
        <f t="shared" si="52"/>
        <v/>
      </c>
      <c r="K202" t="str">
        <f t="shared" si="53"/>
        <v/>
      </c>
      <c r="L202">
        <f t="shared" si="54"/>
        <v>0</v>
      </c>
      <c r="M202">
        <f t="shared" si="55"/>
        <v>0</v>
      </c>
      <c r="N202">
        <f t="shared" si="56"/>
        <v>0</v>
      </c>
      <c r="O202">
        <f t="shared" si="57"/>
        <v>1</v>
      </c>
      <c r="P202">
        <f t="shared" ca="1" si="58"/>
        <v>0</v>
      </c>
      <c r="Q202">
        <f t="shared" ca="1" si="59"/>
        <v>0</v>
      </c>
    </row>
    <row r="203" spans="1:17" x14ac:dyDescent="0.25">
      <c r="A203">
        <f t="shared" si="50"/>
        <v>202</v>
      </c>
      <c r="B203" s="212" t="s">
        <v>66</v>
      </c>
      <c r="C203" s="555">
        <v>4</v>
      </c>
      <c r="D203" t="s">
        <v>1471</v>
      </c>
      <c r="E203" t="s">
        <v>1424</v>
      </c>
      <c r="F203" s="494" t="str">
        <f>IF('PLAN PRODUCTION2'!Q34="","",'PLAN PRODUCTION2'!Q34)</f>
        <v/>
      </c>
      <c r="G203" s="494" t="str">
        <f>IF('PLAN PRODUCTION2'!R34="","",'PLAN PRODUCTION2'!R34)</f>
        <v/>
      </c>
      <c r="H203" t="str">
        <f t="shared" ca="1" si="49"/>
        <v>Plan Date Empty</v>
      </c>
      <c r="I203" t="str">
        <f t="shared" ca="1" si="51"/>
        <v/>
      </c>
      <c r="J203" t="str">
        <f t="shared" si="52"/>
        <v/>
      </c>
      <c r="K203" t="str">
        <f t="shared" si="53"/>
        <v/>
      </c>
      <c r="L203">
        <f t="shared" si="54"/>
        <v>0</v>
      </c>
      <c r="M203">
        <f t="shared" si="55"/>
        <v>0</v>
      </c>
      <c r="N203">
        <f t="shared" si="56"/>
        <v>0</v>
      </c>
      <c r="O203">
        <f t="shared" si="57"/>
        <v>1</v>
      </c>
      <c r="P203">
        <f t="shared" ca="1" si="58"/>
        <v>0</v>
      </c>
      <c r="Q203">
        <f t="shared" ca="1" si="59"/>
        <v>0</v>
      </c>
    </row>
    <row r="204" spans="1:17" x14ac:dyDescent="0.25">
      <c r="A204">
        <f t="shared" si="50"/>
        <v>203</v>
      </c>
      <c r="B204" s="212" t="s">
        <v>66</v>
      </c>
      <c r="C204" s="555">
        <v>4</v>
      </c>
      <c r="D204" t="s">
        <v>1472</v>
      </c>
      <c r="E204" t="s">
        <v>1426</v>
      </c>
      <c r="F204" s="494" t="str">
        <f>IF('PLAN PRODUCTION2'!S34="","",'PLAN PRODUCTION2'!S34)</f>
        <v/>
      </c>
      <c r="G204" s="494" t="str">
        <f>IF('PLAN PRODUCTION2'!T34="","",'PLAN PRODUCTION2'!T34)</f>
        <v/>
      </c>
      <c r="H204" t="str">
        <f t="shared" ca="1" si="49"/>
        <v>Plan Date Empty</v>
      </c>
      <c r="I204" t="str">
        <f t="shared" ca="1" si="51"/>
        <v/>
      </c>
      <c r="J204" t="str">
        <f t="shared" si="52"/>
        <v/>
      </c>
      <c r="K204" t="str">
        <f t="shared" si="53"/>
        <v/>
      </c>
      <c r="L204">
        <f t="shared" si="54"/>
        <v>0</v>
      </c>
      <c r="M204">
        <f t="shared" si="55"/>
        <v>0</v>
      </c>
      <c r="N204">
        <f t="shared" si="56"/>
        <v>0</v>
      </c>
      <c r="O204">
        <f t="shared" si="57"/>
        <v>1</v>
      </c>
      <c r="P204">
        <f t="shared" ca="1" si="58"/>
        <v>0</v>
      </c>
      <c r="Q204">
        <f t="shared" ca="1" si="59"/>
        <v>0</v>
      </c>
    </row>
    <row r="205" spans="1:17" x14ac:dyDescent="0.25">
      <c r="A205">
        <f t="shared" si="50"/>
        <v>204</v>
      </c>
      <c r="B205" s="212" t="s">
        <v>66</v>
      </c>
      <c r="C205" s="555">
        <v>4</v>
      </c>
      <c r="D205" t="s">
        <v>1473</v>
      </c>
      <c r="E205" t="s">
        <v>1426</v>
      </c>
      <c r="F205" s="494" t="str">
        <f>IF('PLAN PRODUCTION2'!U34="","",'PLAN PRODUCTION2'!U34)</f>
        <v/>
      </c>
      <c r="G205" s="494" t="str">
        <f>IF('PLAN PRODUCTION2'!V34="","",'PLAN PRODUCTION2'!V34)</f>
        <v/>
      </c>
      <c r="H205" t="str">
        <f t="shared" ca="1" si="49"/>
        <v>Plan Date Empty</v>
      </c>
      <c r="I205" t="str">
        <f t="shared" ca="1" si="51"/>
        <v/>
      </c>
      <c r="J205" t="str">
        <f t="shared" si="52"/>
        <v/>
      </c>
      <c r="K205" t="str">
        <f t="shared" si="53"/>
        <v/>
      </c>
      <c r="L205">
        <f t="shared" si="54"/>
        <v>0</v>
      </c>
      <c r="M205">
        <f t="shared" si="55"/>
        <v>0</v>
      </c>
      <c r="N205">
        <f t="shared" si="56"/>
        <v>0</v>
      </c>
      <c r="O205">
        <f t="shared" si="57"/>
        <v>1</v>
      </c>
      <c r="P205">
        <f t="shared" ca="1" si="58"/>
        <v>0</v>
      </c>
      <c r="Q205">
        <f t="shared" ca="1" si="59"/>
        <v>0</v>
      </c>
    </row>
    <row r="206" spans="1:17" x14ac:dyDescent="0.25">
      <c r="A206">
        <f t="shared" si="50"/>
        <v>205</v>
      </c>
      <c r="B206" s="212" t="s">
        <v>66</v>
      </c>
      <c r="C206" s="555">
        <v>4</v>
      </c>
      <c r="D206" t="s">
        <v>1474</v>
      </c>
      <c r="E206" t="s">
        <v>1426</v>
      </c>
      <c r="F206" s="494" t="str">
        <f>IF('PLAN PRODUCTION2'!W34="","",'PLAN PRODUCTION2'!W34)</f>
        <v/>
      </c>
      <c r="G206" s="494" t="str">
        <f>IF('PLAN PRODUCTION2'!X34="","",'PLAN PRODUCTION2'!X34)</f>
        <v/>
      </c>
      <c r="H206" t="str">
        <f t="shared" ca="1" si="49"/>
        <v>Plan Date Empty</v>
      </c>
      <c r="I206" t="str">
        <f t="shared" ca="1" si="51"/>
        <v/>
      </c>
      <c r="J206" t="str">
        <f t="shared" si="52"/>
        <v/>
      </c>
      <c r="K206" t="str">
        <f t="shared" si="53"/>
        <v/>
      </c>
      <c r="L206">
        <f t="shared" si="54"/>
        <v>0</v>
      </c>
      <c r="M206">
        <f t="shared" si="55"/>
        <v>0</v>
      </c>
      <c r="N206">
        <f t="shared" si="56"/>
        <v>0</v>
      </c>
      <c r="O206">
        <f t="shared" si="57"/>
        <v>1</v>
      </c>
      <c r="P206">
        <f t="shared" ca="1" si="58"/>
        <v>0</v>
      </c>
      <c r="Q206">
        <f t="shared" ca="1" si="59"/>
        <v>0</v>
      </c>
    </row>
    <row r="207" spans="1:17" x14ac:dyDescent="0.25">
      <c r="A207">
        <f t="shared" si="50"/>
        <v>206</v>
      </c>
      <c r="B207" s="212" t="s">
        <v>66</v>
      </c>
      <c r="C207" s="555">
        <v>4</v>
      </c>
      <c r="D207" t="s">
        <v>1475</v>
      </c>
      <c r="E207" t="s">
        <v>1426</v>
      </c>
      <c r="F207" s="494" t="str">
        <f>IF('PLAN PRODUCTION2'!Y34="","",'PLAN PRODUCTION2'!Y34)</f>
        <v/>
      </c>
      <c r="G207" s="494" t="str">
        <f>IF('PLAN PRODUCTION2'!Z34="","",'PLAN PRODUCTION2'!Z34)</f>
        <v/>
      </c>
      <c r="H207" t="str">
        <f t="shared" ca="1" si="49"/>
        <v>Plan Date Empty</v>
      </c>
      <c r="I207" t="str">
        <f t="shared" ca="1" si="51"/>
        <v/>
      </c>
      <c r="J207" t="str">
        <f t="shared" si="52"/>
        <v/>
      </c>
      <c r="K207" t="str">
        <f t="shared" si="53"/>
        <v/>
      </c>
      <c r="L207">
        <f t="shared" si="54"/>
        <v>0</v>
      </c>
      <c r="M207">
        <f t="shared" si="55"/>
        <v>0</v>
      </c>
      <c r="N207">
        <f t="shared" si="56"/>
        <v>0</v>
      </c>
      <c r="O207">
        <f t="shared" si="57"/>
        <v>1</v>
      </c>
      <c r="P207">
        <f t="shared" ca="1" si="58"/>
        <v>0</v>
      </c>
      <c r="Q207">
        <f t="shared" ca="1" si="59"/>
        <v>0</v>
      </c>
    </row>
    <row r="208" spans="1:17" x14ac:dyDescent="0.25">
      <c r="A208">
        <f t="shared" si="50"/>
        <v>207</v>
      </c>
      <c r="B208" s="212" t="s">
        <v>66</v>
      </c>
      <c r="C208" s="555">
        <v>4</v>
      </c>
      <c r="D208" t="s">
        <v>1476</v>
      </c>
      <c r="E208" t="s">
        <v>1426</v>
      </c>
      <c r="F208" s="494" t="str">
        <f>IF('PLAN PRODUCTION2'!AA34="","",'PLAN PRODUCTION2'!AA34)</f>
        <v/>
      </c>
      <c r="G208" s="494" t="str">
        <f>IF('PLAN PRODUCTION2'!AB34="","",'PLAN PRODUCTION2'!AB34)</f>
        <v/>
      </c>
      <c r="H208" t="str">
        <f t="shared" ca="1" si="49"/>
        <v>Plan Date Empty</v>
      </c>
      <c r="I208" t="str">
        <f t="shared" ca="1" si="51"/>
        <v/>
      </c>
      <c r="J208" t="str">
        <f t="shared" si="52"/>
        <v/>
      </c>
      <c r="K208" t="str">
        <f t="shared" si="53"/>
        <v/>
      </c>
      <c r="L208">
        <f t="shared" si="54"/>
        <v>0</v>
      </c>
      <c r="M208">
        <f t="shared" si="55"/>
        <v>0</v>
      </c>
      <c r="N208">
        <f t="shared" si="56"/>
        <v>0</v>
      </c>
      <c r="O208">
        <f t="shared" si="57"/>
        <v>1</v>
      </c>
      <c r="P208">
        <f t="shared" ca="1" si="58"/>
        <v>0</v>
      </c>
      <c r="Q208">
        <f t="shared" ca="1" si="59"/>
        <v>0</v>
      </c>
    </row>
    <row r="209" spans="1:17" x14ac:dyDescent="0.25">
      <c r="A209">
        <f t="shared" si="50"/>
        <v>208</v>
      </c>
      <c r="B209" s="212" t="s">
        <v>66</v>
      </c>
      <c r="C209" s="555">
        <v>4</v>
      </c>
      <c r="D209" t="s">
        <v>1477</v>
      </c>
      <c r="E209" t="s">
        <v>1422</v>
      </c>
      <c r="F209" s="494" t="str">
        <f>IF('PLAN PRODUCTION2'!AC34="","",'PLAN PRODUCTION2'!AC34)</f>
        <v/>
      </c>
      <c r="G209" s="494" t="str">
        <f>IF('PLAN PRODUCTION2'!AD34="","",'PLAN PRODUCTION2'!AD34)</f>
        <v/>
      </c>
      <c r="H209" t="str">
        <f t="shared" ca="1" si="49"/>
        <v>Plan Date Empty</v>
      </c>
      <c r="I209" t="str">
        <f t="shared" ca="1" si="51"/>
        <v/>
      </c>
      <c r="J209" t="str">
        <f t="shared" si="52"/>
        <v/>
      </c>
      <c r="K209" t="str">
        <f t="shared" si="53"/>
        <v/>
      </c>
      <c r="L209">
        <f t="shared" si="54"/>
        <v>0</v>
      </c>
      <c r="M209">
        <f t="shared" si="55"/>
        <v>0</v>
      </c>
      <c r="N209">
        <f t="shared" si="56"/>
        <v>0</v>
      </c>
      <c r="O209">
        <f t="shared" si="57"/>
        <v>1</v>
      </c>
      <c r="P209">
        <f t="shared" ca="1" si="58"/>
        <v>0</v>
      </c>
      <c r="Q209">
        <f t="shared" ca="1" si="59"/>
        <v>0</v>
      </c>
    </row>
    <row r="210" spans="1:17" x14ac:dyDescent="0.25">
      <c r="A210">
        <f t="shared" si="50"/>
        <v>209</v>
      </c>
      <c r="B210" s="212" t="s">
        <v>66</v>
      </c>
      <c r="C210" s="555">
        <v>4</v>
      </c>
      <c r="D210" t="s">
        <v>1478</v>
      </c>
      <c r="E210" t="s">
        <v>1429</v>
      </c>
      <c r="F210" s="494" t="str">
        <f>IF('PLAN PRODUCTION2'!AE34="","",'PLAN PRODUCTION2'!AE34)</f>
        <v/>
      </c>
      <c r="G210" s="494" t="str">
        <f>IF('PLAN PRODUCTION2'!AF34="","",'PLAN PRODUCTION2'!AF34)</f>
        <v/>
      </c>
      <c r="H210" t="str">
        <f t="shared" ca="1" si="49"/>
        <v>Plan Date Empty</v>
      </c>
      <c r="I210" t="str">
        <f t="shared" ca="1" si="51"/>
        <v/>
      </c>
      <c r="J210" t="str">
        <f t="shared" si="52"/>
        <v/>
      </c>
      <c r="K210" t="str">
        <f t="shared" si="53"/>
        <v/>
      </c>
      <c r="L210">
        <f t="shared" si="54"/>
        <v>0</v>
      </c>
      <c r="M210">
        <f t="shared" si="55"/>
        <v>0</v>
      </c>
      <c r="N210">
        <f t="shared" si="56"/>
        <v>0</v>
      </c>
      <c r="O210">
        <f t="shared" si="57"/>
        <v>1</v>
      </c>
      <c r="P210">
        <f t="shared" ca="1" si="58"/>
        <v>0</v>
      </c>
      <c r="Q210">
        <f t="shared" ca="1" si="59"/>
        <v>0</v>
      </c>
    </row>
    <row r="211" spans="1:17" x14ac:dyDescent="0.25">
      <c r="A211">
        <f t="shared" si="50"/>
        <v>210</v>
      </c>
      <c r="B211" s="212" t="s">
        <v>66</v>
      </c>
      <c r="C211" s="555">
        <v>4</v>
      </c>
      <c r="D211" t="s">
        <v>1479</v>
      </c>
      <c r="E211" t="s">
        <v>1429</v>
      </c>
      <c r="F211" s="494" t="str">
        <f>IF('PLAN PRODUCTION2'!AG34="","",'PLAN PRODUCTION2'!AG34)</f>
        <v/>
      </c>
      <c r="G211" s="494" t="str">
        <f>IF('PLAN PRODUCTION2'!AH34="","",'PLAN PRODUCTION2'!AH34)</f>
        <v/>
      </c>
      <c r="H211" t="str">
        <f t="shared" ca="1" si="49"/>
        <v>Plan Date Empty</v>
      </c>
      <c r="I211" t="str">
        <f t="shared" ca="1" si="51"/>
        <v/>
      </c>
      <c r="J211" t="str">
        <f t="shared" si="52"/>
        <v/>
      </c>
      <c r="K211" t="str">
        <f t="shared" si="53"/>
        <v/>
      </c>
      <c r="L211">
        <f t="shared" si="54"/>
        <v>0</v>
      </c>
      <c r="M211">
        <f t="shared" si="55"/>
        <v>0</v>
      </c>
      <c r="N211">
        <f t="shared" si="56"/>
        <v>0</v>
      </c>
      <c r="O211">
        <f t="shared" si="57"/>
        <v>1</v>
      </c>
      <c r="P211">
        <f t="shared" ca="1" si="58"/>
        <v>0</v>
      </c>
      <c r="Q211">
        <f t="shared" ca="1" si="59"/>
        <v>0</v>
      </c>
    </row>
    <row r="212" spans="1:17" x14ac:dyDescent="0.25">
      <c r="A212">
        <f t="shared" si="50"/>
        <v>211</v>
      </c>
      <c r="B212" s="212" t="s">
        <v>67</v>
      </c>
      <c r="C212" s="555">
        <v>26</v>
      </c>
      <c r="D212" t="s">
        <v>1466</v>
      </c>
      <c r="E212" t="s">
        <v>1420</v>
      </c>
      <c r="F212" s="494">
        <f>IF('PLAN PRODUCTION2'!E35="","",'PLAN PRODUCTION2'!E35)</f>
        <v>46209</v>
      </c>
      <c r="G212" s="494" t="str">
        <f>IF('PLAN PRODUCTION2'!F35="","",'PLAN PRODUCTION2'!F35)</f>
        <v/>
      </c>
      <c r="H212" t="str">
        <f t="shared" ca="1" si="49"/>
        <v>Not Done - Overdue</v>
      </c>
      <c r="I212">
        <f t="shared" ca="1" si="51"/>
        <v>43</v>
      </c>
      <c r="J212">
        <f t="shared" si="52"/>
        <v>28</v>
      </c>
      <c r="K212" t="str">
        <f t="shared" si="53"/>
        <v>Minggu 28 (2026)</v>
      </c>
      <c r="L212">
        <f t="shared" si="54"/>
        <v>0</v>
      </c>
      <c r="M212">
        <f t="shared" si="55"/>
        <v>0</v>
      </c>
      <c r="N212">
        <f t="shared" si="56"/>
        <v>0</v>
      </c>
      <c r="O212">
        <f t="shared" si="57"/>
        <v>1</v>
      </c>
      <c r="P212">
        <f t="shared" ca="1" si="58"/>
        <v>1</v>
      </c>
      <c r="Q212">
        <f t="shared" ca="1" si="59"/>
        <v>43</v>
      </c>
    </row>
    <row r="213" spans="1:17" x14ac:dyDescent="0.25">
      <c r="A213">
        <f t="shared" si="50"/>
        <v>212</v>
      </c>
      <c r="B213" s="212" t="s">
        <v>67</v>
      </c>
      <c r="C213" s="555">
        <v>26</v>
      </c>
      <c r="D213" t="s">
        <v>1467</v>
      </c>
      <c r="E213" t="s">
        <v>1420</v>
      </c>
      <c r="F213" s="494">
        <f>IF('PLAN PRODUCTION2'!I35="","",'PLAN PRODUCTION2'!I35)</f>
        <v>46209</v>
      </c>
      <c r="G213" s="494" t="str">
        <f>IF('PLAN PRODUCTION2'!J35="","",'PLAN PRODUCTION2'!J35)</f>
        <v/>
      </c>
      <c r="H213" t="str">
        <f t="shared" ca="1" si="49"/>
        <v>Not Done - Overdue</v>
      </c>
      <c r="I213">
        <f t="shared" ca="1" si="51"/>
        <v>43</v>
      </c>
      <c r="J213">
        <f t="shared" si="52"/>
        <v>28</v>
      </c>
      <c r="K213" t="str">
        <f t="shared" si="53"/>
        <v>Minggu 28 (2026)</v>
      </c>
      <c r="L213">
        <f t="shared" si="54"/>
        <v>0</v>
      </c>
      <c r="M213">
        <f t="shared" si="55"/>
        <v>0</v>
      </c>
      <c r="N213">
        <f t="shared" si="56"/>
        <v>0</v>
      </c>
      <c r="O213">
        <f t="shared" si="57"/>
        <v>1</v>
      </c>
      <c r="P213">
        <f t="shared" ca="1" si="58"/>
        <v>1</v>
      </c>
      <c r="Q213">
        <f t="shared" ca="1" si="59"/>
        <v>43</v>
      </c>
    </row>
    <row r="214" spans="1:17" x14ac:dyDescent="0.25">
      <c r="A214">
        <f t="shared" si="50"/>
        <v>213</v>
      </c>
      <c r="B214" s="212" t="s">
        <v>67</v>
      </c>
      <c r="C214" s="555">
        <v>26</v>
      </c>
      <c r="D214" t="s">
        <v>1468</v>
      </c>
      <c r="E214" t="s">
        <v>1420</v>
      </c>
      <c r="F214" s="494">
        <f>IF('PLAN PRODUCTION2'!K35="","",'PLAN PRODUCTION2'!K35)</f>
        <v>46209</v>
      </c>
      <c r="G214" s="494" t="str">
        <f>IF('PLAN PRODUCTION2'!L35="","",'PLAN PRODUCTION2'!L35)</f>
        <v/>
      </c>
      <c r="H214" t="str">
        <f t="shared" ca="1" si="49"/>
        <v>Not Done - Overdue</v>
      </c>
      <c r="I214">
        <f t="shared" ca="1" si="51"/>
        <v>43</v>
      </c>
      <c r="J214">
        <f t="shared" si="52"/>
        <v>28</v>
      </c>
      <c r="K214" t="str">
        <f t="shared" si="53"/>
        <v>Minggu 28 (2026)</v>
      </c>
      <c r="L214">
        <f t="shared" si="54"/>
        <v>0</v>
      </c>
      <c r="M214">
        <f t="shared" si="55"/>
        <v>0</v>
      </c>
      <c r="N214">
        <f t="shared" si="56"/>
        <v>0</v>
      </c>
      <c r="O214">
        <f t="shared" si="57"/>
        <v>1</v>
      </c>
      <c r="P214">
        <f t="shared" ca="1" si="58"/>
        <v>1</v>
      </c>
      <c r="Q214">
        <f t="shared" ca="1" si="59"/>
        <v>43</v>
      </c>
    </row>
    <row r="215" spans="1:17" x14ac:dyDescent="0.25">
      <c r="A215">
        <f t="shared" si="50"/>
        <v>214</v>
      </c>
      <c r="B215" s="212" t="s">
        <v>67</v>
      </c>
      <c r="C215" s="555">
        <v>26</v>
      </c>
      <c r="D215" t="s">
        <v>1469</v>
      </c>
      <c r="E215" t="s">
        <v>1422</v>
      </c>
      <c r="F215" s="494">
        <f>IF('PLAN PRODUCTION2'!M35="","",'PLAN PRODUCTION2'!M35)</f>
        <v>46210</v>
      </c>
      <c r="G215" s="494" t="str">
        <f>IF('PLAN PRODUCTION2'!N35="","",'PLAN PRODUCTION2'!N35)</f>
        <v/>
      </c>
      <c r="H215" t="str">
        <f t="shared" ca="1" si="49"/>
        <v>Not Done - Overdue</v>
      </c>
      <c r="I215">
        <f t="shared" ca="1" si="51"/>
        <v>42</v>
      </c>
      <c r="J215">
        <f t="shared" si="52"/>
        <v>28</v>
      </c>
      <c r="K215" t="str">
        <f t="shared" si="53"/>
        <v>Minggu 28 (2026)</v>
      </c>
      <c r="L215">
        <f t="shared" si="54"/>
        <v>0</v>
      </c>
      <c r="M215">
        <f t="shared" si="55"/>
        <v>0</v>
      </c>
      <c r="N215">
        <f t="shared" si="56"/>
        <v>0</v>
      </c>
      <c r="O215">
        <f t="shared" si="57"/>
        <v>1</v>
      </c>
      <c r="P215">
        <f t="shared" ca="1" si="58"/>
        <v>1</v>
      </c>
      <c r="Q215">
        <f t="shared" ca="1" si="59"/>
        <v>42</v>
      </c>
    </row>
    <row r="216" spans="1:17" x14ac:dyDescent="0.25">
      <c r="A216">
        <f t="shared" si="50"/>
        <v>215</v>
      </c>
      <c r="B216" s="212" t="s">
        <v>67</v>
      </c>
      <c r="C216" s="555">
        <v>26</v>
      </c>
      <c r="D216" t="s">
        <v>1470</v>
      </c>
      <c r="E216" t="s">
        <v>1422</v>
      </c>
      <c r="F216" s="494">
        <f>IF('PLAN PRODUCTION2'!O35="","",'PLAN PRODUCTION2'!O35)</f>
        <v>46212</v>
      </c>
      <c r="G216" s="494" t="str">
        <f>IF('PLAN PRODUCTION2'!P35="","",'PLAN PRODUCTION2'!P35)</f>
        <v/>
      </c>
      <c r="H216" t="str">
        <f t="shared" ca="1" si="49"/>
        <v>Not Done - Overdue</v>
      </c>
      <c r="I216">
        <f t="shared" ca="1" si="51"/>
        <v>40</v>
      </c>
      <c r="J216">
        <f t="shared" si="52"/>
        <v>28</v>
      </c>
      <c r="K216" t="str">
        <f t="shared" si="53"/>
        <v>Minggu 28 (2026)</v>
      </c>
      <c r="L216">
        <f t="shared" si="54"/>
        <v>0</v>
      </c>
      <c r="M216">
        <f t="shared" si="55"/>
        <v>0</v>
      </c>
      <c r="N216">
        <f t="shared" si="56"/>
        <v>0</v>
      </c>
      <c r="O216">
        <f t="shared" si="57"/>
        <v>1</v>
      </c>
      <c r="P216">
        <f t="shared" ca="1" si="58"/>
        <v>1</v>
      </c>
      <c r="Q216">
        <f t="shared" ca="1" si="59"/>
        <v>40</v>
      </c>
    </row>
    <row r="217" spans="1:17" x14ac:dyDescent="0.25">
      <c r="A217">
        <f t="shared" si="50"/>
        <v>216</v>
      </c>
      <c r="B217" s="212" t="s">
        <v>67</v>
      </c>
      <c r="C217" s="555">
        <v>26</v>
      </c>
      <c r="D217" t="s">
        <v>1471</v>
      </c>
      <c r="E217" t="s">
        <v>1424</v>
      </c>
      <c r="F217" s="494">
        <f>IF('PLAN PRODUCTION2'!Q35="","",'PLAN PRODUCTION2'!Q35)</f>
        <v>46210</v>
      </c>
      <c r="G217" s="494" t="str">
        <f>IF('PLAN PRODUCTION2'!R35="","",'PLAN PRODUCTION2'!R35)</f>
        <v/>
      </c>
      <c r="H217" t="str">
        <f t="shared" ca="1" si="49"/>
        <v>Not Done - Overdue</v>
      </c>
      <c r="I217">
        <f t="shared" ca="1" si="51"/>
        <v>42</v>
      </c>
      <c r="J217">
        <f t="shared" si="52"/>
        <v>28</v>
      </c>
      <c r="K217" t="str">
        <f t="shared" si="53"/>
        <v>Minggu 28 (2026)</v>
      </c>
      <c r="L217">
        <f t="shared" si="54"/>
        <v>0</v>
      </c>
      <c r="M217">
        <f t="shared" si="55"/>
        <v>0</v>
      </c>
      <c r="N217">
        <f t="shared" si="56"/>
        <v>0</v>
      </c>
      <c r="O217">
        <f t="shared" si="57"/>
        <v>1</v>
      </c>
      <c r="P217">
        <f t="shared" ca="1" si="58"/>
        <v>1</v>
      </c>
      <c r="Q217">
        <f t="shared" ca="1" si="59"/>
        <v>42</v>
      </c>
    </row>
    <row r="218" spans="1:17" x14ac:dyDescent="0.25">
      <c r="A218">
        <f t="shared" si="50"/>
        <v>217</v>
      </c>
      <c r="B218" s="212" t="s">
        <v>67</v>
      </c>
      <c r="C218" s="555">
        <v>26</v>
      </c>
      <c r="D218" t="s">
        <v>1472</v>
      </c>
      <c r="E218" t="s">
        <v>1426</v>
      </c>
      <c r="F218" s="494">
        <f>IF('PLAN PRODUCTION2'!S35="","",'PLAN PRODUCTION2'!S35)</f>
        <v>46211</v>
      </c>
      <c r="G218" s="494" t="str">
        <f>IF('PLAN PRODUCTION2'!T35="","",'PLAN PRODUCTION2'!T35)</f>
        <v/>
      </c>
      <c r="H218" t="str">
        <f t="shared" ca="1" si="49"/>
        <v>Not Done - Overdue</v>
      </c>
      <c r="I218">
        <f t="shared" ca="1" si="51"/>
        <v>41</v>
      </c>
      <c r="J218">
        <f t="shared" si="52"/>
        <v>28</v>
      </c>
      <c r="K218" t="str">
        <f t="shared" si="53"/>
        <v>Minggu 28 (2026)</v>
      </c>
      <c r="L218">
        <f t="shared" si="54"/>
        <v>0</v>
      </c>
      <c r="M218">
        <f t="shared" si="55"/>
        <v>0</v>
      </c>
      <c r="N218">
        <f t="shared" si="56"/>
        <v>0</v>
      </c>
      <c r="O218">
        <f t="shared" si="57"/>
        <v>1</v>
      </c>
      <c r="P218">
        <f t="shared" ca="1" si="58"/>
        <v>1</v>
      </c>
      <c r="Q218">
        <f t="shared" ca="1" si="59"/>
        <v>41</v>
      </c>
    </row>
    <row r="219" spans="1:17" x14ac:dyDescent="0.25">
      <c r="A219">
        <f t="shared" si="50"/>
        <v>218</v>
      </c>
      <c r="B219" s="212" t="s">
        <v>67</v>
      </c>
      <c r="C219" s="555">
        <v>26</v>
      </c>
      <c r="D219" t="s">
        <v>1473</v>
      </c>
      <c r="E219" t="s">
        <v>1426</v>
      </c>
      <c r="F219" s="494">
        <f>IF('PLAN PRODUCTION2'!U35="","",'PLAN PRODUCTION2'!U35)</f>
        <v>46211</v>
      </c>
      <c r="G219" s="494" t="str">
        <f>IF('PLAN PRODUCTION2'!V35="","",'PLAN PRODUCTION2'!V35)</f>
        <v/>
      </c>
      <c r="H219" t="str">
        <f t="shared" ca="1" si="49"/>
        <v>Not Done - Overdue</v>
      </c>
      <c r="I219">
        <f t="shared" ca="1" si="51"/>
        <v>41</v>
      </c>
      <c r="J219">
        <f t="shared" si="52"/>
        <v>28</v>
      </c>
      <c r="K219" t="str">
        <f t="shared" si="53"/>
        <v>Minggu 28 (2026)</v>
      </c>
      <c r="L219">
        <f t="shared" si="54"/>
        <v>0</v>
      </c>
      <c r="M219">
        <f t="shared" si="55"/>
        <v>0</v>
      </c>
      <c r="N219">
        <f t="shared" si="56"/>
        <v>0</v>
      </c>
      <c r="O219">
        <f t="shared" si="57"/>
        <v>1</v>
      </c>
      <c r="P219">
        <f t="shared" ca="1" si="58"/>
        <v>1</v>
      </c>
      <c r="Q219">
        <f t="shared" ca="1" si="59"/>
        <v>41</v>
      </c>
    </row>
    <row r="220" spans="1:17" x14ac:dyDescent="0.25">
      <c r="A220">
        <f t="shared" si="50"/>
        <v>219</v>
      </c>
      <c r="B220" s="212" t="s">
        <v>67</v>
      </c>
      <c r="C220" s="555">
        <v>26</v>
      </c>
      <c r="D220" t="s">
        <v>1474</v>
      </c>
      <c r="E220" t="s">
        <v>1426</v>
      </c>
      <c r="F220" s="494">
        <f>IF('PLAN PRODUCTION2'!W35="","",'PLAN PRODUCTION2'!W35)</f>
        <v>46212</v>
      </c>
      <c r="G220" s="494" t="str">
        <f>IF('PLAN PRODUCTION2'!X35="","",'PLAN PRODUCTION2'!X35)</f>
        <v/>
      </c>
      <c r="H220" t="str">
        <f t="shared" ca="1" si="49"/>
        <v>Not Done - Overdue</v>
      </c>
      <c r="I220">
        <f t="shared" ca="1" si="51"/>
        <v>40</v>
      </c>
      <c r="J220">
        <f t="shared" si="52"/>
        <v>28</v>
      </c>
      <c r="K220" t="str">
        <f t="shared" si="53"/>
        <v>Minggu 28 (2026)</v>
      </c>
      <c r="L220">
        <f t="shared" si="54"/>
        <v>0</v>
      </c>
      <c r="M220">
        <f t="shared" si="55"/>
        <v>0</v>
      </c>
      <c r="N220">
        <f t="shared" si="56"/>
        <v>0</v>
      </c>
      <c r="O220">
        <f t="shared" si="57"/>
        <v>1</v>
      </c>
      <c r="P220">
        <f t="shared" ca="1" si="58"/>
        <v>1</v>
      </c>
      <c r="Q220">
        <f t="shared" ca="1" si="59"/>
        <v>40</v>
      </c>
    </row>
    <row r="221" spans="1:17" x14ac:dyDescent="0.25">
      <c r="A221">
        <f t="shared" si="50"/>
        <v>220</v>
      </c>
      <c r="B221" s="212" t="s">
        <v>67</v>
      </c>
      <c r="C221" s="555">
        <v>26</v>
      </c>
      <c r="D221" t="s">
        <v>1475</v>
      </c>
      <c r="E221" t="s">
        <v>1426</v>
      </c>
      <c r="F221" s="494">
        <f>IF('PLAN PRODUCTION2'!Y35="","",'PLAN PRODUCTION2'!Y35)</f>
        <v>46213</v>
      </c>
      <c r="G221" s="494" t="str">
        <f>IF('PLAN PRODUCTION2'!Z35="","",'PLAN PRODUCTION2'!Z35)</f>
        <v/>
      </c>
      <c r="H221" t="str">
        <f t="shared" ca="1" si="49"/>
        <v>Not Done - Overdue</v>
      </c>
      <c r="I221">
        <f t="shared" ca="1" si="51"/>
        <v>39</v>
      </c>
      <c r="J221">
        <f t="shared" si="52"/>
        <v>28</v>
      </c>
      <c r="K221" t="str">
        <f t="shared" si="53"/>
        <v>Minggu 28 (2026)</v>
      </c>
      <c r="L221">
        <f t="shared" si="54"/>
        <v>0</v>
      </c>
      <c r="M221">
        <f t="shared" si="55"/>
        <v>0</v>
      </c>
      <c r="N221">
        <f t="shared" si="56"/>
        <v>0</v>
      </c>
      <c r="O221">
        <f t="shared" si="57"/>
        <v>1</v>
      </c>
      <c r="P221">
        <f t="shared" ca="1" si="58"/>
        <v>1</v>
      </c>
      <c r="Q221">
        <f t="shared" ca="1" si="59"/>
        <v>39</v>
      </c>
    </row>
    <row r="222" spans="1:17" x14ac:dyDescent="0.25">
      <c r="A222">
        <f t="shared" si="50"/>
        <v>221</v>
      </c>
      <c r="B222" s="212" t="s">
        <v>67</v>
      </c>
      <c r="C222" s="555">
        <v>26</v>
      </c>
      <c r="D222" t="s">
        <v>1476</v>
      </c>
      <c r="E222" t="s">
        <v>1426</v>
      </c>
      <c r="F222" s="494">
        <f>IF('PLAN PRODUCTION2'!AA35="","",'PLAN PRODUCTION2'!AA35)</f>
        <v>46216</v>
      </c>
      <c r="G222" s="494" t="str">
        <f>IF('PLAN PRODUCTION2'!AB35="","",'PLAN PRODUCTION2'!AB35)</f>
        <v/>
      </c>
      <c r="H222" t="str">
        <f t="shared" ca="1" si="49"/>
        <v>Not Done - Overdue</v>
      </c>
      <c r="I222">
        <f t="shared" ca="1" si="51"/>
        <v>36</v>
      </c>
      <c r="J222">
        <f t="shared" si="52"/>
        <v>29</v>
      </c>
      <c r="K222" t="str">
        <f t="shared" si="53"/>
        <v>Minggu 29 (2026)</v>
      </c>
      <c r="L222">
        <f t="shared" si="54"/>
        <v>0</v>
      </c>
      <c r="M222">
        <f t="shared" si="55"/>
        <v>0</v>
      </c>
      <c r="N222">
        <f t="shared" si="56"/>
        <v>0</v>
      </c>
      <c r="O222">
        <f t="shared" si="57"/>
        <v>1</v>
      </c>
      <c r="P222">
        <f t="shared" ca="1" si="58"/>
        <v>1</v>
      </c>
      <c r="Q222">
        <f t="shared" ca="1" si="59"/>
        <v>36</v>
      </c>
    </row>
    <row r="223" spans="1:17" x14ac:dyDescent="0.25">
      <c r="A223">
        <f t="shared" si="50"/>
        <v>222</v>
      </c>
      <c r="B223" s="212" t="s">
        <v>67</v>
      </c>
      <c r="C223" s="555">
        <v>26</v>
      </c>
      <c r="D223" t="s">
        <v>1477</v>
      </c>
      <c r="E223" t="s">
        <v>1422</v>
      </c>
      <c r="F223" s="494">
        <f>IF('PLAN PRODUCTION2'!AC35="","",'PLAN PRODUCTION2'!AC35)</f>
        <v>46216</v>
      </c>
      <c r="G223" s="494" t="str">
        <f>IF('PLAN PRODUCTION2'!AD35="","",'PLAN PRODUCTION2'!AD35)</f>
        <v/>
      </c>
      <c r="H223" t="str">
        <f t="shared" ca="1" si="49"/>
        <v>Not Done - Overdue</v>
      </c>
      <c r="I223">
        <f t="shared" ca="1" si="51"/>
        <v>36</v>
      </c>
      <c r="J223">
        <f t="shared" si="52"/>
        <v>29</v>
      </c>
      <c r="K223" t="str">
        <f t="shared" si="53"/>
        <v>Minggu 29 (2026)</v>
      </c>
      <c r="L223">
        <f t="shared" si="54"/>
        <v>0</v>
      </c>
      <c r="M223">
        <f t="shared" si="55"/>
        <v>0</v>
      </c>
      <c r="N223">
        <f t="shared" si="56"/>
        <v>0</v>
      </c>
      <c r="O223">
        <f t="shared" si="57"/>
        <v>1</v>
      </c>
      <c r="P223">
        <f t="shared" ca="1" si="58"/>
        <v>1</v>
      </c>
      <c r="Q223">
        <f t="shared" ca="1" si="59"/>
        <v>36</v>
      </c>
    </row>
    <row r="224" spans="1:17" x14ac:dyDescent="0.25">
      <c r="A224">
        <f t="shared" si="50"/>
        <v>223</v>
      </c>
      <c r="B224" s="212" t="s">
        <v>67</v>
      </c>
      <c r="C224" s="555">
        <v>26</v>
      </c>
      <c r="D224" t="s">
        <v>1478</v>
      </c>
      <c r="E224" t="s">
        <v>1429</v>
      </c>
      <c r="F224" s="494">
        <f>IF('PLAN PRODUCTION2'!AE35="","",'PLAN PRODUCTION2'!AE35)</f>
        <v>46216</v>
      </c>
      <c r="G224" s="494" t="str">
        <f>IF('PLAN PRODUCTION2'!AF35="","",'PLAN PRODUCTION2'!AF35)</f>
        <v/>
      </c>
      <c r="H224" t="str">
        <f t="shared" ca="1" si="49"/>
        <v>Not Done - Overdue</v>
      </c>
      <c r="I224">
        <f t="shared" ca="1" si="51"/>
        <v>36</v>
      </c>
      <c r="J224">
        <f t="shared" si="52"/>
        <v>29</v>
      </c>
      <c r="K224" t="str">
        <f t="shared" si="53"/>
        <v>Minggu 29 (2026)</v>
      </c>
      <c r="L224">
        <f t="shared" si="54"/>
        <v>0</v>
      </c>
      <c r="M224">
        <f t="shared" si="55"/>
        <v>0</v>
      </c>
      <c r="N224">
        <f t="shared" si="56"/>
        <v>0</v>
      </c>
      <c r="O224">
        <f t="shared" si="57"/>
        <v>1</v>
      </c>
      <c r="P224">
        <f t="shared" ca="1" si="58"/>
        <v>1</v>
      </c>
      <c r="Q224">
        <f t="shared" ca="1" si="59"/>
        <v>36</v>
      </c>
    </row>
    <row r="225" spans="1:17" x14ac:dyDescent="0.25">
      <c r="A225">
        <f t="shared" si="50"/>
        <v>224</v>
      </c>
      <c r="B225" s="212" t="s">
        <v>67</v>
      </c>
      <c r="C225" s="555">
        <v>26</v>
      </c>
      <c r="D225" t="s">
        <v>1479</v>
      </c>
      <c r="E225" t="s">
        <v>1429</v>
      </c>
      <c r="F225" s="494">
        <f>IF('PLAN PRODUCTION2'!AG35="","",'PLAN PRODUCTION2'!AG35)</f>
        <v>46217</v>
      </c>
      <c r="G225" s="494" t="str">
        <f>IF('PLAN PRODUCTION2'!AH35="","",'PLAN PRODUCTION2'!AH35)</f>
        <v/>
      </c>
      <c r="H225" t="str">
        <f t="shared" ca="1" si="49"/>
        <v>Not Done - Overdue</v>
      </c>
      <c r="I225">
        <f t="shared" ca="1" si="51"/>
        <v>35</v>
      </c>
      <c r="J225">
        <f t="shared" si="52"/>
        <v>29</v>
      </c>
      <c r="K225" t="str">
        <f t="shared" si="53"/>
        <v>Minggu 29 (2026)</v>
      </c>
      <c r="L225">
        <f t="shared" si="54"/>
        <v>0</v>
      </c>
      <c r="M225">
        <f t="shared" si="55"/>
        <v>0</v>
      </c>
      <c r="N225">
        <f t="shared" si="56"/>
        <v>0</v>
      </c>
      <c r="O225">
        <f t="shared" si="57"/>
        <v>1</v>
      </c>
      <c r="P225">
        <f t="shared" ca="1" si="58"/>
        <v>1</v>
      </c>
      <c r="Q225">
        <f t="shared" ca="1" si="59"/>
        <v>35</v>
      </c>
    </row>
    <row r="226" spans="1:17" x14ac:dyDescent="0.25">
      <c r="A226">
        <f t="shared" si="50"/>
        <v>225</v>
      </c>
      <c r="B226" s="212" t="s">
        <v>68</v>
      </c>
      <c r="C226" s="555">
        <v>112</v>
      </c>
      <c r="D226" t="s">
        <v>1466</v>
      </c>
      <c r="E226" t="s">
        <v>1420</v>
      </c>
      <c r="F226" s="494">
        <f>IF('PLAN PRODUCTION2'!E36="","",'PLAN PRODUCTION2'!E36)</f>
        <v>46262</v>
      </c>
      <c r="G226" s="494" t="str">
        <f>IF('PLAN PRODUCTION2'!F36="","",'PLAN PRODUCTION2'!F36)</f>
        <v/>
      </c>
      <c r="H226" t="str">
        <f t="shared" ca="1" si="49"/>
        <v>Not Done - On Schedule</v>
      </c>
      <c r="I226" t="str">
        <f t="shared" ca="1" si="51"/>
        <v/>
      </c>
      <c r="J226">
        <f t="shared" si="52"/>
        <v>35</v>
      </c>
      <c r="K226" t="str">
        <f t="shared" si="53"/>
        <v>Minggu 35 (2026)</v>
      </c>
      <c r="L226">
        <f t="shared" si="54"/>
        <v>0</v>
      </c>
      <c r="M226">
        <f t="shared" si="55"/>
        <v>0</v>
      </c>
      <c r="N226">
        <f t="shared" si="56"/>
        <v>0</v>
      </c>
      <c r="O226">
        <f t="shared" si="57"/>
        <v>1</v>
      </c>
      <c r="P226">
        <f t="shared" ca="1" si="58"/>
        <v>0</v>
      </c>
      <c r="Q226">
        <f t="shared" ca="1" si="59"/>
        <v>0</v>
      </c>
    </row>
    <row r="227" spans="1:17" x14ac:dyDescent="0.25">
      <c r="A227">
        <f t="shared" si="50"/>
        <v>226</v>
      </c>
      <c r="B227" s="212" t="s">
        <v>68</v>
      </c>
      <c r="C227" s="555">
        <v>112</v>
      </c>
      <c r="D227" t="s">
        <v>1467</v>
      </c>
      <c r="E227" t="s">
        <v>1420</v>
      </c>
      <c r="F227" s="494">
        <f>IF('PLAN PRODUCTION2'!I36="","",'PLAN PRODUCTION2'!I36)</f>
        <v>46265</v>
      </c>
      <c r="G227" s="494" t="str">
        <f>IF('PLAN PRODUCTION2'!J36="","",'PLAN PRODUCTION2'!J36)</f>
        <v/>
      </c>
      <c r="H227" t="str">
        <f t="shared" ca="1" si="49"/>
        <v>Not Done - On Schedule</v>
      </c>
      <c r="I227" t="str">
        <f t="shared" ca="1" si="51"/>
        <v/>
      </c>
      <c r="J227">
        <f t="shared" si="52"/>
        <v>36</v>
      </c>
      <c r="K227" t="str">
        <f t="shared" si="53"/>
        <v>Minggu 36 (2026)</v>
      </c>
      <c r="L227">
        <f t="shared" si="54"/>
        <v>0</v>
      </c>
      <c r="M227">
        <f t="shared" si="55"/>
        <v>0</v>
      </c>
      <c r="N227">
        <f t="shared" si="56"/>
        <v>0</v>
      </c>
      <c r="O227">
        <f t="shared" si="57"/>
        <v>1</v>
      </c>
      <c r="P227">
        <f t="shared" ca="1" si="58"/>
        <v>0</v>
      </c>
      <c r="Q227">
        <f t="shared" ca="1" si="59"/>
        <v>0</v>
      </c>
    </row>
    <row r="228" spans="1:17" x14ac:dyDescent="0.25">
      <c r="A228">
        <f t="shared" si="50"/>
        <v>227</v>
      </c>
      <c r="B228" s="212" t="s">
        <v>68</v>
      </c>
      <c r="C228" s="555">
        <v>112</v>
      </c>
      <c r="D228" t="s">
        <v>1468</v>
      </c>
      <c r="E228" t="s">
        <v>1420</v>
      </c>
      <c r="F228" s="494">
        <f>IF('PLAN PRODUCTION2'!K36="","",'PLAN PRODUCTION2'!K36)</f>
        <v>46266</v>
      </c>
      <c r="G228" s="494" t="str">
        <f>IF('PLAN PRODUCTION2'!L36="","",'PLAN PRODUCTION2'!L36)</f>
        <v/>
      </c>
      <c r="H228" t="str">
        <f t="shared" ca="1" si="49"/>
        <v>Not Done - On Schedule</v>
      </c>
      <c r="I228" t="str">
        <f t="shared" ca="1" si="51"/>
        <v/>
      </c>
      <c r="J228">
        <f t="shared" si="52"/>
        <v>36</v>
      </c>
      <c r="K228" t="str">
        <f t="shared" si="53"/>
        <v>Minggu 36 (2026)</v>
      </c>
      <c r="L228">
        <f t="shared" si="54"/>
        <v>0</v>
      </c>
      <c r="M228">
        <f t="shared" si="55"/>
        <v>0</v>
      </c>
      <c r="N228">
        <f t="shared" si="56"/>
        <v>0</v>
      </c>
      <c r="O228">
        <f t="shared" si="57"/>
        <v>1</v>
      </c>
      <c r="P228">
        <f t="shared" ca="1" si="58"/>
        <v>0</v>
      </c>
      <c r="Q228">
        <f t="shared" ca="1" si="59"/>
        <v>0</v>
      </c>
    </row>
    <row r="229" spans="1:17" x14ac:dyDescent="0.25">
      <c r="A229">
        <f t="shared" si="50"/>
        <v>228</v>
      </c>
      <c r="B229" s="212" t="s">
        <v>68</v>
      </c>
      <c r="C229" s="555">
        <v>112</v>
      </c>
      <c r="D229" t="s">
        <v>1469</v>
      </c>
      <c r="E229" t="s">
        <v>1422</v>
      </c>
      <c r="F229" s="494">
        <f>IF('PLAN PRODUCTION2'!M36="","",'PLAN PRODUCTION2'!M36)</f>
        <v>46267</v>
      </c>
      <c r="G229" s="494" t="str">
        <f>IF('PLAN PRODUCTION2'!N36="","",'PLAN PRODUCTION2'!N36)</f>
        <v/>
      </c>
      <c r="H229" t="str">
        <f t="shared" ca="1" si="49"/>
        <v>Not Done - On Schedule</v>
      </c>
      <c r="I229" t="str">
        <f t="shared" ca="1" si="51"/>
        <v/>
      </c>
      <c r="J229">
        <f t="shared" si="52"/>
        <v>36</v>
      </c>
      <c r="K229" t="str">
        <f t="shared" si="53"/>
        <v>Minggu 36 (2026)</v>
      </c>
      <c r="L229">
        <f t="shared" si="54"/>
        <v>0</v>
      </c>
      <c r="M229">
        <f t="shared" si="55"/>
        <v>0</v>
      </c>
      <c r="N229">
        <f t="shared" si="56"/>
        <v>0</v>
      </c>
      <c r="O229">
        <f t="shared" si="57"/>
        <v>1</v>
      </c>
      <c r="P229">
        <f t="shared" ca="1" si="58"/>
        <v>0</v>
      </c>
      <c r="Q229">
        <f t="shared" ca="1" si="59"/>
        <v>0</v>
      </c>
    </row>
    <row r="230" spans="1:17" x14ac:dyDescent="0.25">
      <c r="A230">
        <f t="shared" si="50"/>
        <v>229</v>
      </c>
      <c r="B230" s="212" t="s">
        <v>68</v>
      </c>
      <c r="C230" s="555">
        <v>112</v>
      </c>
      <c r="D230" t="s">
        <v>1470</v>
      </c>
      <c r="E230" t="s">
        <v>1422</v>
      </c>
      <c r="F230" s="494">
        <f>IF('PLAN PRODUCTION2'!O36="","",'PLAN PRODUCTION2'!O36)</f>
        <v>46280</v>
      </c>
      <c r="G230" s="494" t="str">
        <f>IF('PLAN PRODUCTION2'!P36="","",'PLAN PRODUCTION2'!P36)</f>
        <v/>
      </c>
      <c r="H230" t="str">
        <f t="shared" ca="1" si="49"/>
        <v>Not Done - On Schedule</v>
      </c>
      <c r="I230" t="str">
        <f t="shared" ca="1" si="51"/>
        <v/>
      </c>
      <c r="J230">
        <f t="shared" si="52"/>
        <v>38</v>
      </c>
      <c r="K230" t="str">
        <f t="shared" si="53"/>
        <v>Minggu 38 (2026)</v>
      </c>
      <c r="L230">
        <f t="shared" si="54"/>
        <v>0</v>
      </c>
      <c r="M230">
        <f t="shared" si="55"/>
        <v>0</v>
      </c>
      <c r="N230">
        <f t="shared" si="56"/>
        <v>0</v>
      </c>
      <c r="O230">
        <f t="shared" si="57"/>
        <v>1</v>
      </c>
      <c r="P230">
        <f t="shared" ca="1" si="58"/>
        <v>0</v>
      </c>
      <c r="Q230">
        <f t="shared" ca="1" si="59"/>
        <v>0</v>
      </c>
    </row>
    <row r="231" spans="1:17" x14ac:dyDescent="0.25">
      <c r="A231">
        <f t="shared" si="50"/>
        <v>230</v>
      </c>
      <c r="B231" s="212" t="s">
        <v>68</v>
      </c>
      <c r="C231" s="555">
        <v>112</v>
      </c>
      <c r="D231" t="s">
        <v>1471</v>
      </c>
      <c r="E231" t="s">
        <v>1424</v>
      </c>
      <c r="F231" s="494">
        <f>IF('PLAN PRODUCTION2'!Q36="","",'PLAN PRODUCTION2'!Q36)</f>
        <v>46301</v>
      </c>
      <c r="G231" s="494" t="str">
        <f>IF('PLAN PRODUCTION2'!R36="","",'PLAN PRODUCTION2'!R36)</f>
        <v/>
      </c>
      <c r="H231" t="str">
        <f t="shared" ca="1" si="49"/>
        <v>Not Done - On Schedule</v>
      </c>
      <c r="I231" t="str">
        <f t="shared" ca="1" si="51"/>
        <v/>
      </c>
      <c r="J231">
        <f t="shared" si="52"/>
        <v>41</v>
      </c>
      <c r="K231" t="str">
        <f t="shared" si="53"/>
        <v>Minggu 41 (2026)</v>
      </c>
      <c r="L231">
        <f t="shared" si="54"/>
        <v>0</v>
      </c>
      <c r="M231">
        <f t="shared" si="55"/>
        <v>0</v>
      </c>
      <c r="N231">
        <f t="shared" si="56"/>
        <v>0</v>
      </c>
      <c r="O231">
        <f t="shared" si="57"/>
        <v>1</v>
      </c>
      <c r="P231">
        <f t="shared" ca="1" si="58"/>
        <v>0</v>
      </c>
      <c r="Q231">
        <f t="shared" ca="1" si="59"/>
        <v>0</v>
      </c>
    </row>
    <row r="232" spans="1:17" x14ac:dyDescent="0.25">
      <c r="A232">
        <f t="shared" si="50"/>
        <v>231</v>
      </c>
      <c r="B232" s="212" t="s">
        <v>68</v>
      </c>
      <c r="C232" s="555">
        <v>112</v>
      </c>
      <c r="D232" t="s">
        <v>1472</v>
      </c>
      <c r="E232" t="s">
        <v>1426</v>
      </c>
      <c r="F232" s="494">
        <f>IF('PLAN PRODUCTION2'!S36="","",'PLAN PRODUCTION2'!S36)</f>
        <v>46273</v>
      </c>
      <c r="G232" s="494" t="str">
        <f>IF('PLAN PRODUCTION2'!T36="","",'PLAN PRODUCTION2'!T36)</f>
        <v/>
      </c>
      <c r="H232" t="str">
        <f t="shared" ca="1" si="49"/>
        <v>Not Done - On Schedule</v>
      </c>
      <c r="I232" t="str">
        <f t="shared" ca="1" si="51"/>
        <v/>
      </c>
      <c r="J232">
        <f t="shared" si="52"/>
        <v>37</v>
      </c>
      <c r="K232" t="str">
        <f t="shared" si="53"/>
        <v>Minggu 37 (2026)</v>
      </c>
      <c r="L232">
        <f t="shared" si="54"/>
        <v>0</v>
      </c>
      <c r="M232">
        <f t="shared" si="55"/>
        <v>0</v>
      </c>
      <c r="N232">
        <f t="shared" si="56"/>
        <v>0</v>
      </c>
      <c r="O232">
        <f t="shared" si="57"/>
        <v>1</v>
      </c>
      <c r="P232">
        <f t="shared" ca="1" si="58"/>
        <v>0</v>
      </c>
      <c r="Q232">
        <f t="shared" ca="1" si="59"/>
        <v>0</v>
      </c>
    </row>
    <row r="233" spans="1:17" x14ac:dyDescent="0.25">
      <c r="A233">
        <f t="shared" si="50"/>
        <v>232</v>
      </c>
      <c r="B233" s="212" t="s">
        <v>68</v>
      </c>
      <c r="C233" s="555">
        <v>112</v>
      </c>
      <c r="D233" t="s">
        <v>1473</v>
      </c>
      <c r="E233" t="s">
        <v>1426</v>
      </c>
      <c r="F233" s="494">
        <f>IF('PLAN PRODUCTION2'!U36="","",'PLAN PRODUCTION2'!U36)</f>
        <v>46274</v>
      </c>
      <c r="G233" s="494" t="str">
        <f>IF('PLAN PRODUCTION2'!V36="","",'PLAN PRODUCTION2'!V36)</f>
        <v/>
      </c>
      <c r="H233" t="str">
        <f t="shared" ca="1" si="49"/>
        <v>Not Done - On Schedule</v>
      </c>
      <c r="I233" t="str">
        <f t="shared" ca="1" si="51"/>
        <v/>
      </c>
      <c r="J233">
        <f t="shared" si="52"/>
        <v>37</v>
      </c>
      <c r="K233" t="str">
        <f t="shared" si="53"/>
        <v>Minggu 37 (2026)</v>
      </c>
      <c r="L233">
        <f t="shared" si="54"/>
        <v>0</v>
      </c>
      <c r="M233">
        <f t="shared" si="55"/>
        <v>0</v>
      </c>
      <c r="N233">
        <f t="shared" si="56"/>
        <v>0</v>
      </c>
      <c r="O233">
        <f t="shared" si="57"/>
        <v>1</v>
      </c>
      <c r="P233">
        <f t="shared" ca="1" si="58"/>
        <v>0</v>
      </c>
      <c r="Q233">
        <f t="shared" ca="1" si="59"/>
        <v>0</v>
      </c>
    </row>
    <row r="234" spans="1:17" x14ac:dyDescent="0.25">
      <c r="A234">
        <f t="shared" si="50"/>
        <v>233</v>
      </c>
      <c r="B234" s="212" t="s">
        <v>68</v>
      </c>
      <c r="C234" s="555">
        <v>112</v>
      </c>
      <c r="D234" t="s">
        <v>1474</v>
      </c>
      <c r="E234" t="s">
        <v>1426</v>
      </c>
      <c r="F234" s="494">
        <f>IF('PLAN PRODUCTION2'!W36="","",'PLAN PRODUCTION2'!W36)</f>
        <v>46287</v>
      </c>
      <c r="G234" s="494" t="str">
        <f>IF('PLAN PRODUCTION2'!X36="","",'PLAN PRODUCTION2'!X36)</f>
        <v/>
      </c>
      <c r="H234" t="str">
        <f t="shared" ca="1" si="49"/>
        <v>Not Done - On Schedule</v>
      </c>
      <c r="I234" t="str">
        <f t="shared" ca="1" si="51"/>
        <v/>
      </c>
      <c r="J234">
        <f t="shared" si="52"/>
        <v>39</v>
      </c>
      <c r="K234" t="str">
        <f t="shared" si="53"/>
        <v>Minggu 39 (2026)</v>
      </c>
      <c r="L234">
        <f t="shared" si="54"/>
        <v>0</v>
      </c>
      <c r="M234">
        <f t="shared" si="55"/>
        <v>0</v>
      </c>
      <c r="N234">
        <f t="shared" si="56"/>
        <v>0</v>
      </c>
      <c r="O234">
        <f t="shared" si="57"/>
        <v>1</v>
      </c>
      <c r="P234">
        <f t="shared" ca="1" si="58"/>
        <v>0</v>
      </c>
      <c r="Q234">
        <f t="shared" ca="1" si="59"/>
        <v>0</v>
      </c>
    </row>
    <row r="235" spans="1:17" x14ac:dyDescent="0.25">
      <c r="A235">
        <f t="shared" si="50"/>
        <v>234</v>
      </c>
      <c r="B235" s="212" t="s">
        <v>68</v>
      </c>
      <c r="C235" s="555">
        <v>112</v>
      </c>
      <c r="D235" t="s">
        <v>1475</v>
      </c>
      <c r="E235" t="s">
        <v>1426</v>
      </c>
      <c r="F235" s="494">
        <f>IF('PLAN PRODUCTION2'!Y36="","",'PLAN PRODUCTION2'!Y36)</f>
        <v>46323</v>
      </c>
      <c r="G235" s="494" t="str">
        <f>IF('PLAN PRODUCTION2'!Z36="","",'PLAN PRODUCTION2'!Z36)</f>
        <v/>
      </c>
      <c r="H235" t="str">
        <f t="shared" ca="1" si="49"/>
        <v>Not Done - On Schedule</v>
      </c>
      <c r="I235" t="str">
        <f t="shared" ca="1" si="51"/>
        <v/>
      </c>
      <c r="J235">
        <f t="shared" si="52"/>
        <v>44</v>
      </c>
      <c r="K235" t="str">
        <f t="shared" si="53"/>
        <v>Minggu 44 (2026)</v>
      </c>
      <c r="L235">
        <f t="shared" si="54"/>
        <v>0</v>
      </c>
      <c r="M235">
        <f t="shared" si="55"/>
        <v>0</v>
      </c>
      <c r="N235">
        <f t="shared" si="56"/>
        <v>0</v>
      </c>
      <c r="O235">
        <f t="shared" si="57"/>
        <v>1</v>
      </c>
      <c r="P235">
        <f t="shared" ca="1" si="58"/>
        <v>0</v>
      </c>
      <c r="Q235">
        <f t="shared" ca="1" si="59"/>
        <v>0</v>
      </c>
    </row>
    <row r="236" spans="1:17" x14ac:dyDescent="0.25">
      <c r="A236">
        <f t="shared" si="50"/>
        <v>235</v>
      </c>
      <c r="B236" s="212" t="s">
        <v>68</v>
      </c>
      <c r="C236" s="555">
        <v>112</v>
      </c>
      <c r="D236" t="s">
        <v>1476</v>
      </c>
      <c r="E236" t="s">
        <v>1426</v>
      </c>
      <c r="F236" s="494">
        <f>IF('PLAN PRODUCTION2'!AA36="","",'PLAN PRODUCTION2'!AA36)</f>
        <v>46301</v>
      </c>
      <c r="G236" s="494" t="str">
        <f>IF('PLAN PRODUCTION2'!AB36="","",'PLAN PRODUCTION2'!AB36)</f>
        <v/>
      </c>
      <c r="H236" t="str">
        <f t="shared" ca="1" si="49"/>
        <v>Not Done - On Schedule</v>
      </c>
      <c r="I236" t="str">
        <f t="shared" ca="1" si="51"/>
        <v/>
      </c>
      <c r="J236">
        <f t="shared" si="52"/>
        <v>41</v>
      </c>
      <c r="K236" t="str">
        <f t="shared" si="53"/>
        <v>Minggu 41 (2026)</v>
      </c>
      <c r="L236">
        <f t="shared" si="54"/>
        <v>0</v>
      </c>
      <c r="M236">
        <f t="shared" si="55"/>
        <v>0</v>
      </c>
      <c r="N236">
        <f t="shared" si="56"/>
        <v>0</v>
      </c>
      <c r="O236">
        <f t="shared" si="57"/>
        <v>1</v>
      </c>
      <c r="P236">
        <f t="shared" ca="1" si="58"/>
        <v>0</v>
      </c>
      <c r="Q236">
        <f t="shared" ca="1" si="59"/>
        <v>0</v>
      </c>
    </row>
    <row r="237" spans="1:17" x14ac:dyDescent="0.25">
      <c r="A237">
        <f t="shared" si="50"/>
        <v>236</v>
      </c>
      <c r="B237" s="212" t="s">
        <v>68</v>
      </c>
      <c r="C237" s="555">
        <v>112</v>
      </c>
      <c r="D237" t="s">
        <v>1477</v>
      </c>
      <c r="E237" t="s">
        <v>1422</v>
      </c>
      <c r="F237" s="494">
        <f>IF('PLAN PRODUCTION2'!AC36="","",'PLAN PRODUCTION2'!AC36)</f>
        <v>46303</v>
      </c>
      <c r="G237" s="494" t="str">
        <f>IF('PLAN PRODUCTION2'!AD36="","",'PLAN PRODUCTION2'!AD36)</f>
        <v/>
      </c>
      <c r="H237" t="str">
        <f t="shared" ca="1" si="49"/>
        <v>Not Done - On Schedule</v>
      </c>
      <c r="I237" t="str">
        <f t="shared" ca="1" si="51"/>
        <v/>
      </c>
      <c r="J237">
        <f t="shared" si="52"/>
        <v>41</v>
      </c>
      <c r="K237" t="str">
        <f t="shared" si="53"/>
        <v>Minggu 41 (2026)</v>
      </c>
      <c r="L237">
        <f t="shared" si="54"/>
        <v>0</v>
      </c>
      <c r="M237">
        <f t="shared" si="55"/>
        <v>0</v>
      </c>
      <c r="N237">
        <f t="shared" si="56"/>
        <v>0</v>
      </c>
      <c r="O237">
        <f t="shared" si="57"/>
        <v>1</v>
      </c>
      <c r="P237">
        <f t="shared" ca="1" si="58"/>
        <v>0</v>
      </c>
      <c r="Q237">
        <f t="shared" ca="1" si="59"/>
        <v>0</v>
      </c>
    </row>
    <row r="238" spans="1:17" x14ac:dyDescent="0.25">
      <c r="A238">
        <f t="shared" si="50"/>
        <v>237</v>
      </c>
      <c r="B238" s="212" t="s">
        <v>68</v>
      </c>
      <c r="C238" s="555">
        <v>112</v>
      </c>
      <c r="D238" t="s">
        <v>1478</v>
      </c>
      <c r="E238" t="s">
        <v>1429</v>
      </c>
      <c r="F238" s="494">
        <f>IF('PLAN PRODUCTION2'!AE36="","",'PLAN PRODUCTION2'!AE36)</f>
        <v>46308</v>
      </c>
      <c r="G238" s="494" t="str">
        <f>IF('PLAN PRODUCTION2'!AF36="","",'PLAN PRODUCTION2'!AF36)</f>
        <v/>
      </c>
      <c r="H238" t="str">
        <f t="shared" ca="1" si="49"/>
        <v>Not Done - On Schedule</v>
      </c>
      <c r="I238" t="str">
        <f t="shared" ca="1" si="51"/>
        <v/>
      </c>
      <c r="J238">
        <f t="shared" si="52"/>
        <v>42</v>
      </c>
      <c r="K238" t="str">
        <f t="shared" si="53"/>
        <v>Minggu 42 (2026)</v>
      </c>
      <c r="L238">
        <f t="shared" si="54"/>
        <v>0</v>
      </c>
      <c r="M238">
        <f t="shared" si="55"/>
        <v>0</v>
      </c>
      <c r="N238">
        <f t="shared" si="56"/>
        <v>0</v>
      </c>
      <c r="O238">
        <f t="shared" si="57"/>
        <v>1</v>
      </c>
      <c r="P238">
        <f t="shared" ca="1" si="58"/>
        <v>0</v>
      </c>
      <c r="Q238">
        <f t="shared" ca="1" si="59"/>
        <v>0</v>
      </c>
    </row>
    <row r="239" spans="1:17" x14ac:dyDescent="0.25">
      <c r="A239">
        <f t="shared" si="50"/>
        <v>238</v>
      </c>
      <c r="B239" s="212" t="s">
        <v>68</v>
      </c>
      <c r="C239" s="555">
        <v>112</v>
      </c>
      <c r="D239" t="s">
        <v>1479</v>
      </c>
      <c r="E239" t="s">
        <v>1429</v>
      </c>
      <c r="F239" s="494">
        <f>IF('PLAN PRODUCTION2'!AG36="","",'PLAN PRODUCTION2'!AG36)</f>
        <v>46311</v>
      </c>
      <c r="G239" s="494" t="str">
        <f>IF('PLAN PRODUCTION2'!AH36="","",'PLAN PRODUCTION2'!AH36)</f>
        <v/>
      </c>
      <c r="H239" t="str">
        <f t="shared" ca="1" si="49"/>
        <v>Not Done - On Schedule</v>
      </c>
      <c r="I239" t="str">
        <f t="shared" ca="1" si="51"/>
        <v/>
      </c>
      <c r="J239">
        <f t="shared" si="52"/>
        <v>42</v>
      </c>
      <c r="K239" t="str">
        <f t="shared" si="53"/>
        <v>Minggu 42 (2026)</v>
      </c>
      <c r="L239">
        <f t="shared" si="54"/>
        <v>0</v>
      </c>
      <c r="M239">
        <f t="shared" si="55"/>
        <v>0</v>
      </c>
      <c r="N239">
        <f t="shared" si="56"/>
        <v>0</v>
      </c>
      <c r="O239">
        <f t="shared" si="57"/>
        <v>1</v>
      </c>
      <c r="P239">
        <f t="shared" ca="1" si="58"/>
        <v>0</v>
      </c>
      <c r="Q239">
        <f t="shared" ca="1" si="59"/>
        <v>0</v>
      </c>
    </row>
    <row r="240" spans="1:17" x14ac:dyDescent="0.25">
      <c r="A240">
        <f t="shared" si="50"/>
        <v>239</v>
      </c>
      <c r="B240" s="212" t="s">
        <v>69</v>
      </c>
      <c r="C240" s="555">
        <v>6</v>
      </c>
      <c r="D240" t="s">
        <v>1466</v>
      </c>
      <c r="E240" t="s">
        <v>1420</v>
      </c>
      <c r="F240" s="494" t="str">
        <f>IF('PLAN PRODUCTION2'!E37="","",'PLAN PRODUCTION2'!E37)</f>
        <v/>
      </c>
      <c r="G240" s="494" t="str">
        <f>IF('PLAN PRODUCTION2'!F37="","",'PLAN PRODUCTION2'!F37)</f>
        <v/>
      </c>
      <c r="H240" t="str">
        <f t="shared" ca="1" si="49"/>
        <v>Plan Date Empty</v>
      </c>
      <c r="I240" t="str">
        <f t="shared" ca="1" si="51"/>
        <v/>
      </c>
      <c r="J240" t="str">
        <f t="shared" si="52"/>
        <v/>
      </c>
      <c r="K240" t="str">
        <f t="shared" si="53"/>
        <v/>
      </c>
      <c r="L240">
        <f t="shared" si="54"/>
        <v>0</v>
      </c>
      <c r="M240">
        <f t="shared" si="55"/>
        <v>0</v>
      </c>
      <c r="N240">
        <f t="shared" si="56"/>
        <v>0</v>
      </c>
      <c r="O240">
        <f t="shared" si="57"/>
        <v>1</v>
      </c>
      <c r="P240">
        <f t="shared" ca="1" si="58"/>
        <v>0</v>
      </c>
      <c r="Q240">
        <f t="shared" ca="1" si="59"/>
        <v>0</v>
      </c>
    </row>
    <row r="241" spans="1:17" x14ac:dyDescent="0.25">
      <c r="A241">
        <f t="shared" si="50"/>
        <v>240</v>
      </c>
      <c r="B241" s="212" t="s">
        <v>69</v>
      </c>
      <c r="C241" s="555">
        <v>6</v>
      </c>
      <c r="D241" t="s">
        <v>1467</v>
      </c>
      <c r="E241" t="s">
        <v>1420</v>
      </c>
      <c r="F241" s="494" t="str">
        <f>IF('PLAN PRODUCTION2'!I37="","",'PLAN PRODUCTION2'!I37)</f>
        <v/>
      </c>
      <c r="G241" s="494" t="str">
        <f>IF('PLAN PRODUCTION2'!J37="","",'PLAN PRODUCTION2'!J37)</f>
        <v/>
      </c>
      <c r="H241" t="str">
        <f t="shared" ca="1" si="49"/>
        <v>Plan Date Empty</v>
      </c>
      <c r="I241" t="str">
        <f t="shared" ca="1" si="51"/>
        <v/>
      </c>
      <c r="J241" t="str">
        <f t="shared" si="52"/>
        <v/>
      </c>
      <c r="K241" t="str">
        <f t="shared" si="53"/>
        <v/>
      </c>
      <c r="L241">
        <f t="shared" si="54"/>
        <v>0</v>
      </c>
      <c r="M241">
        <f t="shared" si="55"/>
        <v>0</v>
      </c>
      <c r="N241">
        <f t="shared" si="56"/>
        <v>0</v>
      </c>
      <c r="O241">
        <f t="shared" si="57"/>
        <v>1</v>
      </c>
      <c r="P241">
        <f t="shared" ca="1" si="58"/>
        <v>0</v>
      </c>
      <c r="Q241">
        <f t="shared" ca="1" si="59"/>
        <v>0</v>
      </c>
    </row>
    <row r="242" spans="1:17" x14ac:dyDescent="0.25">
      <c r="A242">
        <f t="shared" si="50"/>
        <v>241</v>
      </c>
      <c r="B242" s="212" t="s">
        <v>69</v>
      </c>
      <c r="C242" s="555">
        <v>6</v>
      </c>
      <c r="D242" t="s">
        <v>1468</v>
      </c>
      <c r="E242" t="s">
        <v>1420</v>
      </c>
      <c r="F242" s="494" t="str">
        <f>IF('PLAN PRODUCTION2'!K37="","",'PLAN PRODUCTION2'!K37)</f>
        <v/>
      </c>
      <c r="G242" s="494" t="str">
        <f>IF('PLAN PRODUCTION2'!L37="","",'PLAN PRODUCTION2'!L37)</f>
        <v/>
      </c>
      <c r="H242" t="str">
        <f t="shared" ca="1" si="49"/>
        <v>Plan Date Empty</v>
      </c>
      <c r="I242" t="str">
        <f t="shared" ca="1" si="51"/>
        <v/>
      </c>
      <c r="J242" t="str">
        <f t="shared" si="52"/>
        <v/>
      </c>
      <c r="K242" t="str">
        <f t="shared" si="53"/>
        <v/>
      </c>
      <c r="L242">
        <f t="shared" si="54"/>
        <v>0</v>
      </c>
      <c r="M242">
        <f t="shared" si="55"/>
        <v>0</v>
      </c>
      <c r="N242">
        <f t="shared" si="56"/>
        <v>0</v>
      </c>
      <c r="O242">
        <f t="shared" si="57"/>
        <v>1</v>
      </c>
      <c r="P242">
        <f t="shared" ca="1" si="58"/>
        <v>0</v>
      </c>
      <c r="Q242">
        <f t="shared" ca="1" si="59"/>
        <v>0</v>
      </c>
    </row>
    <row r="243" spans="1:17" x14ac:dyDescent="0.25">
      <c r="A243">
        <f t="shared" si="50"/>
        <v>242</v>
      </c>
      <c r="B243" s="212" t="s">
        <v>69</v>
      </c>
      <c r="C243" s="555">
        <v>6</v>
      </c>
      <c r="D243" t="s">
        <v>1469</v>
      </c>
      <c r="E243" t="s">
        <v>1422</v>
      </c>
      <c r="F243" s="494" t="str">
        <f>IF('PLAN PRODUCTION2'!M37="","",'PLAN PRODUCTION2'!M37)</f>
        <v/>
      </c>
      <c r="G243" s="494" t="str">
        <f>IF('PLAN PRODUCTION2'!N37="","",'PLAN PRODUCTION2'!N37)</f>
        <v/>
      </c>
      <c r="H243" t="str">
        <f t="shared" ca="1" si="49"/>
        <v>Plan Date Empty</v>
      </c>
      <c r="I243" t="str">
        <f t="shared" ca="1" si="51"/>
        <v/>
      </c>
      <c r="J243" t="str">
        <f t="shared" si="52"/>
        <v/>
      </c>
      <c r="K243" t="str">
        <f t="shared" si="53"/>
        <v/>
      </c>
      <c r="L243">
        <f t="shared" si="54"/>
        <v>0</v>
      </c>
      <c r="M243">
        <f t="shared" si="55"/>
        <v>0</v>
      </c>
      <c r="N243">
        <f t="shared" si="56"/>
        <v>0</v>
      </c>
      <c r="O243">
        <f t="shared" si="57"/>
        <v>1</v>
      </c>
      <c r="P243">
        <f t="shared" ca="1" si="58"/>
        <v>0</v>
      </c>
      <c r="Q243">
        <f t="shared" ca="1" si="59"/>
        <v>0</v>
      </c>
    </row>
    <row r="244" spans="1:17" x14ac:dyDescent="0.25">
      <c r="A244">
        <f t="shared" si="50"/>
        <v>243</v>
      </c>
      <c r="B244" s="212" t="s">
        <v>69</v>
      </c>
      <c r="C244" s="555">
        <v>6</v>
      </c>
      <c r="D244" t="s">
        <v>1470</v>
      </c>
      <c r="E244" t="s">
        <v>1422</v>
      </c>
      <c r="F244" s="494" t="str">
        <f>IF('PLAN PRODUCTION2'!O37="","",'PLAN PRODUCTION2'!O37)</f>
        <v/>
      </c>
      <c r="G244" s="494" t="str">
        <f>IF('PLAN PRODUCTION2'!P37="","",'PLAN PRODUCTION2'!P37)</f>
        <v/>
      </c>
      <c r="H244" t="str">
        <f t="shared" ca="1" si="49"/>
        <v>Plan Date Empty</v>
      </c>
      <c r="I244" t="str">
        <f t="shared" ca="1" si="51"/>
        <v/>
      </c>
      <c r="J244" t="str">
        <f t="shared" si="52"/>
        <v/>
      </c>
      <c r="K244" t="str">
        <f t="shared" si="53"/>
        <v/>
      </c>
      <c r="L244">
        <f t="shared" si="54"/>
        <v>0</v>
      </c>
      <c r="M244">
        <f t="shared" si="55"/>
        <v>0</v>
      </c>
      <c r="N244">
        <f t="shared" si="56"/>
        <v>0</v>
      </c>
      <c r="O244">
        <f t="shared" si="57"/>
        <v>1</v>
      </c>
      <c r="P244">
        <f t="shared" ca="1" si="58"/>
        <v>0</v>
      </c>
      <c r="Q244">
        <f t="shared" ca="1" si="59"/>
        <v>0</v>
      </c>
    </row>
    <row r="245" spans="1:17" x14ac:dyDescent="0.25">
      <c r="A245">
        <f t="shared" si="50"/>
        <v>244</v>
      </c>
      <c r="B245" s="212" t="s">
        <v>69</v>
      </c>
      <c r="C245" s="555">
        <v>6</v>
      </c>
      <c r="D245" t="s">
        <v>1471</v>
      </c>
      <c r="E245" t="s">
        <v>1424</v>
      </c>
      <c r="F245" s="494" t="str">
        <f>IF('PLAN PRODUCTION2'!Q37="","",'PLAN PRODUCTION2'!Q37)</f>
        <v/>
      </c>
      <c r="G245" s="494" t="str">
        <f>IF('PLAN PRODUCTION2'!R37="","",'PLAN PRODUCTION2'!R37)</f>
        <v/>
      </c>
      <c r="H245" t="str">
        <f t="shared" ref="H245:H308" ca="1" si="60">IF(F245="","Plan Date Empty",IF(G245&lt;&gt;"",IF(G245&lt;=F245,"Completed - On Time","Not Done - Overdue"),IF(TODAY()&gt;F245,"Not Done - Overdue","Not Done - On Schedule")))</f>
        <v>Plan Date Empty</v>
      </c>
      <c r="I245" t="str">
        <f t="shared" ca="1" si="51"/>
        <v/>
      </c>
      <c r="J245" t="str">
        <f t="shared" si="52"/>
        <v/>
      </c>
      <c r="K245" t="str">
        <f t="shared" si="53"/>
        <v/>
      </c>
      <c r="L245">
        <f t="shared" si="54"/>
        <v>0</v>
      </c>
      <c r="M245">
        <f t="shared" si="55"/>
        <v>0</v>
      </c>
      <c r="N245">
        <f t="shared" si="56"/>
        <v>0</v>
      </c>
      <c r="O245">
        <f t="shared" si="57"/>
        <v>1</v>
      </c>
      <c r="P245">
        <f t="shared" ca="1" si="58"/>
        <v>0</v>
      </c>
      <c r="Q245">
        <f t="shared" ca="1" si="59"/>
        <v>0</v>
      </c>
    </row>
    <row r="246" spans="1:17" x14ac:dyDescent="0.25">
      <c r="A246">
        <f t="shared" si="50"/>
        <v>245</v>
      </c>
      <c r="B246" s="212" t="s">
        <v>69</v>
      </c>
      <c r="C246" s="555">
        <v>6</v>
      </c>
      <c r="D246" t="s">
        <v>1472</v>
      </c>
      <c r="E246" t="s">
        <v>1426</v>
      </c>
      <c r="F246" s="494" t="str">
        <f>IF('PLAN PRODUCTION2'!S37="","",'PLAN PRODUCTION2'!S37)</f>
        <v/>
      </c>
      <c r="G246" s="494" t="str">
        <f>IF('PLAN PRODUCTION2'!T37="","",'PLAN PRODUCTION2'!T37)</f>
        <v/>
      </c>
      <c r="H246" t="str">
        <f t="shared" ca="1" si="60"/>
        <v>Plan Date Empty</v>
      </c>
      <c r="I246" t="str">
        <f t="shared" ca="1" si="51"/>
        <v/>
      </c>
      <c r="J246" t="str">
        <f t="shared" si="52"/>
        <v/>
      </c>
      <c r="K246" t="str">
        <f t="shared" si="53"/>
        <v/>
      </c>
      <c r="L246">
        <f t="shared" si="54"/>
        <v>0</v>
      </c>
      <c r="M246">
        <f t="shared" si="55"/>
        <v>0</v>
      </c>
      <c r="N246">
        <f t="shared" si="56"/>
        <v>0</v>
      </c>
      <c r="O246">
        <f t="shared" si="57"/>
        <v>1</v>
      </c>
      <c r="P246">
        <f t="shared" ca="1" si="58"/>
        <v>0</v>
      </c>
      <c r="Q246">
        <f t="shared" ca="1" si="59"/>
        <v>0</v>
      </c>
    </row>
    <row r="247" spans="1:17" x14ac:dyDescent="0.25">
      <c r="A247">
        <f t="shared" si="50"/>
        <v>246</v>
      </c>
      <c r="B247" s="212" t="s">
        <v>69</v>
      </c>
      <c r="C247" s="555">
        <v>6</v>
      </c>
      <c r="D247" t="s">
        <v>1473</v>
      </c>
      <c r="E247" t="s">
        <v>1426</v>
      </c>
      <c r="F247" s="494" t="str">
        <f>IF('PLAN PRODUCTION2'!U37="","",'PLAN PRODUCTION2'!U37)</f>
        <v/>
      </c>
      <c r="G247" s="494" t="str">
        <f>IF('PLAN PRODUCTION2'!V37="","",'PLAN PRODUCTION2'!V37)</f>
        <v/>
      </c>
      <c r="H247" t="str">
        <f t="shared" ca="1" si="60"/>
        <v>Plan Date Empty</v>
      </c>
      <c r="I247" t="str">
        <f t="shared" ca="1" si="51"/>
        <v/>
      </c>
      <c r="J247" t="str">
        <f t="shared" si="52"/>
        <v/>
      </c>
      <c r="K247" t="str">
        <f t="shared" si="53"/>
        <v/>
      </c>
      <c r="L247">
        <f t="shared" si="54"/>
        <v>0</v>
      </c>
      <c r="M247">
        <f t="shared" si="55"/>
        <v>0</v>
      </c>
      <c r="N247">
        <f t="shared" si="56"/>
        <v>0</v>
      </c>
      <c r="O247">
        <f t="shared" si="57"/>
        <v>1</v>
      </c>
      <c r="P247">
        <f t="shared" ca="1" si="58"/>
        <v>0</v>
      </c>
      <c r="Q247">
        <f t="shared" ca="1" si="59"/>
        <v>0</v>
      </c>
    </row>
    <row r="248" spans="1:17" x14ac:dyDescent="0.25">
      <c r="A248">
        <f t="shared" si="50"/>
        <v>247</v>
      </c>
      <c r="B248" s="212" t="s">
        <v>69</v>
      </c>
      <c r="C248" s="555">
        <v>6</v>
      </c>
      <c r="D248" t="s">
        <v>1474</v>
      </c>
      <c r="E248" t="s">
        <v>1426</v>
      </c>
      <c r="F248" s="494" t="str">
        <f>IF('PLAN PRODUCTION2'!W37="","",'PLAN PRODUCTION2'!W37)</f>
        <v/>
      </c>
      <c r="G248" s="494" t="str">
        <f>IF('PLAN PRODUCTION2'!X37="","",'PLAN PRODUCTION2'!X37)</f>
        <v/>
      </c>
      <c r="H248" t="str">
        <f t="shared" ca="1" si="60"/>
        <v>Plan Date Empty</v>
      </c>
      <c r="I248" t="str">
        <f t="shared" ca="1" si="51"/>
        <v/>
      </c>
      <c r="J248" t="str">
        <f t="shared" si="52"/>
        <v/>
      </c>
      <c r="K248" t="str">
        <f t="shared" si="53"/>
        <v/>
      </c>
      <c r="L248">
        <f t="shared" si="54"/>
        <v>0</v>
      </c>
      <c r="M248">
        <f t="shared" si="55"/>
        <v>0</v>
      </c>
      <c r="N248">
        <f t="shared" si="56"/>
        <v>0</v>
      </c>
      <c r="O248">
        <f t="shared" si="57"/>
        <v>1</v>
      </c>
      <c r="P248">
        <f t="shared" ca="1" si="58"/>
        <v>0</v>
      </c>
      <c r="Q248">
        <f t="shared" ca="1" si="59"/>
        <v>0</v>
      </c>
    </row>
    <row r="249" spans="1:17" x14ac:dyDescent="0.25">
      <c r="A249">
        <f t="shared" si="50"/>
        <v>248</v>
      </c>
      <c r="B249" s="212" t="s">
        <v>69</v>
      </c>
      <c r="C249" s="555">
        <v>6</v>
      </c>
      <c r="D249" t="s">
        <v>1475</v>
      </c>
      <c r="E249" t="s">
        <v>1426</v>
      </c>
      <c r="F249" s="494" t="str">
        <f>IF('PLAN PRODUCTION2'!Y37="","",'PLAN PRODUCTION2'!Y37)</f>
        <v/>
      </c>
      <c r="G249" s="494" t="str">
        <f>IF('PLAN PRODUCTION2'!Z37="","",'PLAN PRODUCTION2'!Z37)</f>
        <v/>
      </c>
      <c r="H249" t="str">
        <f t="shared" ca="1" si="60"/>
        <v>Plan Date Empty</v>
      </c>
      <c r="I249" t="str">
        <f t="shared" ca="1" si="51"/>
        <v/>
      </c>
      <c r="J249" t="str">
        <f t="shared" si="52"/>
        <v/>
      </c>
      <c r="K249" t="str">
        <f t="shared" si="53"/>
        <v/>
      </c>
      <c r="L249">
        <f t="shared" si="54"/>
        <v>0</v>
      </c>
      <c r="M249">
        <f t="shared" si="55"/>
        <v>0</v>
      </c>
      <c r="N249">
        <f t="shared" si="56"/>
        <v>0</v>
      </c>
      <c r="O249">
        <f t="shared" si="57"/>
        <v>1</v>
      </c>
      <c r="P249">
        <f t="shared" ca="1" si="58"/>
        <v>0</v>
      </c>
      <c r="Q249">
        <f t="shared" ca="1" si="59"/>
        <v>0</v>
      </c>
    </row>
    <row r="250" spans="1:17" x14ac:dyDescent="0.25">
      <c r="A250">
        <f t="shared" si="50"/>
        <v>249</v>
      </c>
      <c r="B250" s="212" t="s">
        <v>69</v>
      </c>
      <c r="C250" s="555">
        <v>6</v>
      </c>
      <c r="D250" t="s">
        <v>1476</v>
      </c>
      <c r="E250" t="s">
        <v>1426</v>
      </c>
      <c r="F250" s="494" t="str">
        <f>IF('PLAN PRODUCTION2'!AA37="","",'PLAN PRODUCTION2'!AA37)</f>
        <v/>
      </c>
      <c r="G250" s="494" t="str">
        <f>IF('PLAN PRODUCTION2'!AB37="","",'PLAN PRODUCTION2'!AB37)</f>
        <v/>
      </c>
      <c r="H250" t="str">
        <f t="shared" ca="1" si="60"/>
        <v>Plan Date Empty</v>
      </c>
      <c r="I250" t="str">
        <f t="shared" ca="1" si="51"/>
        <v/>
      </c>
      <c r="J250" t="str">
        <f t="shared" si="52"/>
        <v/>
      </c>
      <c r="K250" t="str">
        <f t="shared" si="53"/>
        <v/>
      </c>
      <c r="L250">
        <f t="shared" si="54"/>
        <v>0</v>
      </c>
      <c r="M250">
        <f t="shared" si="55"/>
        <v>0</v>
      </c>
      <c r="N250">
        <f t="shared" si="56"/>
        <v>0</v>
      </c>
      <c r="O250">
        <f t="shared" si="57"/>
        <v>1</v>
      </c>
      <c r="P250">
        <f t="shared" ca="1" si="58"/>
        <v>0</v>
      </c>
      <c r="Q250">
        <f t="shared" ca="1" si="59"/>
        <v>0</v>
      </c>
    </row>
    <row r="251" spans="1:17" x14ac:dyDescent="0.25">
      <c r="A251">
        <f t="shared" si="50"/>
        <v>250</v>
      </c>
      <c r="B251" s="212" t="s">
        <v>69</v>
      </c>
      <c r="C251" s="555">
        <v>6</v>
      </c>
      <c r="D251" t="s">
        <v>1477</v>
      </c>
      <c r="E251" t="s">
        <v>1422</v>
      </c>
      <c r="F251" s="494" t="str">
        <f>IF('PLAN PRODUCTION2'!AC37="","",'PLAN PRODUCTION2'!AC37)</f>
        <v/>
      </c>
      <c r="G251" s="494" t="str">
        <f>IF('PLAN PRODUCTION2'!AD37="","",'PLAN PRODUCTION2'!AD37)</f>
        <v/>
      </c>
      <c r="H251" t="str">
        <f t="shared" ca="1" si="60"/>
        <v>Plan Date Empty</v>
      </c>
      <c r="I251" t="str">
        <f t="shared" ca="1" si="51"/>
        <v/>
      </c>
      <c r="J251" t="str">
        <f t="shared" si="52"/>
        <v/>
      </c>
      <c r="K251" t="str">
        <f t="shared" si="53"/>
        <v/>
      </c>
      <c r="L251">
        <f t="shared" si="54"/>
        <v>0</v>
      </c>
      <c r="M251">
        <f t="shared" si="55"/>
        <v>0</v>
      </c>
      <c r="N251">
        <f t="shared" si="56"/>
        <v>0</v>
      </c>
      <c r="O251">
        <f t="shared" si="57"/>
        <v>1</v>
      </c>
      <c r="P251">
        <f t="shared" ca="1" si="58"/>
        <v>0</v>
      </c>
      <c r="Q251">
        <f t="shared" ca="1" si="59"/>
        <v>0</v>
      </c>
    </row>
    <row r="252" spans="1:17" x14ac:dyDescent="0.25">
      <c r="A252">
        <f t="shared" si="50"/>
        <v>251</v>
      </c>
      <c r="B252" s="212" t="s">
        <v>69</v>
      </c>
      <c r="C252" s="555">
        <v>6</v>
      </c>
      <c r="D252" t="s">
        <v>1478</v>
      </c>
      <c r="E252" t="s">
        <v>1429</v>
      </c>
      <c r="F252" s="494" t="str">
        <f>IF('PLAN PRODUCTION2'!AE37="","",'PLAN PRODUCTION2'!AE37)</f>
        <v/>
      </c>
      <c r="G252" s="494" t="str">
        <f>IF('PLAN PRODUCTION2'!AF37="","",'PLAN PRODUCTION2'!AF37)</f>
        <v/>
      </c>
      <c r="H252" t="str">
        <f t="shared" ca="1" si="60"/>
        <v>Plan Date Empty</v>
      </c>
      <c r="I252" t="str">
        <f t="shared" ca="1" si="51"/>
        <v/>
      </c>
      <c r="J252" t="str">
        <f t="shared" si="52"/>
        <v/>
      </c>
      <c r="K252" t="str">
        <f t="shared" si="53"/>
        <v/>
      </c>
      <c r="L252">
        <f t="shared" si="54"/>
        <v>0</v>
      </c>
      <c r="M252">
        <f t="shared" si="55"/>
        <v>0</v>
      </c>
      <c r="N252">
        <f t="shared" si="56"/>
        <v>0</v>
      </c>
      <c r="O252">
        <f t="shared" si="57"/>
        <v>1</v>
      </c>
      <c r="P252">
        <f t="shared" ca="1" si="58"/>
        <v>0</v>
      </c>
      <c r="Q252">
        <f t="shared" ca="1" si="59"/>
        <v>0</v>
      </c>
    </row>
    <row r="253" spans="1:17" x14ac:dyDescent="0.25">
      <c r="A253">
        <f t="shared" si="50"/>
        <v>252</v>
      </c>
      <c r="B253" s="212" t="s">
        <v>69</v>
      </c>
      <c r="C253" s="555">
        <v>6</v>
      </c>
      <c r="D253" t="s">
        <v>1479</v>
      </c>
      <c r="E253" t="s">
        <v>1429</v>
      </c>
      <c r="F253" s="494" t="str">
        <f>IF('PLAN PRODUCTION2'!AG37="","",'PLAN PRODUCTION2'!AG37)</f>
        <v/>
      </c>
      <c r="G253" s="494" t="str">
        <f>IF('PLAN PRODUCTION2'!AH37="","",'PLAN PRODUCTION2'!AH37)</f>
        <v/>
      </c>
      <c r="H253" t="str">
        <f t="shared" ca="1" si="60"/>
        <v>Plan Date Empty</v>
      </c>
      <c r="I253" t="str">
        <f t="shared" ca="1" si="51"/>
        <v/>
      </c>
      <c r="J253" t="str">
        <f t="shared" si="52"/>
        <v/>
      </c>
      <c r="K253" t="str">
        <f t="shared" si="53"/>
        <v/>
      </c>
      <c r="L253">
        <f t="shared" si="54"/>
        <v>0</v>
      </c>
      <c r="M253">
        <f t="shared" si="55"/>
        <v>0</v>
      </c>
      <c r="N253">
        <f t="shared" si="56"/>
        <v>0</v>
      </c>
      <c r="O253">
        <f t="shared" si="57"/>
        <v>1</v>
      </c>
      <c r="P253">
        <f t="shared" ca="1" si="58"/>
        <v>0</v>
      </c>
      <c r="Q253">
        <f t="shared" ca="1" si="59"/>
        <v>0</v>
      </c>
    </row>
    <row r="254" spans="1:17" x14ac:dyDescent="0.25">
      <c r="A254">
        <f t="shared" si="50"/>
        <v>253</v>
      </c>
      <c r="B254" s="212" t="s">
        <v>70</v>
      </c>
      <c r="C254" s="555">
        <v>7</v>
      </c>
      <c r="D254" t="s">
        <v>1466</v>
      </c>
      <c r="E254" t="s">
        <v>1420</v>
      </c>
      <c r="F254" s="494" t="str">
        <f>IF('PLAN PRODUCTION2'!E38="","",'PLAN PRODUCTION2'!E38)</f>
        <v/>
      </c>
      <c r="G254" s="494" t="str">
        <f>IF('PLAN PRODUCTION2'!F38="","",'PLAN PRODUCTION2'!F38)</f>
        <v/>
      </c>
      <c r="H254" t="str">
        <f t="shared" ca="1" si="60"/>
        <v>Plan Date Empty</v>
      </c>
      <c r="I254" t="str">
        <f t="shared" ca="1" si="51"/>
        <v/>
      </c>
      <c r="J254" t="str">
        <f t="shared" si="52"/>
        <v/>
      </c>
      <c r="K254" t="str">
        <f t="shared" si="53"/>
        <v/>
      </c>
      <c r="L254">
        <f t="shared" si="54"/>
        <v>0</v>
      </c>
      <c r="M254">
        <f t="shared" si="55"/>
        <v>0</v>
      </c>
      <c r="N254">
        <f t="shared" si="56"/>
        <v>0</v>
      </c>
      <c r="O254">
        <f t="shared" si="57"/>
        <v>1</v>
      </c>
      <c r="P254">
        <f t="shared" ca="1" si="58"/>
        <v>0</v>
      </c>
      <c r="Q254">
        <f t="shared" ca="1" si="59"/>
        <v>0</v>
      </c>
    </row>
    <row r="255" spans="1:17" x14ac:dyDescent="0.25">
      <c r="A255">
        <f t="shared" si="50"/>
        <v>254</v>
      </c>
      <c r="B255" s="212" t="s">
        <v>70</v>
      </c>
      <c r="C255" s="555">
        <v>7</v>
      </c>
      <c r="D255" t="s">
        <v>1467</v>
      </c>
      <c r="E255" t="s">
        <v>1420</v>
      </c>
      <c r="F255" s="494" t="str">
        <f>IF('PLAN PRODUCTION2'!I38="","",'PLAN PRODUCTION2'!I38)</f>
        <v/>
      </c>
      <c r="G255" s="494" t="str">
        <f>IF('PLAN PRODUCTION2'!J38="","",'PLAN PRODUCTION2'!J38)</f>
        <v/>
      </c>
      <c r="H255" t="str">
        <f t="shared" ca="1" si="60"/>
        <v>Plan Date Empty</v>
      </c>
      <c r="I255" t="str">
        <f t="shared" ca="1" si="51"/>
        <v/>
      </c>
      <c r="J255" t="str">
        <f t="shared" si="52"/>
        <v/>
      </c>
      <c r="K255" t="str">
        <f t="shared" si="53"/>
        <v/>
      </c>
      <c r="L255">
        <f t="shared" si="54"/>
        <v>0</v>
      </c>
      <c r="M255">
        <f t="shared" si="55"/>
        <v>0</v>
      </c>
      <c r="N255">
        <f t="shared" si="56"/>
        <v>0</v>
      </c>
      <c r="O255">
        <f t="shared" si="57"/>
        <v>1</v>
      </c>
      <c r="P255">
        <f t="shared" ca="1" si="58"/>
        <v>0</v>
      </c>
      <c r="Q255">
        <f t="shared" ca="1" si="59"/>
        <v>0</v>
      </c>
    </row>
    <row r="256" spans="1:17" x14ac:dyDescent="0.25">
      <c r="A256">
        <f t="shared" ref="A256:A295" si="61">ROW(B256)-1</f>
        <v>255</v>
      </c>
      <c r="B256" s="212" t="s">
        <v>70</v>
      </c>
      <c r="C256" s="555">
        <v>7</v>
      </c>
      <c r="D256" t="s">
        <v>1468</v>
      </c>
      <c r="E256" t="s">
        <v>1420</v>
      </c>
      <c r="F256" s="494" t="str">
        <f>IF('PLAN PRODUCTION2'!K38="","",'PLAN PRODUCTION2'!K38)</f>
        <v/>
      </c>
      <c r="G256" s="494" t="str">
        <f>IF('PLAN PRODUCTION2'!L38="","",'PLAN PRODUCTION2'!L38)</f>
        <v/>
      </c>
      <c r="H256" t="str">
        <f t="shared" ca="1" si="60"/>
        <v>Plan Date Empty</v>
      </c>
      <c r="I256" t="str">
        <f t="shared" ca="1" si="51"/>
        <v/>
      </c>
      <c r="J256" t="str">
        <f t="shared" si="52"/>
        <v/>
      </c>
      <c r="K256" t="str">
        <f t="shared" si="53"/>
        <v/>
      </c>
      <c r="L256">
        <f t="shared" si="54"/>
        <v>0</v>
      </c>
      <c r="M256">
        <f t="shared" si="55"/>
        <v>0</v>
      </c>
      <c r="N256">
        <f t="shared" si="56"/>
        <v>0</v>
      </c>
      <c r="O256">
        <f t="shared" si="57"/>
        <v>1</v>
      </c>
      <c r="P256">
        <f t="shared" ca="1" si="58"/>
        <v>0</v>
      </c>
      <c r="Q256">
        <f t="shared" ca="1" si="59"/>
        <v>0</v>
      </c>
    </row>
    <row r="257" spans="1:17" x14ac:dyDescent="0.25">
      <c r="A257">
        <f t="shared" si="61"/>
        <v>256</v>
      </c>
      <c r="B257" s="212" t="s">
        <v>70</v>
      </c>
      <c r="C257" s="555">
        <v>7</v>
      </c>
      <c r="D257" t="s">
        <v>1469</v>
      </c>
      <c r="E257" t="s">
        <v>1422</v>
      </c>
      <c r="F257" s="494" t="str">
        <f>IF('PLAN PRODUCTION2'!M38="","",'PLAN PRODUCTION2'!M38)</f>
        <v/>
      </c>
      <c r="G257" s="494" t="str">
        <f>IF('PLAN PRODUCTION2'!N38="","",'PLAN PRODUCTION2'!N38)</f>
        <v/>
      </c>
      <c r="H257" t="str">
        <f t="shared" ca="1" si="60"/>
        <v>Plan Date Empty</v>
      </c>
      <c r="I257" t="str">
        <f t="shared" ref="I257:I295" ca="1" si="62">IF(AND(F257&lt;&gt;"",G257&lt;&gt;""),G257-F257,IF(AND(F257&lt;&gt;"",G257="",TODAY()&gt;F257),TODAY()-F257,""))</f>
        <v/>
      </c>
      <c r="J257" t="str">
        <f t="shared" ref="J257:J295" si="63">IF(F257="","",INT(((F257-DATE(YEAR(F257),1,1)+1)+WEEKDAY(DATE(YEAR(F257),1,1),2)-2)/7)+1)</f>
        <v/>
      </c>
      <c r="K257" t="str">
        <f t="shared" ref="K257:K295" si="64">IF(F257="","","Minggu "&amp;J257&amp;" ("&amp;YEAR(F257)&amp;")")</f>
        <v/>
      </c>
      <c r="L257">
        <f t="shared" ref="L257:L295" si="65">IF(G257&lt;&gt;"",1,0)</f>
        <v>0</v>
      </c>
      <c r="M257">
        <f t="shared" ref="M257:M295" si="66">IF(AND(G257&lt;&gt;"",G257&lt;=F257),1,0)</f>
        <v>0</v>
      </c>
      <c r="N257">
        <f t="shared" ref="N257:N295" si="67">IF(AND(G257&lt;&gt;"",G257&gt;F257),1,0)</f>
        <v>0</v>
      </c>
      <c r="O257">
        <f t="shared" ref="O257:O295" si="68">IF(G257="",1,0)</f>
        <v>1</v>
      </c>
      <c r="P257">
        <f t="shared" ref="P257:P295" ca="1" si="69">IF(AND(G257="",F257&lt;&gt;"",TODAY()&gt;F257),1,0)</f>
        <v>0</v>
      </c>
      <c r="Q257">
        <f t="shared" ref="Q257:Q295" ca="1" si="70">IF(I257="",0,I257)</f>
        <v>0</v>
      </c>
    </row>
    <row r="258" spans="1:17" x14ac:dyDescent="0.25">
      <c r="A258">
        <f t="shared" si="61"/>
        <v>257</v>
      </c>
      <c r="B258" s="212" t="s">
        <v>70</v>
      </c>
      <c r="C258" s="555">
        <v>7</v>
      </c>
      <c r="D258" t="s">
        <v>1470</v>
      </c>
      <c r="E258" t="s">
        <v>1422</v>
      </c>
      <c r="F258" s="494" t="str">
        <f>IF('PLAN PRODUCTION2'!O38="","",'PLAN PRODUCTION2'!O38)</f>
        <v/>
      </c>
      <c r="G258" s="494" t="str">
        <f>IF('PLAN PRODUCTION2'!P38="","",'PLAN PRODUCTION2'!P38)</f>
        <v/>
      </c>
      <c r="H258" t="str">
        <f t="shared" ca="1" si="60"/>
        <v>Plan Date Empty</v>
      </c>
      <c r="I258" t="str">
        <f t="shared" ca="1" si="62"/>
        <v/>
      </c>
      <c r="J258" t="str">
        <f t="shared" si="63"/>
        <v/>
      </c>
      <c r="K258" t="str">
        <f t="shared" si="64"/>
        <v/>
      </c>
      <c r="L258">
        <f t="shared" si="65"/>
        <v>0</v>
      </c>
      <c r="M258">
        <f t="shared" si="66"/>
        <v>0</v>
      </c>
      <c r="N258">
        <f t="shared" si="67"/>
        <v>0</v>
      </c>
      <c r="O258">
        <f t="shared" si="68"/>
        <v>1</v>
      </c>
      <c r="P258">
        <f t="shared" ca="1" si="69"/>
        <v>0</v>
      </c>
      <c r="Q258">
        <f t="shared" ca="1" si="70"/>
        <v>0</v>
      </c>
    </row>
    <row r="259" spans="1:17" x14ac:dyDescent="0.25">
      <c r="A259">
        <f t="shared" si="61"/>
        <v>258</v>
      </c>
      <c r="B259" s="212" t="s">
        <v>70</v>
      </c>
      <c r="C259" s="555">
        <v>7</v>
      </c>
      <c r="D259" t="s">
        <v>1471</v>
      </c>
      <c r="E259" t="s">
        <v>1424</v>
      </c>
      <c r="F259" s="494" t="str">
        <f>IF('PLAN PRODUCTION2'!Q38="","",'PLAN PRODUCTION2'!Q38)</f>
        <v/>
      </c>
      <c r="G259" s="494" t="str">
        <f>IF('PLAN PRODUCTION2'!R38="","",'PLAN PRODUCTION2'!R38)</f>
        <v/>
      </c>
      <c r="H259" t="str">
        <f t="shared" ca="1" si="60"/>
        <v>Plan Date Empty</v>
      </c>
      <c r="I259" t="str">
        <f t="shared" ca="1" si="62"/>
        <v/>
      </c>
      <c r="J259" t="str">
        <f t="shared" si="63"/>
        <v/>
      </c>
      <c r="K259" t="str">
        <f t="shared" si="64"/>
        <v/>
      </c>
      <c r="L259">
        <f t="shared" si="65"/>
        <v>0</v>
      </c>
      <c r="M259">
        <f t="shared" si="66"/>
        <v>0</v>
      </c>
      <c r="N259">
        <f t="shared" si="67"/>
        <v>0</v>
      </c>
      <c r="O259">
        <f t="shared" si="68"/>
        <v>1</v>
      </c>
      <c r="P259">
        <f t="shared" ca="1" si="69"/>
        <v>0</v>
      </c>
      <c r="Q259">
        <f t="shared" ca="1" si="70"/>
        <v>0</v>
      </c>
    </row>
    <row r="260" spans="1:17" x14ac:dyDescent="0.25">
      <c r="A260">
        <f t="shared" si="61"/>
        <v>259</v>
      </c>
      <c r="B260" s="212" t="s">
        <v>70</v>
      </c>
      <c r="C260" s="555">
        <v>7</v>
      </c>
      <c r="D260" t="s">
        <v>1472</v>
      </c>
      <c r="E260" t="s">
        <v>1426</v>
      </c>
      <c r="F260" s="494" t="str">
        <f>IF('PLAN PRODUCTION2'!S38="","",'PLAN PRODUCTION2'!S38)</f>
        <v/>
      </c>
      <c r="G260" s="494" t="str">
        <f>IF('PLAN PRODUCTION2'!T38="","",'PLAN PRODUCTION2'!T38)</f>
        <v/>
      </c>
      <c r="H260" t="str">
        <f t="shared" ca="1" si="60"/>
        <v>Plan Date Empty</v>
      </c>
      <c r="I260" t="str">
        <f t="shared" ca="1" si="62"/>
        <v/>
      </c>
      <c r="J260" t="str">
        <f t="shared" si="63"/>
        <v/>
      </c>
      <c r="K260" t="str">
        <f t="shared" si="64"/>
        <v/>
      </c>
      <c r="L260">
        <f t="shared" si="65"/>
        <v>0</v>
      </c>
      <c r="M260">
        <f t="shared" si="66"/>
        <v>0</v>
      </c>
      <c r="N260">
        <f t="shared" si="67"/>
        <v>0</v>
      </c>
      <c r="O260">
        <f t="shared" si="68"/>
        <v>1</v>
      </c>
      <c r="P260">
        <f t="shared" ca="1" si="69"/>
        <v>0</v>
      </c>
      <c r="Q260">
        <f t="shared" ca="1" si="70"/>
        <v>0</v>
      </c>
    </row>
    <row r="261" spans="1:17" x14ac:dyDescent="0.25">
      <c r="A261">
        <f t="shared" si="61"/>
        <v>260</v>
      </c>
      <c r="B261" s="212" t="s">
        <v>70</v>
      </c>
      <c r="C261" s="555">
        <v>7</v>
      </c>
      <c r="D261" t="s">
        <v>1473</v>
      </c>
      <c r="E261" t="s">
        <v>1426</v>
      </c>
      <c r="F261" s="494" t="str">
        <f>IF('PLAN PRODUCTION2'!U38="","",'PLAN PRODUCTION2'!U38)</f>
        <v/>
      </c>
      <c r="G261" s="494" t="str">
        <f>IF('PLAN PRODUCTION2'!V38="","",'PLAN PRODUCTION2'!V38)</f>
        <v/>
      </c>
      <c r="H261" t="str">
        <f t="shared" ca="1" si="60"/>
        <v>Plan Date Empty</v>
      </c>
      <c r="I261" t="str">
        <f t="shared" ca="1" si="62"/>
        <v/>
      </c>
      <c r="J261" t="str">
        <f t="shared" si="63"/>
        <v/>
      </c>
      <c r="K261" t="str">
        <f t="shared" si="64"/>
        <v/>
      </c>
      <c r="L261">
        <f t="shared" si="65"/>
        <v>0</v>
      </c>
      <c r="M261">
        <f t="shared" si="66"/>
        <v>0</v>
      </c>
      <c r="N261">
        <f t="shared" si="67"/>
        <v>0</v>
      </c>
      <c r="O261">
        <f t="shared" si="68"/>
        <v>1</v>
      </c>
      <c r="P261">
        <f t="shared" ca="1" si="69"/>
        <v>0</v>
      </c>
      <c r="Q261">
        <f t="shared" ca="1" si="70"/>
        <v>0</v>
      </c>
    </row>
    <row r="262" spans="1:17" x14ac:dyDescent="0.25">
      <c r="A262">
        <f t="shared" si="61"/>
        <v>261</v>
      </c>
      <c r="B262" s="212" t="s">
        <v>70</v>
      </c>
      <c r="C262" s="555">
        <v>7</v>
      </c>
      <c r="D262" t="s">
        <v>1474</v>
      </c>
      <c r="E262" t="s">
        <v>1426</v>
      </c>
      <c r="F262" s="494" t="str">
        <f>IF('PLAN PRODUCTION2'!W38="","",'PLAN PRODUCTION2'!W38)</f>
        <v/>
      </c>
      <c r="G262" s="494" t="str">
        <f>IF('PLAN PRODUCTION2'!X38="","",'PLAN PRODUCTION2'!X38)</f>
        <v/>
      </c>
      <c r="H262" t="str">
        <f t="shared" ca="1" si="60"/>
        <v>Plan Date Empty</v>
      </c>
      <c r="I262" t="str">
        <f t="shared" ca="1" si="62"/>
        <v/>
      </c>
      <c r="J262" t="str">
        <f t="shared" si="63"/>
        <v/>
      </c>
      <c r="K262" t="str">
        <f t="shared" si="64"/>
        <v/>
      </c>
      <c r="L262">
        <f t="shared" si="65"/>
        <v>0</v>
      </c>
      <c r="M262">
        <f t="shared" si="66"/>
        <v>0</v>
      </c>
      <c r="N262">
        <f t="shared" si="67"/>
        <v>0</v>
      </c>
      <c r="O262">
        <f t="shared" si="68"/>
        <v>1</v>
      </c>
      <c r="P262">
        <f t="shared" ca="1" si="69"/>
        <v>0</v>
      </c>
      <c r="Q262">
        <f t="shared" ca="1" si="70"/>
        <v>0</v>
      </c>
    </row>
    <row r="263" spans="1:17" x14ac:dyDescent="0.25">
      <c r="A263">
        <f t="shared" si="61"/>
        <v>262</v>
      </c>
      <c r="B263" s="212" t="s">
        <v>70</v>
      </c>
      <c r="C263" s="555">
        <v>7</v>
      </c>
      <c r="D263" t="s">
        <v>1475</v>
      </c>
      <c r="E263" t="s">
        <v>1426</v>
      </c>
      <c r="F263" s="494" t="str">
        <f>IF('PLAN PRODUCTION2'!Y38="","",'PLAN PRODUCTION2'!Y38)</f>
        <v/>
      </c>
      <c r="G263" s="494" t="str">
        <f>IF('PLAN PRODUCTION2'!Z38="","",'PLAN PRODUCTION2'!Z38)</f>
        <v/>
      </c>
      <c r="H263" t="str">
        <f t="shared" ca="1" si="60"/>
        <v>Plan Date Empty</v>
      </c>
      <c r="I263" t="str">
        <f t="shared" ca="1" si="62"/>
        <v/>
      </c>
      <c r="J263" t="str">
        <f t="shared" si="63"/>
        <v/>
      </c>
      <c r="K263" t="str">
        <f t="shared" si="64"/>
        <v/>
      </c>
      <c r="L263">
        <f t="shared" si="65"/>
        <v>0</v>
      </c>
      <c r="M263">
        <f t="shared" si="66"/>
        <v>0</v>
      </c>
      <c r="N263">
        <f t="shared" si="67"/>
        <v>0</v>
      </c>
      <c r="O263">
        <f t="shared" si="68"/>
        <v>1</v>
      </c>
      <c r="P263">
        <f t="shared" ca="1" si="69"/>
        <v>0</v>
      </c>
      <c r="Q263">
        <f t="shared" ca="1" si="70"/>
        <v>0</v>
      </c>
    </row>
    <row r="264" spans="1:17" x14ac:dyDescent="0.25">
      <c r="A264">
        <f t="shared" si="61"/>
        <v>263</v>
      </c>
      <c r="B264" s="212" t="s">
        <v>70</v>
      </c>
      <c r="C264" s="555">
        <v>7</v>
      </c>
      <c r="D264" t="s">
        <v>1476</v>
      </c>
      <c r="E264" t="s">
        <v>1426</v>
      </c>
      <c r="F264" s="494" t="str">
        <f>IF('PLAN PRODUCTION2'!AA38="","",'PLAN PRODUCTION2'!AA38)</f>
        <v/>
      </c>
      <c r="G264" s="494" t="str">
        <f>IF('PLAN PRODUCTION2'!AB38="","",'PLAN PRODUCTION2'!AB38)</f>
        <v/>
      </c>
      <c r="H264" t="str">
        <f t="shared" ca="1" si="60"/>
        <v>Plan Date Empty</v>
      </c>
      <c r="I264" t="str">
        <f t="shared" ca="1" si="62"/>
        <v/>
      </c>
      <c r="J264" t="str">
        <f t="shared" si="63"/>
        <v/>
      </c>
      <c r="K264" t="str">
        <f t="shared" si="64"/>
        <v/>
      </c>
      <c r="L264">
        <f t="shared" si="65"/>
        <v>0</v>
      </c>
      <c r="M264">
        <f t="shared" si="66"/>
        <v>0</v>
      </c>
      <c r="N264">
        <f t="shared" si="67"/>
        <v>0</v>
      </c>
      <c r="O264">
        <f t="shared" si="68"/>
        <v>1</v>
      </c>
      <c r="P264">
        <f t="shared" ca="1" si="69"/>
        <v>0</v>
      </c>
      <c r="Q264">
        <f t="shared" ca="1" si="70"/>
        <v>0</v>
      </c>
    </row>
    <row r="265" spans="1:17" x14ac:dyDescent="0.25">
      <c r="A265">
        <f t="shared" si="61"/>
        <v>264</v>
      </c>
      <c r="B265" s="212" t="s">
        <v>70</v>
      </c>
      <c r="C265" s="555">
        <v>7</v>
      </c>
      <c r="D265" t="s">
        <v>1477</v>
      </c>
      <c r="E265" t="s">
        <v>1422</v>
      </c>
      <c r="F265" s="494" t="str">
        <f>IF('PLAN PRODUCTION2'!AC38="","",'PLAN PRODUCTION2'!AC38)</f>
        <v/>
      </c>
      <c r="G265" s="494" t="str">
        <f>IF('PLAN PRODUCTION2'!AD38="","",'PLAN PRODUCTION2'!AD38)</f>
        <v/>
      </c>
      <c r="H265" t="str">
        <f t="shared" ca="1" si="60"/>
        <v>Plan Date Empty</v>
      </c>
      <c r="I265" t="str">
        <f t="shared" ca="1" si="62"/>
        <v/>
      </c>
      <c r="J265" t="str">
        <f t="shared" si="63"/>
        <v/>
      </c>
      <c r="K265" t="str">
        <f t="shared" si="64"/>
        <v/>
      </c>
      <c r="L265">
        <f t="shared" si="65"/>
        <v>0</v>
      </c>
      <c r="M265">
        <f t="shared" si="66"/>
        <v>0</v>
      </c>
      <c r="N265">
        <f t="shared" si="67"/>
        <v>0</v>
      </c>
      <c r="O265">
        <f t="shared" si="68"/>
        <v>1</v>
      </c>
      <c r="P265">
        <f t="shared" ca="1" si="69"/>
        <v>0</v>
      </c>
      <c r="Q265">
        <f t="shared" ca="1" si="70"/>
        <v>0</v>
      </c>
    </row>
    <row r="266" spans="1:17" x14ac:dyDescent="0.25">
      <c r="A266">
        <f t="shared" si="61"/>
        <v>265</v>
      </c>
      <c r="B266" s="212" t="s">
        <v>70</v>
      </c>
      <c r="C266" s="555">
        <v>7</v>
      </c>
      <c r="D266" t="s">
        <v>1478</v>
      </c>
      <c r="E266" t="s">
        <v>1429</v>
      </c>
      <c r="F266" s="494" t="str">
        <f>IF('PLAN PRODUCTION2'!AE38="","",'PLAN PRODUCTION2'!AE38)</f>
        <v/>
      </c>
      <c r="G266" s="494" t="str">
        <f>IF('PLAN PRODUCTION2'!AF38="","",'PLAN PRODUCTION2'!AF38)</f>
        <v/>
      </c>
      <c r="H266" t="str">
        <f t="shared" ca="1" si="60"/>
        <v>Plan Date Empty</v>
      </c>
      <c r="I266" t="str">
        <f t="shared" ca="1" si="62"/>
        <v/>
      </c>
      <c r="J266" t="str">
        <f t="shared" si="63"/>
        <v/>
      </c>
      <c r="K266" t="str">
        <f t="shared" si="64"/>
        <v/>
      </c>
      <c r="L266">
        <f t="shared" si="65"/>
        <v>0</v>
      </c>
      <c r="M266">
        <f t="shared" si="66"/>
        <v>0</v>
      </c>
      <c r="N266">
        <f t="shared" si="67"/>
        <v>0</v>
      </c>
      <c r="O266">
        <f t="shared" si="68"/>
        <v>1</v>
      </c>
      <c r="P266">
        <f t="shared" ca="1" si="69"/>
        <v>0</v>
      </c>
      <c r="Q266">
        <f t="shared" ca="1" si="70"/>
        <v>0</v>
      </c>
    </row>
    <row r="267" spans="1:17" x14ac:dyDescent="0.25">
      <c r="A267">
        <f t="shared" si="61"/>
        <v>266</v>
      </c>
      <c r="B267" s="212" t="s">
        <v>70</v>
      </c>
      <c r="C267" s="555">
        <v>7</v>
      </c>
      <c r="D267" t="s">
        <v>1479</v>
      </c>
      <c r="E267" t="s">
        <v>1429</v>
      </c>
      <c r="F267" s="494" t="str">
        <f>IF('PLAN PRODUCTION2'!AG38="","",'PLAN PRODUCTION2'!AG38)</f>
        <v/>
      </c>
      <c r="G267" s="494" t="str">
        <f>IF('PLAN PRODUCTION2'!AH38="","",'PLAN PRODUCTION2'!AH38)</f>
        <v/>
      </c>
      <c r="H267" t="str">
        <f t="shared" ca="1" si="60"/>
        <v>Plan Date Empty</v>
      </c>
      <c r="I267" t="str">
        <f t="shared" ca="1" si="62"/>
        <v/>
      </c>
      <c r="J267" t="str">
        <f t="shared" si="63"/>
        <v/>
      </c>
      <c r="K267" t="str">
        <f t="shared" si="64"/>
        <v/>
      </c>
      <c r="L267">
        <f t="shared" si="65"/>
        <v>0</v>
      </c>
      <c r="M267">
        <f t="shared" si="66"/>
        <v>0</v>
      </c>
      <c r="N267">
        <f t="shared" si="67"/>
        <v>0</v>
      </c>
      <c r="O267">
        <f t="shared" si="68"/>
        <v>1</v>
      </c>
      <c r="P267">
        <f t="shared" ca="1" si="69"/>
        <v>0</v>
      </c>
      <c r="Q267">
        <f t="shared" ca="1" si="70"/>
        <v>0</v>
      </c>
    </row>
    <row r="268" spans="1:17" x14ac:dyDescent="0.25">
      <c r="A268">
        <f t="shared" si="61"/>
        <v>267</v>
      </c>
      <c r="B268" s="212" t="s">
        <v>71</v>
      </c>
      <c r="C268" s="555">
        <v>16</v>
      </c>
      <c r="D268" t="s">
        <v>1466</v>
      </c>
      <c r="E268" t="s">
        <v>1420</v>
      </c>
      <c r="F268" s="494" t="str">
        <f>IF('PLAN PRODUCTION2'!$E$39="","",'PLAN PRODUCTION2'!$E$39)</f>
        <v/>
      </c>
      <c r="G268" s="494" t="str">
        <f>IF('PLAN PRODUCTION2'!$F$39="","",'PLAN PRODUCTION2'!$F$39)</f>
        <v/>
      </c>
      <c r="H268" t="str">
        <f t="shared" ca="1" si="60"/>
        <v>Plan Date Empty</v>
      </c>
      <c r="I268" t="str">
        <f t="shared" ca="1" si="62"/>
        <v/>
      </c>
      <c r="J268" t="str">
        <f t="shared" si="63"/>
        <v/>
      </c>
      <c r="K268" t="str">
        <f t="shared" si="64"/>
        <v/>
      </c>
      <c r="L268">
        <f t="shared" si="65"/>
        <v>0</v>
      </c>
      <c r="M268">
        <f t="shared" si="66"/>
        <v>0</v>
      </c>
      <c r="N268">
        <f t="shared" si="67"/>
        <v>0</v>
      </c>
      <c r="O268">
        <f t="shared" si="68"/>
        <v>1</v>
      </c>
      <c r="P268">
        <f t="shared" ca="1" si="69"/>
        <v>0</v>
      </c>
      <c r="Q268">
        <f t="shared" ca="1" si="70"/>
        <v>0</v>
      </c>
    </row>
    <row r="269" spans="1:17" x14ac:dyDescent="0.25">
      <c r="A269">
        <f t="shared" si="61"/>
        <v>268</v>
      </c>
      <c r="B269" s="212" t="s">
        <v>71</v>
      </c>
      <c r="C269" s="555">
        <v>16</v>
      </c>
      <c r="D269" t="s">
        <v>1467</v>
      </c>
      <c r="E269" t="s">
        <v>1420</v>
      </c>
      <c r="F269" s="494" t="str">
        <f>IF('PLAN PRODUCTION2'!$I$39="","",'PLAN PRODUCTION2'!$I$39)</f>
        <v/>
      </c>
      <c r="G269" s="494" t="str">
        <f>IF('PLAN PRODUCTION2'!$J$39="","",'PLAN PRODUCTION2'!$J$39)</f>
        <v/>
      </c>
      <c r="H269" t="str">
        <f t="shared" ca="1" si="60"/>
        <v>Plan Date Empty</v>
      </c>
      <c r="I269" t="str">
        <f t="shared" ca="1" si="62"/>
        <v/>
      </c>
      <c r="J269" t="str">
        <f t="shared" si="63"/>
        <v/>
      </c>
      <c r="K269" t="str">
        <f t="shared" si="64"/>
        <v/>
      </c>
      <c r="L269">
        <f t="shared" si="65"/>
        <v>0</v>
      </c>
      <c r="M269">
        <f t="shared" si="66"/>
        <v>0</v>
      </c>
      <c r="N269">
        <f t="shared" si="67"/>
        <v>0</v>
      </c>
      <c r="O269">
        <f t="shared" si="68"/>
        <v>1</v>
      </c>
      <c r="P269">
        <f t="shared" ca="1" si="69"/>
        <v>0</v>
      </c>
      <c r="Q269">
        <f t="shared" ca="1" si="70"/>
        <v>0</v>
      </c>
    </row>
    <row r="270" spans="1:17" x14ac:dyDescent="0.25">
      <c r="A270">
        <f t="shared" si="61"/>
        <v>269</v>
      </c>
      <c r="B270" s="212" t="s">
        <v>71</v>
      </c>
      <c r="C270" s="555">
        <v>16</v>
      </c>
      <c r="D270" t="s">
        <v>1468</v>
      </c>
      <c r="E270" t="s">
        <v>1420</v>
      </c>
      <c r="F270" s="494" t="str">
        <f>IF('PLAN PRODUCTION2'!$K$39="","",'PLAN PRODUCTION2'!$K$39)</f>
        <v/>
      </c>
      <c r="G270" s="494" t="str">
        <f>IF('PLAN PRODUCTION2'!$L$39="","",'PLAN PRODUCTION2'!$L$39)</f>
        <v/>
      </c>
      <c r="H270" t="str">
        <f t="shared" ca="1" si="60"/>
        <v>Plan Date Empty</v>
      </c>
      <c r="I270" t="str">
        <f t="shared" ca="1" si="62"/>
        <v/>
      </c>
      <c r="J270" t="str">
        <f t="shared" si="63"/>
        <v/>
      </c>
      <c r="K270" t="str">
        <f t="shared" si="64"/>
        <v/>
      </c>
      <c r="L270">
        <f t="shared" si="65"/>
        <v>0</v>
      </c>
      <c r="M270">
        <f t="shared" si="66"/>
        <v>0</v>
      </c>
      <c r="N270">
        <f t="shared" si="67"/>
        <v>0</v>
      </c>
      <c r="O270">
        <f t="shared" si="68"/>
        <v>1</v>
      </c>
      <c r="P270">
        <f t="shared" ca="1" si="69"/>
        <v>0</v>
      </c>
      <c r="Q270">
        <f t="shared" ca="1" si="70"/>
        <v>0</v>
      </c>
    </row>
    <row r="271" spans="1:17" x14ac:dyDescent="0.25">
      <c r="A271">
        <f t="shared" si="61"/>
        <v>270</v>
      </c>
      <c r="B271" s="212" t="s">
        <v>71</v>
      </c>
      <c r="C271" s="555">
        <v>16</v>
      </c>
      <c r="D271" t="s">
        <v>1469</v>
      </c>
      <c r="E271" t="s">
        <v>1422</v>
      </c>
      <c r="F271" s="494" t="str">
        <f>IF('PLAN PRODUCTION2'!$M$39="","",'PLAN PRODUCTION2'!$M$39)</f>
        <v/>
      </c>
      <c r="G271" s="494" t="str">
        <f>IF('PLAN PRODUCTION2'!$N$39="","",'PLAN PRODUCTION2'!$N$39)</f>
        <v/>
      </c>
      <c r="H271" t="str">
        <f t="shared" ca="1" si="60"/>
        <v>Plan Date Empty</v>
      </c>
      <c r="I271" t="str">
        <f t="shared" ca="1" si="62"/>
        <v/>
      </c>
      <c r="J271" t="str">
        <f t="shared" si="63"/>
        <v/>
      </c>
      <c r="K271" t="str">
        <f t="shared" si="64"/>
        <v/>
      </c>
      <c r="L271">
        <f t="shared" si="65"/>
        <v>0</v>
      </c>
      <c r="M271">
        <f t="shared" si="66"/>
        <v>0</v>
      </c>
      <c r="N271">
        <f t="shared" si="67"/>
        <v>0</v>
      </c>
      <c r="O271">
        <f t="shared" si="68"/>
        <v>1</v>
      </c>
      <c r="P271">
        <f t="shared" ca="1" si="69"/>
        <v>0</v>
      </c>
      <c r="Q271">
        <f t="shared" ca="1" si="70"/>
        <v>0</v>
      </c>
    </row>
    <row r="272" spans="1:17" x14ac:dyDescent="0.25">
      <c r="A272">
        <f t="shared" si="61"/>
        <v>271</v>
      </c>
      <c r="B272" s="212" t="s">
        <v>71</v>
      </c>
      <c r="C272" s="555">
        <v>16</v>
      </c>
      <c r="D272" t="s">
        <v>1470</v>
      </c>
      <c r="E272" t="s">
        <v>1422</v>
      </c>
      <c r="F272" s="494" t="str">
        <f>IF('PLAN PRODUCTION2'!$O$39="","",'PLAN PRODUCTION2'!$O$39)</f>
        <v/>
      </c>
      <c r="G272" s="494" t="str">
        <f>IF('PLAN PRODUCTION2'!$P$39="","",'PLAN PRODUCTION2'!$P$39)</f>
        <v/>
      </c>
      <c r="H272" t="str">
        <f t="shared" ca="1" si="60"/>
        <v>Plan Date Empty</v>
      </c>
      <c r="I272" t="str">
        <f t="shared" ca="1" si="62"/>
        <v/>
      </c>
      <c r="J272" t="str">
        <f t="shared" si="63"/>
        <v/>
      </c>
      <c r="K272" t="str">
        <f t="shared" si="64"/>
        <v/>
      </c>
      <c r="L272">
        <f t="shared" si="65"/>
        <v>0</v>
      </c>
      <c r="M272">
        <f t="shared" si="66"/>
        <v>0</v>
      </c>
      <c r="N272">
        <f t="shared" si="67"/>
        <v>0</v>
      </c>
      <c r="O272">
        <f t="shared" si="68"/>
        <v>1</v>
      </c>
      <c r="P272">
        <f t="shared" ca="1" si="69"/>
        <v>0</v>
      </c>
      <c r="Q272">
        <f t="shared" ca="1" si="70"/>
        <v>0</v>
      </c>
    </row>
    <row r="273" spans="1:17" x14ac:dyDescent="0.25">
      <c r="A273">
        <f t="shared" si="61"/>
        <v>272</v>
      </c>
      <c r="B273" s="212" t="s">
        <v>71</v>
      </c>
      <c r="C273" s="555">
        <v>16</v>
      </c>
      <c r="D273" t="s">
        <v>1471</v>
      </c>
      <c r="E273" t="s">
        <v>1424</v>
      </c>
      <c r="F273" s="494" t="str">
        <f>IF('PLAN PRODUCTION2'!$Q$39="","",'PLAN PRODUCTION2'!$Q$39)</f>
        <v/>
      </c>
      <c r="G273" s="494" t="str">
        <f>IF('PLAN PRODUCTION2'!$R$39="","",'PLAN PRODUCTION2'!$R$39)</f>
        <v/>
      </c>
      <c r="H273" t="str">
        <f t="shared" ca="1" si="60"/>
        <v>Plan Date Empty</v>
      </c>
      <c r="I273" t="str">
        <f t="shared" ca="1" si="62"/>
        <v/>
      </c>
      <c r="J273" t="str">
        <f t="shared" si="63"/>
        <v/>
      </c>
      <c r="K273" t="str">
        <f t="shared" si="64"/>
        <v/>
      </c>
      <c r="L273">
        <f t="shared" si="65"/>
        <v>0</v>
      </c>
      <c r="M273">
        <f t="shared" si="66"/>
        <v>0</v>
      </c>
      <c r="N273">
        <f t="shared" si="67"/>
        <v>0</v>
      </c>
      <c r="O273">
        <f t="shared" si="68"/>
        <v>1</v>
      </c>
      <c r="P273">
        <f t="shared" ca="1" si="69"/>
        <v>0</v>
      </c>
      <c r="Q273">
        <f t="shared" ca="1" si="70"/>
        <v>0</v>
      </c>
    </row>
    <row r="274" spans="1:17" x14ac:dyDescent="0.25">
      <c r="A274">
        <f t="shared" si="61"/>
        <v>273</v>
      </c>
      <c r="B274" s="212" t="s">
        <v>71</v>
      </c>
      <c r="C274" s="555">
        <v>16</v>
      </c>
      <c r="D274" t="s">
        <v>1472</v>
      </c>
      <c r="E274" t="s">
        <v>1426</v>
      </c>
      <c r="F274" s="494" t="str">
        <f>IF('PLAN PRODUCTION2'!$S$39="","",'PLAN PRODUCTION2'!$S$39)</f>
        <v/>
      </c>
      <c r="G274" s="494" t="str">
        <f>IF('PLAN PRODUCTION2'!$T$39="","",'PLAN PRODUCTION2'!$T$39)</f>
        <v/>
      </c>
      <c r="H274" t="str">
        <f t="shared" ca="1" si="60"/>
        <v>Plan Date Empty</v>
      </c>
      <c r="I274" t="str">
        <f t="shared" ca="1" si="62"/>
        <v/>
      </c>
      <c r="J274" t="str">
        <f t="shared" si="63"/>
        <v/>
      </c>
      <c r="K274" t="str">
        <f t="shared" si="64"/>
        <v/>
      </c>
      <c r="L274">
        <f t="shared" si="65"/>
        <v>0</v>
      </c>
      <c r="M274">
        <f t="shared" si="66"/>
        <v>0</v>
      </c>
      <c r="N274">
        <f t="shared" si="67"/>
        <v>0</v>
      </c>
      <c r="O274">
        <f t="shared" si="68"/>
        <v>1</v>
      </c>
      <c r="P274">
        <f t="shared" ca="1" si="69"/>
        <v>0</v>
      </c>
      <c r="Q274">
        <f t="shared" ca="1" si="70"/>
        <v>0</v>
      </c>
    </row>
    <row r="275" spans="1:17" x14ac:dyDescent="0.25">
      <c r="A275">
        <f t="shared" si="61"/>
        <v>274</v>
      </c>
      <c r="B275" s="212" t="s">
        <v>71</v>
      </c>
      <c r="C275" s="555">
        <v>16</v>
      </c>
      <c r="D275" t="s">
        <v>1473</v>
      </c>
      <c r="E275" t="s">
        <v>1426</v>
      </c>
      <c r="F275" s="494" t="str">
        <f>IF('PLAN PRODUCTION2'!$U$39="","",'PLAN PRODUCTION2'!$U$39)</f>
        <v/>
      </c>
      <c r="G275" s="494" t="str">
        <f>IF('PLAN PRODUCTION2'!$V$39="","",'PLAN PRODUCTION2'!$V$39)</f>
        <v/>
      </c>
      <c r="H275" t="str">
        <f t="shared" ca="1" si="60"/>
        <v>Plan Date Empty</v>
      </c>
      <c r="I275" t="str">
        <f t="shared" ca="1" si="62"/>
        <v/>
      </c>
      <c r="J275" t="str">
        <f t="shared" si="63"/>
        <v/>
      </c>
      <c r="K275" t="str">
        <f t="shared" si="64"/>
        <v/>
      </c>
      <c r="L275">
        <f t="shared" si="65"/>
        <v>0</v>
      </c>
      <c r="M275">
        <f t="shared" si="66"/>
        <v>0</v>
      </c>
      <c r="N275">
        <f t="shared" si="67"/>
        <v>0</v>
      </c>
      <c r="O275">
        <f t="shared" si="68"/>
        <v>1</v>
      </c>
      <c r="P275">
        <f t="shared" ca="1" si="69"/>
        <v>0</v>
      </c>
      <c r="Q275">
        <f t="shared" ca="1" si="70"/>
        <v>0</v>
      </c>
    </row>
    <row r="276" spans="1:17" x14ac:dyDescent="0.25">
      <c r="A276">
        <f t="shared" si="61"/>
        <v>275</v>
      </c>
      <c r="B276" s="212" t="s">
        <v>71</v>
      </c>
      <c r="C276" s="555">
        <v>16</v>
      </c>
      <c r="D276" t="s">
        <v>1474</v>
      </c>
      <c r="E276" t="s">
        <v>1426</v>
      </c>
      <c r="F276" s="494" t="str">
        <f>IF('PLAN PRODUCTION2'!$W$39="","",'PLAN PRODUCTION2'!$W$39)</f>
        <v/>
      </c>
      <c r="G276" s="494" t="str">
        <f>IF('PLAN PRODUCTION2'!$X$39="","",'PLAN PRODUCTION2'!$X$39)</f>
        <v/>
      </c>
      <c r="H276" t="str">
        <f t="shared" ca="1" si="60"/>
        <v>Plan Date Empty</v>
      </c>
      <c r="I276" t="str">
        <f t="shared" ca="1" si="62"/>
        <v/>
      </c>
      <c r="J276" t="str">
        <f t="shared" si="63"/>
        <v/>
      </c>
      <c r="K276" t="str">
        <f t="shared" si="64"/>
        <v/>
      </c>
      <c r="L276">
        <f t="shared" si="65"/>
        <v>0</v>
      </c>
      <c r="M276">
        <f t="shared" si="66"/>
        <v>0</v>
      </c>
      <c r="N276">
        <f t="shared" si="67"/>
        <v>0</v>
      </c>
      <c r="O276">
        <f t="shared" si="68"/>
        <v>1</v>
      </c>
      <c r="P276">
        <f t="shared" ca="1" si="69"/>
        <v>0</v>
      </c>
      <c r="Q276">
        <f t="shared" ca="1" si="70"/>
        <v>0</v>
      </c>
    </row>
    <row r="277" spans="1:17" x14ac:dyDescent="0.25">
      <c r="A277">
        <f t="shared" si="61"/>
        <v>276</v>
      </c>
      <c r="B277" s="212" t="s">
        <v>71</v>
      </c>
      <c r="C277" s="555">
        <v>16</v>
      </c>
      <c r="D277" t="s">
        <v>1475</v>
      </c>
      <c r="E277" t="s">
        <v>1426</v>
      </c>
      <c r="F277" s="494" t="str">
        <f>IF('PLAN PRODUCTION2'!$Y$39="","",'PLAN PRODUCTION2'!$Y$39)</f>
        <v/>
      </c>
      <c r="G277" s="494" t="str">
        <f>IF('PLAN PRODUCTION2'!$Z$39="","",'PLAN PRODUCTION2'!$Z$39)</f>
        <v/>
      </c>
      <c r="H277" t="str">
        <f t="shared" ca="1" si="60"/>
        <v>Plan Date Empty</v>
      </c>
      <c r="I277" t="str">
        <f t="shared" ca="1" si="62"/>
        <v/>
      </c>
      <c r="J277" t="str">
        <f t="shared" si="63"/>
        <v/>
      </c>
      <c r="K277" t="str">
        <f t="shared" si="64"/>
        <v/>
      </c>
      <c r="L277">
        <f t="shared" si="65"/>
        <v>0</v>
      </c>
      <c r="M277">
        <f t="shared" si="66"/>
        <v>0</v>
      </c>
      <c r="N277">
        <f t="shared" si="67"/>
        <v>0</v>
      </c>
      <c r="O277">
        <f t="shared" si="68"/>
        <v>1</v>
      </c>
      <c r="P277">
        <f t="shared" ca="1" si="69"/>
        <v>0</v>
      </c>
      <c r="Q277">
        <f t="shared" ca="1" si="70"/>
        <v>0</v>
      </c>
    </row>
    <row r="278" spans="1:17" x14ac:dyDescent="0.25">
      <c r="A278">
        <f t="shared" si="61"/>
        <v>277</v>
      </c>
      <c r="B278" s="212" t="s">
        <v>71</v>
      </c>
      <c r="C278" s="555">
        <v>16</v>
      </c>
      <c r="D278" t="s">
        <v>1476</v>
      </c>
      <c r="E278" t="s">
        <v>1426</v>
      </c>
      <c r="F278" s="494" t="str">
        <f>IF('PLAN PRODUCTION2'!$AA$39="","",'PLAN PRODUCTION2'!$AA$39)</f>
        <v/>
      </c>
      <c r="G278" s="494" t="str">
        <f>IF('PLAN PRODUCTION2'!$AB$39="","",'PLAN PRODUCTION2'!$AB$39)</f>
        <v/>
      </c>
      <c r="H278" t="str">
        <f t="shared" ca="1" si="60"/>
        <v>Plan Date Empty</v>
      </c>
      <c r="I278" t="str">
        <f t="shared" ca="1" si="62"/>
        <v/>
      </c>
      <c r="J278" t="str">
        <f t="shared" si="63"/>
        <v/>
      </c>
      <c r="K278" t="str">
        <f t="shared" si="64"/>
        <v/>
      </c>
      <c r="L278">
        <f t="shared" si="65"/>
        <v>0</v>
      </c>
      <c r="M278">
        <f t="shared" si="66"/>
        <v>0</v>
      </c>
      <c r="N278">
        <f t="shared" si="67"/>
        <v>0</v>
      </c>
      <c r="O278">
        <f t="shared" si="68"/>
        <v>1</v>
      </c>
      <c r="P278">
        <f t="shared" ca="1" si="69"/>
        <v>0</v>
      </c>
      <c r="Q278">
        <f t="shared" ca="1" si="70"/>
        <v>0</v>
      </c>
    </row>
    <row r="279" spans="1:17" x14ac:dyDescent="0.25">
      <c r="A279">
        <f t="shared" si="61"/>
        <v>278</v>
      </c>
      <c r="B279" s="212" t="s">
        <v>71</v>
      </c>
      <c r="C279" s="555">
        <v>16</v>
      </c>
      <c r="D279" t="s">
        <v>1477</v>
      </c>
      <c r="E279" t="s">
        <v>1422</v>
      </c>
      <c r="F279" s="494" t="str">
        <f>IF('PLAN PRODUCTION2'!$AC$39="","",'PLAN PRODUCTION2'!$AC$39)</f>
        <v/>
      </c>
      <c r="G279" s="494" t="str">
        <f>IF('PLAN PRODUCTION2'!$AD$39="","",'PLAN PRODUCTION2'!$AD$39)</f>
        <v/>
      </c>
      <c r="H279" t="str">
        <f t="shared" ca="1" si="60"/>
        <v>Plan Date Empty</v>
      </c>
      <c r="I279" t="str">
        <f t="shared" ca="1" si="62"/>
        <v/>
      </c>
      <c r="J279" t="str">
        <f t="shared" si="63"/>
        <v/>
      </c>
      <c r="K279" t="str">
        <f t="shared" si="64"/>
        <v/>
      </c>
      <c r="L279">
        <f t="shared" si="65"/>
        <v>0</v>
      </c>
      <c r="M279">
        <f t="shared" si="66"/>
        <v>0</v>
      </c>
      <c r="N279">
        <f t="shared" si="67"/>
        <v>0</v>
      </c>
      <c r="O279">
        <f t="shared" si="68"/>
        <v>1</v>
      </c>
      <c r="P279">
        <f t="shared" ca="1" si="69"/>
        <v>0</v>
      </c>
      <c r="Q279">
        <f t="shared" ca="1" si="70"/>
        <v>0</v>
      </c>
    </row>
    <row r="280" spans="1:17" x14ac:dyDescent="0.25">
      <c r="A280">
        <f t="shared" si="61"/>
        <v>279</v>
      </c>
      <c r="B280" s="212" t="s">
        <v>71</v>
      </c>
      <c r="C280" s="555">
        <v>16</v>
      </c>
      <c r="D280" t="s">
        <v>1478</v>
      </c>
      <c r="E280" t="s">
        <v>1429</v>
      </c>
      <c r="F280" s="494" t="str">
        <f>IF('PLAN PRODUCTION2'!$AE$39="","",'PLAN PRODUCTION2'!$AE$39)</f>
        <v/>
      </c>
      <c r="G280" s="494" t="str">
        <f>IF('PLAN PRODUCTION2'!$AF$39="","",'PLAN PRODUCTION2'!$AF$39)</f>
        <v/>
      </c>
      <c r="H280" t="str">
        <f t="shared" ca="1" si="60"/>
        <v>Plan Date Empty</v>
      </c>
      <c r="I280" t="str">
        <f t="shared" ca="1" si="62"/>
        <v/>
      </c>
      <c r="J280" t="str">
        <f t="shared" si="63"/>
        <v/>
      </c>
      <c r="K280" t="str">
        <f t="shared" si="64"/>
        <v/>
      </c>
      <c r="L280">
        <f t="shared" si="65"/>
        <v>0</v>
      </c>
      <c r="M280">
        <f t="shared" si="66"/>
        <v>0</v>
      </c>
      <c r="N280">
        <f t="shared" si="67"/>
        <v>0</v>
      </c>
      <c r="O280">
        <f t="shared" si="68"/>
        <v>1</v>
      </c>
      <c r="P280">
        <f t="shared" ca="1" si="69"/>
        <v>0</v>
      </c>
      <c r="Q280">
        <f t="shared" ca="1" si="70"/>
        <v>0</v>
      </c>
    </row>
    <row r="281" spans="1:17" x14ac:dyDescent="0.25">
      <c r="A281">
        <f t="shared" si="61"/>
        <v>280</v>
      </c>
      <c r="B281" s="212" t="s">
        <v>71</v>
      </c>
      <c r="C281" s="555">
        <v>16</v>
      </c>
      <c r="D281" t="s">
        <v>1479</v>
      </c>
      <c r="E281" t="s">
        <v>1429</v>
      </c>
      <c r="F281" s="494" t="str">
        <f>IF('PLAN PRODUCTION2'!$AG$39="","",'PLAN PRODUCTION2'!$AG$39)</f>
        <v/>
      </c>
      <c r="G281" s="494" t="str">
        <f>IF('PLAN PRODUCTION2'!$AH$39="","",'PLAN PRODUCTION2'!$AH$39)</f>
        <v/>
      </c>
      <c r="H281" t="str">
        <f t="shared" ca="1" si="60"/>
        <v>Plan Date Empty</v>
      </c>
      <c r="I281" t="str">
        <f t="shared" ca="1" si="62"/>
        <v/>
      </c>
      <c r="J281" t="str">
        <f t="shared" si="63"/>
        <v/>
      </c>
      <c r="K281" t="str">
        <f t="shared" si="64"/>
        <v/>
      </c>
      <c r="L281">
        <f t="shared" si="65"/>
        <v>0</v>
      </c>
      <c r="M281">
        <f t="shared" si="66"/>
        <v>0</v>
      </c>
      <c r="N281">
        <f t="shared" si="67"/>
        <v>0</v>
      </c>
      <c r="O281">
        <f t="shared" si="68"/>
        <v>1</v>
      </c>
      <c r="P281">
        <f t="shared" ca="1" si="69"/>
        <v>0</v>
      </c>
      <c r="Q281">
        <f t="shared" ca="1" si="70"/>
        <v>0</v>
      </c>
    </row>
    <row r="282" spans="1:17" x14ac:dyDescent="0.25">
      <c r="A282">
        <f t="shared" si="61"/>
        <v>281</v>
      </c>
      <c r="B282" s="212" t="s">
        <v>1449</v>
      </c>
      <c r="C282" s="555">
        <v>333</v>
      </c>
      <c r="D282" t="s">
        <v>1466</v>
      </c>
      <c r="E282" t="s">
        <v>1420</v>
      </c>
      <c r="F282" s="494" t="str">
        <f>IF('PLAN PRODUCTION2'!$E$40="","",'PLAN PRODUCTION2'!$E$40)</f>
        <v/>
      </c>
      <c r="G282" s="494" t="str">
        <f>IF('PLAN PRODUCTION2'!$F$40="","",'PLAN PRODUCTION2'!$F$40)</f>
        <v/>
      </c>
      <c r="H282" t="str">
        <f t="shared" ca="1" si="60"/>
        <v>Plan Date Empty</v>
      </c>
      <c r="I282" t="str">
        <f t="shared" ca="1" si="62"/>
        <v/>
      </c>
      <c r="J282" t="str">
        <f t="shared" si="63"/>
        <v/>
      </c>
      <c r="K282" t="str">
        <f t="shared" si="64"/>
        <v/>
      </c>
      <c r="L282">
        <f t="shared" si="65"/>
        <v>0</v>
      </c>
      <c r="M282">
        <f t="shared" si="66"/>
        <v>0</v>
      </c>
      <c r="N282">
        <f t="shared" si="67"/>
        <v>0</v>
      </c>
      <c r="O282">
        <f t="shared" si="68"/>
        <v>1</v>
      </c>
      <c r="P282">
        <f t="shared" ca="1" si="69"/>
        <v>0</v>
      </c>
      <c r="Q282">
        <f t="shared" ca="1" si="70"/>
        <v>0</v>
      </c>
    </row>
    <row r="283" spans="1:17" x14ac:dyDescent="0.25">
      <c r="A283">
        <f t="shared" si="61"/>
        <v>282</v>
      </c>
      <c r="B283" s="212" t="s">
        <v>1449</v>
      </c>
      <c r="C283" s="555">
        <v>333</v>
      </c>
      <c r="D283" t="s">
        <v>1467</v>
      </c>
      <c r="E283" t="s">
        <v>1420</v>
      </c>
      <c r="F283" s="494" t="str">
        <f>IF('PLAN PRODUCTION2'!$I$40="","",'PLAN PRODUCTION2'!$I$40)</f>
        <v/>
      </c>
      <c r="G283" s="494" t="str">
        <f>IF('PLAN PRODUCTION2'!$J$40="","",'PLAN PRODUCTION2'!$J$40)</f>
        <v/>
      </c>
      <c r="H283" t="str">
        <f t="shared" ca="1" si="60"/>
        <v>Plan Date Empty</v>
      </c>
      <c r="I283" t="str">
        <f t="shared" ca="1" si="62"/>
        <v/>
      </c>
      <c r="J283" t="str">
        <f t="shared" si="63"/>
        <v/>
      </c>
      <c r="K283" t="str">
        <f t="shared" si="64"/>
        <v/>
      </c>
      <c r="L283">
        <f t="shared" si="65"/>
        <v>0</v>
      </c>
      <c r="M283">
        <f t="shared" si="66"/>
        <v>0</v>
      </c>
      <c r="N283">
        <f t="shared" si="67"/>
        <v>0</v>
      </c>
      <c r="O283">
        <f t="shared" si="68"/>
        <v>1</v>
      </c>
      <c r="P283">
        <f t="shared" ca="1" si="69"/>
        <v>0</v>
      </c>
      <c r="Q283">
        <f t="shared" ca="1" si="70"/>
        <v>0</v>
      </c>
    </row>
    <row r="284" spans="1:17" x14ac:dyDescent="0.25">
      <c r="A284">
        <f t="shared" si="61"/>
        <v>283</v>
      </c>
      <c r="B284" s="212" t="s">
        <v>1449</v>
      </c>
      <c r="C284" s="555">
        <v>333</v>
      </c>
      <c r="D284" t="s">
        <v>1468</v>
      </c>
      <c r="E284" t="s">
        <v>1420</v>
      </c>
      <c r="F284" s="494" t="str">
        <f>IF('PLAN PRODUCTION2'!$K$40="","",'PLAN PRODUCTION2'!$K$40)</f>
        <v/>
      </c>
      <c r="G284" s="494" t="str">
        <f>IF('PLAN PRODUCTION2'!$L$40="","",'PLAN PRODUCTION2'!$L$40)</f>
        <v/>
      </c>
      <c r="H284" t="str">
        <f t="shared" ca="1" si="60"/>
        <v>Plan Date Empty</v>
      </c>
      <c r="I284" t="str">
        <f t="shared" ca="1" si="62"/>
        <v/>
      </c>
      <c r="J284" t="str">
        <f t="shared" si="63"/>
        <v/>
      </c>
      <c r="K284" t="str">
        <f t="shared" si="64"/>
        <v/>
      </c>
      <c r="L284">
        <f t="shared" si="65"/>
        <v>0</v>
      </c>
      <c r="M284">
        <f t="shared" si="66"/>
        <v>0</v>
      </c>
      <c r="N284">
        <f t="shared" si="67"/>
        <v>0</v>
      </c>
      <c r="O284">
        <f t="shared" si="68"/>
        <v>1</v>
      </c>
      <c r="P284">
        <f t="shared" ca="1" si="69"/>
        <v>0</v>
      </c>
      <c r="Q284">
        <f t="shared" ca="1" si="70"/>
        <v>0</v>
      </c>
    </row>
    <row r="285" spans="1:17" x14ac:dyDescent="0.25">
      <c r="A285">
        <f t="shared" si="61"/>
        <v>284</v>
      </c>
      <c r="B285" s="212" t="s">
        <v>1449</v>
      </c>
      <c r="C285" s="555">
        <v>333</v>
      </c>
      <c r="D285" t="s">
        <v>1469</v>
      </c>
      <c r="E285" t="s">
        <v>1422</v>
      </c>
      <c r="F285" s="494" t="str">
        <f>IF('PLAN PRODUCTION2'!$M$40="","",'PLAN PRODUCTION2'!$M$40)</f>
        <v/>
      </c>
      <c r="G285" s="494" t="str">
        <f>IF('PLAN PRODUCTION2'!$N$40="","",'PLAN PRODUCTION2'!$N$40)</f>
        <v/>
      </c>
      <c r="H285" t="str">
        <f t="shared" ca="1" si="60"/>
        <v>Plan Date Empty</v>
      </c>
      <c r="I285" t="str">
        <f t="shared" ca="1" si="62"/>
        <v/>
      </c>
      <c r="J285" t="str">
        <f t="shared" si="63"/>
        <v/>
      </c>
      <c r="K285" t="str">
        <f t="shared" si="64"/>
        <v/>
      </c>
      <c r="L285">
        <f t="shared" si="65"/>
        <v>0</v>
      </c>
      <c r="M285">
        <f t="shared" si="66"/>
        <v>0</v>
      </c>
      <c r="N285">
        <f t="shared" si="67"/>
        <v>0</v>
      </c>
      <c r="O285">
        <f t="shared" si="68"/>
        <v>1</v>
      </c>
      <c r="P285">
        <f t="shared" ca="1" si="69"/>
        <v>0</v>
      </c>
      <c r="Q285">
        <f t="shared" ca="1" si="70"/>
        <v>0</v>
      </c>
    </row>
    <row r="286" spans="1:17" x14ac:dyDescent="0.25">
      <c r="A286">
        <f t="shared" si="61"/>
        <v>285</v>
      </c>
      <c r="B286" s="212" t="s">
        <v>1449</v>
      </c>
      <c r="C286" s="555">
        <v>333</v>
      </c>
      <c r="D286" t="s">
        <v>1470</v>
      </c>
      <c r="E286" t="s">
        <v>1422</v>
      </c>
      <c r="F286" s="494" t="str">
        <f>IF('PLAN PRODUCTION2'!$O$40="","",'PLAN PRODUCTION2'!$O$40)</f>
        <v/>
      </c>
      <c r="G286" s="494" t="str">
        <f>IF('PLAN PRODUCTION2'!$P$40="","",'PLAN PRODUCTION2'!$P$40)</f>
        <v/>
      </c>
      <c r="H286" t="str">
        <f t="shared" ca="1" si="60"/>
        <v>Plan Date Empty</v>
      </c>
      <c r="I286" t="str">
        <f t="shared" ca="1" si="62"/>
        <v/>
      </c>
      <c r="J286" t="str">
        <f t="shared" si="63"/>
        <v/>
      </c>
      <c r="K286" t="str">
        <f t="shared" si="64"/>
        <v/>
      </c>
      <c r="L286">
        <f t="shared" si="65"/>
        <v>0</v>
      </c>
      <c r="M286">
        <f t="shared" si="66"/>
        <v>0</v>
      </c>
      <c r="N286">
        <f t="shared" si="67"/>
        <v>0</v>
      </c>
      <c r="O286">
        <f t="shared" si="68"/>
        <v>1</v>
      </c>
      <c r="P286">
        <f t="shared" ca="1" si="69"/>
        <v>0</v>
      </c>
      <c r="Q286">
        <f t="shared" ca="1" si="70"/>
        <v>0</v>
      </c>
    </row>
    <row r="287" spans="1:17" x14ac:dyDescent="0.25">
      <c r="A287">
        <f t="shared" si="61"/>
        <v>286</v>
      </c>
      <c r="B287" s="212" t="s">
        <v>1449</v>
      </c>
      <c r="C287" s="555">
        <v>333</v>
      </c>
      <c r="D287" t="s">
        <v>1471</v>
      </c>
      <c r="E287" t="s">
        <v>1424</v>
      </c>
      <c r="F287" s="494" t="str">
        <f>IF('PLAN PRODUCTION2'!$Q$40="","",'PLAN PRODUCTION2'!$Q$40)</f>
        <v/>
      </c>
      <c r="G287" s="494" t="str">
        <f>IF('PLAN PRODUCTION2'!$R$40="","",'PLAN PRODUCTION2'!$R$40)</f>
        <v/>
      </c>
      <c r="H287" t="str">
        <f t="shared" ca="1" si="60"/>
        <v>Plan Date Empty</v>
      </c>
      <c r="I287" t="str">
        <f t="shared" ca="1" si="62"/>
        <v/>
      </c>
      <c r="J287" t="str">
        <f t="shared" si="63"/>
        <v/>
      </c>
      <c r="K287" t="str">
        <f t="shared" si="64"/>
        <v/>
      </c>
      <c r="L287">
        <f t="shared" si="65"/>
        <v>0</v>
      </c>
      <c r="M287">
        <f t="shared" si="66"/>
        <v>0</v>
      </c>
      <c r="N287">
        <f t="shared" si="67"/>
        <v>0</v>
      </c>
      <c r="O287">
        <f t="shared" si="68"/>
        <v>1</v>
      </c>
      <c r="P287">
        <f t="shared" ca="1" si="69"/>
        <v>0</v>
      </c>
      <c r="Q287">
        <f t="shared" ca="1" si="70"/>
        <v>0</v>
      </c>
    </row>
    <row r="288" spans="1:17" x14ac:dyDescent="0.25">
      <c r="A288">
        <f t="shared" si="61"/>
        <v>287</v>
      </c>
      <c r="B288" s="212" t="s">
        <v>1449</v>
      </c>
      <c r="C288" s="555">
        <v>333</v>
      </c>
      <c r="D288" t="s">
        <v>1472</v>
      </c>
      <c r="E288" t="s">
        <v>1426</v>
      </c>
      <c r="F288" s="494" t="str">
        <f>IF('PLAN PRODUCTION2'!$S$40="","",'PLAN PRODUCTION2'!$S$40)</f>
        <v/>
      </c>
      <c r="G288" s="494" t="str">
        <f>IF('PLAN PRODUCTION2'!$T$40="","",'PLAN PRODUCTION2'!$T$40)</f>
        <v/>
      </c>
      <c r="H288" t="str">
        <f t="shared" ca="1" si="60"/>
        <v>Plan Date Empty</v>
      </c>
      <c r="I288" t="str">
        <f t="shared" ca="1" si="62"/>
        <v/>
      </c>
      <c r="J288" t="str">
        <f t="shared" si="63"/>
        <v/>
      </c>
      <c r="K288" t="str">
        <f t="shared" si="64"/>
        <v/>
      </c>
      <c r="L288">
        <f t="shared" si="65"/>
        <v>0</v>
      </c>
      <c r="M288">
        <f t="shared" si="66"/>
        <v>0</v>
      </c>
      <c r="N288">
        <f t="shared" si="67"/>
        <v>0</v>
      </c>
      <c r="O288">
        <f t="shared" si="68"/>
        <v>1</v>
      </c>
      <c r="P288">
        <f t="shared" ca="1" si="69"/>
        <v>0</v>
      </c>
      <c r="Q288">
        <f t="shared" ca="1" si="70"/>
        <v>0</v>
      </c>
    </row>
    <row r="289" spans="1:17" x14ac:dyDescent="0.25">
      <c r="A289">
        <f t="shared" si="61"/>
        <v>288</v>
      </c>
      <c r="B289" s="212" t="s">
        <v>1449</v>
      </c>
      <c r="C289" s="555">
        <v>333</v>
      </c>
      <c r="D289" t="s">
        <v>1473</v>
      </c>
      <c r="E289" t="s">
        <v>1426</v>
      </c>
      <c r="F289" s="494" t="str">
        <f>IF('PLAN PRODUCTION2'!$U$40="","",'PLAN PRODUCTION2'!$U$40)</f>
        <v/>
      </c>
      <c r="G289" s="494" t="str">
        <f>IF('PLAN PRODUCTION2'!$V$40="","",'PLAN PRODUCTION2'!$V$40)</f>
        <v/>
      </c>
      <c r="H289" t="str">
        <f t="shared" ca="1" si="60"/>
        <v>Plan Date Empty</v>
      </c>
      <c r="I289" t="str">
        <f t="shared" ca="1" si="62"/>
        <v/>
      </c>
      <c r="J289" t="str">
        <f t="shared" si="63"/>
        <v/>
      </c>
      <c r="K289" t="str">
        <f t="shared" si="64"/>
        <v/>
      </c>
      <c r="L289">
        <f t="shared" si="65"/>
        <v>0</v>
      </c>
      <c r="M289">
        <f t="shared" si="66"/>
        <v>0</v>
      </c>
      <c r="N289">
        <f t="shared" si="67"/>
        <v>0</v>
      </c>
      <c r="O289">
        <f t="shared" si="68"/>
        <v>1</v>
      </c>
      <c r="P289">
        <f t="shared" ca="1" si="69"/>
        <v>0</v>
      </c>
      <c r="Q289">
        <f t="shared" ca="1" si="70"/>
        <v>0</v>
      </c>
    </row>
    <row r="290" spans="1:17" x14ac:dyDescent="0.25">
      <c r="A290">
        <f t="shared" si="61"/>
        <v>289</v>
      </c>
      <c r="B290" s="212" t="s">
        <v>1449</v>
      </c>
      <c r="C290" s="555">
        <v>333</v>
      </c>
      <c r="D290" t="s">
        <v>1474</v>
      </c>
      <c r="E290" t="s">
        <v>1426</v>
      </c>
      <c r="F290" s="494" t="str">
        <f>IF('PLAN PRODUCTION2'!$W$40="","",'PLAN PRODUCTION2'!$W$40)</f>
        <v/>
      </c>
      <c r="G290" s="494" t="str">
        <f>IF('PLAN PRODUCTION2'!$X$40="","",'PLAN PRODUCTION2'!$X$40)</f>
        <v/>
      </c>
      <c r="H290" t="str">
        <f t="shared" ca="1" si="60"/>
        <v>Plan Date Empty</v>
      </c>
      <c r="I290" t="str">
        <f t="shared" ca="1" si="62"/>
        <v/>
      </c>
      <c r="J290" t="str">
        <f t="shared" si="63"/>
        <v/>
      </c>
      <c r="K290" t="str">
        <f t="shared" si="64"/>
        <v/>
      </c>
      <c r="L290">
        <f t="shared" si="65"/>
        <v>0</v>
      </c>
      <c r="M290">
        <f t="shared" si="66"/>
        <v>0</v>
      </c>
      <c r="N290">
        <f t="shared" si="67"/>
        <v>0</v>
      </c>
      <c r="O290">
        <f t="shared" si="68"/>
        <v>1</v>
      </c>
      <c r="P290">
        <f t="shared" ca="1" si="69"/>
        <v>0</v>
      </c>
      <c r="Q290">
        <f t="shared" ca="1" si="70"/>
        <v>0</v>
      </c>
    </row>
    <row r="291" spans="1:17" x14ac:dyDescent="0.25">
      <c r="A291">
        <f t="shared" si="61"/>
        <v>290</v>
      </c>
      <c r="B291" s="212" t="s">
        <v>1449</v>
      </c>
      <c r="C291" s="555">
        <v>333</v>
      </c>
      <c r="D291" t="s">
        <v>1475</v>
      </c>
      <c r="E291" t="s">
        <v>1426</v>
      </c>
      <c r="F291" s="494" t="str">
        <f>IF('PLAN PRODUCTION2'!$Y$40="","",'PLAN PRODUCTION2'!$Y$40)</f>
        <v/>
      </c>
      <c r="G291" s="494" t="str">
        <f>IF('PLAN PRODUCTION2'!$Z$40="","",'PLAN PRODUCTION2'!$Z$40)</f>
        <v/>
      </c>
      <c r="H291" t="str">
        <f t="shared" ca="1" si="60"/>
        <v>Plan Date Empty</v>
      </c>
      <c r="I291" t="str">
        <f t="shared" ca="1" si="62"/>
        <v/>
      </c>
      <c r="J291" t="str">
        <f t="shared" si="63"/>
        <v/>
      </c>
      <c r="K291" t="str">
        <f t="shared" si="64"/>
        <v/>
      </c>
      <c r="L291">
        <f t="shared" si="65"/>
        <v>0</v>
      </c>
      <c r="M291">
        <f t="shared" si="66"/>
        <v>0</v>
      </c>
      <c r="N291">
        <f t="shared" si="67"/>
        <v>0</v>
      </c>
      <c r="O291">
        <f t="shared" si="68"/>
        <v>1</v>
      </c>
      <c r="P291">
        <f t="shared" ca="1" si="69"/>
        <v>0</v>
      </c>
      <c r="Q291">
        <f t="shared" ca="1" si="70"/>
        <v>0</v>
      </c>
    </row>
    <row r="292" spans="1:17" x14ac:dyDescent="0.25">
      <c r="A292">
        <f t="shared" si="61"/>
        <v>291</v>
      </c>
      <c r="B292" s="212" t="s">
        <v>1449</v>
      </c>
      <c r="C292" s="555">
        <v>333</v>
      </c>
      <c r="D292" t="s">
        <v>1476</v>
      </c>
      <c r="E292" t="s">
        <v>1426</v>
      </c>
      <c r="F292" s="494" t="str">
        <f>IF('PLAN PRODUCTION2'!$AA$40="","",'PLAN PRODUCTION2'!$AA$40)</f>
        <v/>
      </c>
      <c r="G292" s="494" t="str">
        <f>IF('PLAN PRODUCTION2'!$AB$40="","",'PLAN PRODUCTION2'!$AB$40)</f>
        <v/>
      </c>
      <c r="H292" t="str">
        <f t="shared" ca="1" si="60"/>
        <v>Plan Date Empty</v>
      </c>
      <c r="I292" t="str">
        <f t="shared" ca="1" si="62"/>
        <v/>
      </c>
      <c r="J292" t="str">
        <f t="shared" si="63"/>
        <v/>
      </c>
      <c r="K292" t="str">
        <f t="shared" si="64"/>
        <v/>
      </c>
      <c r="L292">
        <f t="shared" si="65"/>
        <v>0</v>
      </c>
      <c r="M292">
        <f t="shared" si="66"/>
        <v>0</v>
      </c>
      <c r="N292">
        <f t="shared" si="67"/>
        <v>0</v>
      </c>
      <c r="O292">
        <f t="shared" si="68"/>
        <v>1</v>
      </c>
      <c r="P292">
        <f t="shared" ca="1" si="69"/>
        <v>0</v>
      </c>
      <c r="Q292">
        <f t="shared" ca="1" si="70"/>
        <v>0</v>
      </c>
    </row>
    <row r="293" spans="1:17" x14ac:dyDescent="0.25">
      <c r="A293">
        <f t="shared" si="61"/>
        <v>292</v>
      </c>
      <c r="B293" s="212" t="s">
        <v>1449</v>
      </c>
      <c r="C293" s="555">
        <v>333</v>
      </c>
      <c r="D293" t="s">
        <v>1477</v>
      </c>
      <c r="E293" t="s">
        <v>1422</v>
      </c>
      <c r="F293" s="494" t="str">
        <f>IF('PLAN PRODUCTION2'!$AC$40="","",'PLAN PRODUCTION2'!$AC$40)</f>
        <v/>
      </c>
      <c r="G293" s="494" t="str">
        <f>IF('PLAN PRODUCTION2'!$AD$40="","",'PLAN PRODUCTION2'!$AD$40)</f>
        <v/>
      </c>
      <c r="H293" t="str">
        <f t="shared" ca="1" si="60"/>
        <v>Plan Date Empty</v>
      </c>
      <c r="I293" t="str">
        <f t="shared" ca="1" si="62"/>
        <v/>
      </c>
      <c r="J293" t="str">
        <f t="shared" si="63"/>
        <v/>
      </c>
      <c r="K293" t="str">
        <f t="shared" si="64"/>
        <v/>
      </c>
      <c r="L293">
        <f t="shared" si="65"/>
        <v>0</v>
      </c>
      <c r="M293">
        <f t="shared" si="66"/>
        <v>0</v>
      </c>
      <c r="N293">
        <f t="shared" si="67"/>
        <v>0</v>
      </c>
      <c r="O293">
        <f t="shared" si="68"/>
        <v>1</v>
      </c>
      <c r="P293">
        <f t="shared" ca="1" si="69"/>
        <v>0</v>
      </c>
      <c r="Q293">
        <f t="shared" ca="1" si="70"/>
        <v>0</v>
      </c>
    </row>
    <row r="294" spans="1:17" x14ac:dyDescent="0.25">
      <c r="A294">
        <f t="shared" si="61"/>
        <v>293</v>
      </c>
      <c r="B294" s="212" t="s">
        <v>1449</v>
      </c>
      <c r="C294" s="555">
        <v>333</v>
      </c>
      <c r="D294" t="s">
        <v>1478</v>
      </c>
      <c r="E294" t="s">
        <v>1429</v>
      </c>
      <c r="F294" s="494" t="str">
        <f>IF('PLAN PRODUCTION2'!$AE$40="","",'PLAN PRODUCTION2'!$AE$40)</f>
        <v/>
      </c>
      <c r="G294" s="494" t="str">
        <f>IF('PLAN PRODUCTION2'!$AF$40="","",'PLAN PRODUCTION2'!$AF$40)</f>
        <v/>
      </c>
      <c r="H294" t="str">
        <f t="shared" ca="1" si="60"/>
        <v>Plan Date Empty</v>
      </c>
      <c r="I294" t="str">
        <f t="shared" ca="1" si="62"/>
        <v/>
      </c>
      <c r="J294" t="str">
        <f t="shared" si="63"/>
        <v/>
      </c>
      <c r="K294" t="str">
        <f t="shared" si="64"/>
        <v/>
      </c>
      <c r="L294">
        <f t="shared" si="65"/>
        <v>0</v>
      </c>
      <c r="M294">
        <f t="shared" si="66"/>
        <v>0</v>
      </c>
      <c r="N294">
        <f t="shared" si="67"/>
        <v>0</v>
      </c>
      <c r="O294">
        <f t="shared" si="68"/>
        <v>1</v>
      </c>
      <c r="P294">
        <f t="shared" ca="1" si="69"/>
        <v>0</v>
      </c>
      <c r="Q294">
        <f t="shared" ca="1" si="70"/>
        <v>0</v>
      </c>
    </row>
    <row r="295" spans="1:17" x14ac:dyDescent="0.25">
      <c r="A295">
        <f t="shared" si="61"/>
        <v>294</v>
      </c>
      <c r="B295" s="212" t="s">
        <v>1449</v>
      </c>
      <c r="C295" s="555">
        <v>333</v>
      </c>
      <c r="D295" t="s">
        <v>1479</v>
      </c>
      <c r="E295" t="s">
        <v>1429</v>
      </c>
      <c r="F295" s="494" t="str">
        <f>IF('PLAN PRODUCTION2'!$AG$40="","",'PLAN PRODUCTION2'!$AG$40)</f>
        <v/>
      </c>
      <c r="G295" s="494" t="str">
        <f>IF('PLAN PRODUCTION2'!$AH$40="","",'PLAN PRODUCTION2'!$AH$40)</f>
        <v/>
      </c>
      <c r="H295" t="str">
        <f t="shared" ca="1" si="60"/>
        <v>Plan Date Empty</v>
      </c>
      <c r="I295" t="str">
        <f t="shared" ca="1" si="62"/>
        <v/>
      </c>
      <c r="J295" t="str">
        <f t="shared" si="63"/>
        <v/>
      </c>
      <c r="K295" t="str">
        <f t="shared" si="64"/>
        <v/>
      </c>
      <c r="L295">
        <f t="shared" si="65"/>
        <v>0</v>
      </c>
      <c r="M295">
        <f t="shared" si="66"/>
        <v>0</v>
      </c>
      <c r="N295">
        <f t="shared" si="67"/>
        <v>0</v>
      </c>
      <c r="O295">
        <f t="shared" si="68"/>
        <v>1</v>
      </c>
      <c r="P295">
        <f t="shared" ca="1" si="69"/>
        <v>0</v>
      </c>
      <c r="Q295">
        <f t="shared" ca="1" si="70"/>
        <v>0</v>
      </c>
    </row>
    <row r="296" spans="1:17" s="240" customFormat="1" x14ac:dyDescent="0.25">
      <c r="A296">
        <f t="shared" ref="A296:A354" si="71">ROW(B296)-1</f>
        <v>295</v>
      </c>
      <c r="B296" s="240" t="s">
        <v>1815</v>
      </c>
      <c r="C296" s="555">
        <v>3</v>
      </c>
      <c r="D296" t="s">
        <v>1466</v>
      </c>
      <c r="E296" t="s">
        <v>1420</v>
      </c>
      <c r="F296" s="494" t="str">
        <f>IF('PLAN PRODUCTION2'!$E$41="","",'PLAN PRODUCTION2'!$E$41)</f>
        <v/>
      </c>
      <c r="G296" s="494" t="str">
        <f>IF('PLAN PRODUCTION2'!$F$41="","",'PLAN PRODUCTION2'!$F$41)</f>
        <v/>
      </c>
      <c r="H296" t="str">
        <f t="shared" ca="1" si="60"/>
        <v>Plan Date Empty</v>
      </c>
      <c r="I296" t="str">
        <f t="shared" ref="I296:I356" ca="1" si="72">IF(AND(F296&lt;&gt;"",G296&lt;&gt;""),G296-F296,IF(AND(F296&lt;&gt;"",G296="",TODAY()&gt;F296),TODAY()-F296,""))</f>
        <v/>
      </c>
      <c r="J296" t="str">
        <f t="shared" ref="J296:J356" si="73">IF(F296="","",INT(((F296-DATE(YEAR(F296),1,1)+1)+WEEKDAY(DATE(YEAR(F296),1,1),2)-2)/7)+1)</f>
        <v/>
      </c>
      <c r="K296" t="str">
        <f t="shared" ref="K296:K356" si="74">IF(F296="","","Minggu "&amp;J296&amp;" ("&amp;YEAR(F296)&amp;")")</f>
        <v/>
      </c>
      <c r="L296">
        <f t="shared" ref="L296:L356" si="75">IF(G296&lt;&gt;"",1,0)</f>
        <v>0</v>
      </c>
      <c r="M296">
        <f t="shared" ref="M296:M356" si="76">IF(AND(G296&lt;&gt;"",G296&lt;=F296),1,0)</f>
        <v>0</v>
      </c>
      <c r="N296">
        <f t="shared" ref="N296:N356" si="77">IF(AND(G296&lt;&gt;"",G296&gt;F296),1,0)</f>
        <v>0</v>
      </c>
      <c r="O296">
        <f t="shared" ref="O296:O356" si="78">IF(G296="",1,0)</f>
        <v>1</v>
      </c>
      <c r="P296">
        <f t="shared" ref="P296:P356" ca="1" si="79">IF(AND(G296="",F296&lt;&gt;"",TODAY()&gt;F296),1,0)</f>
        <v>0</v>
      </c>
      <c r="Q296">
        <f t="shared" ref="Q296:Q356" ca="1" si="80">IF(I296="",0,I296)</f>
        <v>0</v>
      </c>
    </row>
    <row r="297" spans="1:17" s="240" customFormat="1" x14ac:dyDescent="0.25">
      <c r="A297">
        <f t="shared" si="71"/>
        <v>296</v>
      </c>
      <c r="B297" s="240" t="s">
        <v>1815</v>
      </c>
      <c r="C297" s="555">
        <v>3</v>
      </c>
      <c r="D297" t="s">
        <v>1467</v>
      </c>
      <c r="E297" t="s">
        <v>1420</v>
      </c>
      <c r="F297" s="494" t="str">
        <f>IF('PLAN PRODUCTION2'!$I$41="","",'PLAN PRODUCTION2'!$I$41)</f>
        <v/>
      </c>
      <c r="G297" s="494" t="str">
        <f>IF('PLAN PRODUCTION2'!$J$41="","",'PLAN PRODUCTION2'!$J$41)</f>
        <v/>
      </c>
      <c r="H297" t="str">
        <f t="shared" ca="1" si="60"/>
        <v>Plan Date Empty</v>
      </c>
      <c r="I297" t="str">
        <f t="shared" ca="1" si="72"/>
        <v/>
      </c>
      <c r="J297" t="str">
        <f t="shared" si="73"/>
        <v/>
      </c>
      <c r="K297" t="str">
        <f t="shared" si="74"/>
        <v/>
      </c>
      <c r="L297">
        <f t="shared" si="75"/>
        <v>0</v>
      </c>
      <c r="M297">
        <f t="shared" si="76"/>
        <v>0</v>
      </c>
      <c r="N297">
        <f t="shared" si="77"/>
        <v>0</v>
      </c>
      <c r="O297">
        <f t="shared" si="78"/>
        <v>1</v>
      </c>
      <c r="P297">
        <f t="shared" ca="1" si="79"/>
        <v>0</v>
      </c>
      <c r="Q297">
        <f t="shared" ca="1" si="80"/>
        <v>0</v>
      </c>
    </row>
    <row r="298" spans="1:17" s="240" customFormat="1" x14ac:dyDescent="0.25">
      <c r="A298">
        <f t="shared" si="71"/>
        <v>297</v>
      </c>
      <c r="B298" s="240" t="s">
        <v>1815</v>
      </c>
      <c r="C298" s="555">
        <v>3</v>
      </c>
      <c r="D298" t="s">
        <v>1468</v>
      </c>
      <c r="E298" t="s">
        <v>1420</v>
      </c>
      <c r="F298" s="494" t="str">
        <f>IF('PLAN PRODUCTION2'!$K$41="","",'PLAN PRODUCTION2'!$K$41)</f>
        <v/>
      </c>
      <c r="G298" s="494" t="str">
        <f>IF('PLAN PRODUCTION2'!$L$41="","",'PLAN PRODUCTION2'!$L$41)</f>
        <v/>
      </c>
      <c r="H298" t="str">
        <f t="shared" ca="1" si="60"/>
        <v>Plan Date Empty</v>
      </c>
      <c r="I298" t="str">
        <f t="shared" ca="1" si="72"/>
        <v/>
      </c>
      <c r="J298" t="str">
        <f t="shared" si="73"/>
        <v/>
      </c>
      <c r="K298" t="str">
        <f t="shared" si="74"/>
        <v/>
      </c>
      <c r="L298">
        <f t="shared" si="75"/>
        <v>0</v>
      </c>
      <c r="M298">
        <f t="shared" si="76"/>
        <v>0</v>
      </c>
      <c r="N298">
        <f t="shared" si="77"/>
        <v>0</v>
      </c>
      <c r="O298">
        <f t="shared" si="78"/>
        <v>1</v>
      </c>
      <c r="P298">
        <f t="shared" ca="1" si="79"/>
        <v>0</v>
      </c>
      <c r="Q298">
        <f t="shared" ca="1" si="80"/>
        <v>0</v>
      </c>
    </row>
    <row r="299" spans="1:17" s="240" customFormat="1" x14ac:dyDescent="0.25">
      <c r="A299">
        <f t="shared" si="71"/>
        <v>298</v>
      </c>
      <c r="B299" s="240" t="s">
        <v>1815</v>
      </c>
      <c r="C299" s="555">
        <v>3</v>
      </c>
      <c r="D299" t="s">
        <v>1469</v>
      </c>
      <c r="E299" t="s">
        <v>1422</v>
      </c>
      <c r="F299" s="494" t="str">
        <f>IF('PLAN PRODUCTION2'!$M$41="","",'PLAN PRODUCTION2'!$M$41)</f>
        <v/>
      </c>
      <c r="G299" s="494" t="str">
        <f>IF('PLAN PRODUCTION2'!$N$41="","",'PLAN PRODUCTION2'!$N$41)</f>
        <v/>
      </c>
      <c r="H299" t="str">
        <f t="shared" ca="1" si="60"/>
        <v>Plan Date Empty</v>
      </c>
      <c r="I299" t="str">
        <f t="shared" ca="1" si="72"/>
        <v/>
      </c>
      <c r="J299" t="str">
        <f t="shared" si="73"/>
        <v/>
      </c>
      <c r="K299" t="str">
        <f t="shared" si="74"/>
        <v/>
      </c>
      <c r="L299">
        <f t="shared" si="75"/>
        <v>0</v>
      </c>
      <c r="M299">
        <f t="shared" si="76"/>
        <v>0</v>
      </c>
      <c r="N299">
        <f t="shared" si="77"/>
        <v>0</v>
      </c>
      <c r="O299">
        <f t="shared" si="78"/>
        <v>1</v>
      </c>
      <c r="P299">
        <f t="shared" ca="1" si="79"/>
        <v>0</v>
      </c>
      <c r="Q299">
        <f t="shared" ca="1" si="80"/>
        <v>0</v>
      </c>
    </row>
    <row r="300" spans="1:17" s="240" customFormat="1" x14ac:dyDescent="0.25">
      <c r="A300">
        <f t="shared" si="71"/>
        <v>299</v>
      </c>
      <c r="B300" s="240" t="s">
        <v>1815</v>
      </c>
      <c r="C300" s="555">
        <v>3</v>
      </c>
      <c r="D300" t="s">
        <v>1470</v>
      </c>
      <c r="E300" t="s">
        <v>1422</v>
      </c>
      <c r="F300" s="494" t="str">
        <f>IF('PLAN PRODUCTION2'!$O$41="","",'PLAN PRODUCTION2'!$O$41)</f>
        <v/>
      </c>
      <c r="G300" s="494" t="str">
        <f>IF('PLAN PRODUCTION2'!$P$41="","",'PLAN PRODUCTION2'!$P$41)</f>
        <v/>
      </c>
      <c r="H300" t="str">
        <f t="shared" ca="1" si="60"/>
        <v>Plan Date Empty</v>
      </c>
      <c r="I300" t="str">
        <f t="shared" ca="1" si="72"/>
        <v/>
      </c>
      <c r="J300" t="str">
        <f t="shared" si="73"/>
        <v/>
      </c>
      <c r="K300" t="str">
        <f t="shared" si="74"/>
        <v/>
      </c>
      <c r="L300">
        <f t="shared" si="75"/>
        <v>0</v>
      </c>
      <c r="M300">
        <f t="shared" si="76"/>
        <v>0</v>
      </c>
      <c r="N300">
        <f t="shared" si="77"/>
        <v>0</v>
      </c>
      <c r="O300">
        <f t="shared" si="78"/>
        <v>1</v>
      </c>
      <c r="P300">
        <f t="shared" ca="1" si="79"/>
        <v>0</v>
      </c>
      <c r="Q300">
        <f t="shared" ca="1" si="80"/>
        <v>0</v>
      </c>
    </row>
    <row r="301" spans="1:17" s="240" customFormat="1" x14ac:dyDescent="0.25">
      <c r="A301">
        <f t="shared" si="71"/>
        <v>300</v>
      </c>
      <c r="B301" s="240" t="s">
        <v>1815</v>
      </c>
      <c r="C301" s="555">
        <v>3</v>
      </c>
      <c r="D301" t="s">
        <v>1471</v>
      </c>
      <c r="E301" t="s">
        <v>1424</v>
      </c>
      <c r="F301" s="494" t="str">
        <f>IF('PLAN PRODUCTION2'!$Q$41="","",'PLAN PRODUCTION2'!$Q$41)</f>
        <v/>
      </c>
      <c r="G301" s="494" t="str">
        <f>IF('PLAN PRODUCTION2'!$R$41="","",'PLAN PRODUCTION2'!$R$41)</f>
        <v/>
      </c>
      <c r="H301" t="str">
        <f t="shared" ca="1" si="60"/>
        <v>Plan Date Empty</v>
      </c>
      <c r="I301" t="str">
        <f t="shared" ca="1" si="72"/>
        <v/>
      </c>
      <c r="J301" t="str">
        <f t="shared" si="73"/>
        <v/>
      </c>
      <c r="K301" t="str">
        <f t="shared" si="74"/>
        <v/>
      </c>
      <c r="L301">
        <f t="shared" si="75"/>
        <v>0</v>
      </c>
      <c r="M301">
        <f t="shared" si="76"/>
        <v>0</v>
      </c>
      <c r="N301">
        <f t="shared" si="77"/>
        <v>0</v>
      </c>
      <c r="O301">
        <f t="shared" si="78"/>
        <v>1</v>
      </c>
      <c r="P301">
        <f t="shared" ca="1" si="79"/>
        <v>0</v>
      </c>
      <c r="Q301">
        <f t="shared" ca="1" si="80"/>
        <v>0</v>
      </c>
    </row>
    <row r="302" spans="1:17" s="240" customFormat="1" x14ac:dyDescent="0.25">
      <c r="A302">
        <f t="shared" si="71"/>
        <v>301</v>
      </c>
      <c r="B302" s="240" t="s">
        <v>1815</v>
      </c>
      <c r="C302" s="555">
        <v>3</v>
      </c>
      <c r="D302" t="s">
        <v>1472</v>
      </c>
      <c r="E302" t="s">
        <v>1426</v>
      </c>
      <c r="F302" s="494" t="str">
        <f>IF('PLAN PRODUCTION2'!$S$41="","",'PLAN PRODUCTION2'!$S$41)</f>
        <v/>
      </c>
      <c r="G302" s="494" t="str">
        <f>IF('PLAN PRODUCTION2'!$T$41="","",'PLAN PRODUCTION2'!$T$41)</f>
        <v/>
      </c>
      <c r="H302" t="str">
        <f t="shared" ca="1" si="60"/>
        <v>Plan Date Empty</v>
      </c>
      <c r="I302" t="str">
        <f t="shared" ca="1" si="72"/>
        <v/>
      </c>
      <c r="J302" t="str">
        <f t="shared" si="73"/>
        <v/>
      </c>
      <c r="K302" t="str">
        <f t="shared" si="74"/>
        <v/>
      </c>
      <c r="L302">
        <f t="shared" si="75"/>
        <v>0</v>
      </c>
      <c r="M302">
        <f t="shared" si="76"/>
        <v>0</v>
      </c>
      <c r="N302">
        <f t="shared" si="77"/>
        <v>0</v>
      </c>
      <c r="O302">
        <f t="shared" si="78"/>
        <v>1</v>
      </c>
      <c r="P302">
        <f t="shared" ca="1" si="79"/>
        <v>0</v>
      </c>
      <c r="Q302">
        <f t="shared" ca="1" si="80"/>
        <v>0</v>
      </c>
    </row>
    <row r="303" spans="1:17" s="240" customFormat="1" x14ac:dyDescent="0.25">
      <c r="A303">
        <f t="shared" si="71"/>
        <v>302</v>
      </c>
      <c r="B303" s="240" t="s">
        <v>1815</v>
      </c>
      <c r="C303" s="555">
        <v>3</v>
      </c>
      <c r="D303" t="s">
        <v>1473</v>
      </c>
      <c r="E303" t="s">
        <v>1426</v>
      </c>
      <c r="F303" s="494" t="str">
        <f>IF('PLAN PRODUCTION2'!$U$41="","",'PLAN PRODUCTION2'!$U$41)</f>
        <v/>
      </c>
      <c r="G303" s="494" t="str">
        <f>IF('PLAN PRODUCTION2'!$V$41="","",'PLAN PRODUCTION2'!$V$41)</f>
        <v/>
      </c>
      <c r="H303" t="str">
        <f t="shared" ca="1" si="60"/>
        <v>Plan Date Empty</v>
      </c>
      <c r="I303" t="str">
        <f t="shared" ca="1" si="72"/>
        <v/>
      </c>
      <c r="J303" t="str">
        <f t="shared" si="73"/>
        <v/>
      </c>
      <c r="K303" t="str">
        <f t="shared" si="74"/>
        <v/>
      </c>
      <c r="L303">
        <f t="shared" si="75"/>
        <v>0</v>
      </c>
      <c r="M303">
        <f t="shared" si="76"/>
        <v>0</v>
      </c>
      <c r="N303">
        <f t="shared" si="77"/>
        <v>0</v>
      </c>
      <c r="O303">
        <f t="shared" si="78"/>
        <v>1</v>
      </c>
      <c r="P303">
        <f t="shared" ca="1" si="79"/>
        <v>0</v>
      </c>
      <c r="Q303">
        <f t="shared" ca="1" si="80"/>
        <v>0</v>
      </c>
    </row>
    <row r="304" spans="1:17" s="240" customFormat="1" x14ac:dyDescent="0.25">
      <c r="A304">
        <f t="shared" si="71"/>
        <v>303</v>
      </c>
      <c r="B304" s="240" t="s">
        <v>1815</v>
      </c>
      <c r="C304" s="555">
        <v>3</v>
      </c>
      <c r="D304" t="s">
        <v>1474</v>
      </c>
      <c r="E304" t="s">
        <v>1426</v>
      </c>
      <c r="F304" s="494" t="str">
        <f>IF('PLAN PRODUCTION2'!$W$41="","",'PLAN PRODUCTION2'!$W$41)</f>
        <v/>
      </c>
      <c r="G304" s="494" t="str">
        <f>IF('PLAN PRODUCTION2'!$X$41="","",'PLAN PRODUCTION2'!$X$41)</f>
        <v/>
      </c>
      <c r="H304" t="str">
        <f t="shared" ca="1" si="60"/>
        <v>Plan Date Empty</v>
      </c>
      <c r="I304" t="str">
        <f t="shared" ca="1" si="72"/>
        <v/>
      </c>
      <c r="J304" t="str">
        <f t="shared" si="73"/>
        <v/>
      </c>
      <c r="K304" t="str">
        <f t="shared" si="74"/>
        <v/>
      </c>
      <c r="L304">
        <f t="shared" si="75"/>
        <v>0</v>
      </c>
      <c r="M304">
        <f t="shared" si="76"/>
        <v>0</v>
      </c>
      <c r="N304">
        <f t="shared" si="77"/>
        <v>0</v>
      </c>
      <c r="O304">
        <f t="shared" si="78"/>
        <v>1</v>
      </c>
      <c r="P304">
        <f t="shared" ca="1" si="79"/>
        <v>0</v>
      </c>
      <c r="Q304">
        <f t="shared" ca="1" si="80"/>
        <v>0</v>
      </c>
    </row>
    <row r="305" spans="1:17" s="240" customFormat="1" x14ac:dyDescent="0.25">
      <c r="A305">
        <f t="shared" si="71"/>
        <v>304</v>
      </c>
      <c r="B305" s="240" t="s">
        <v>1815</v>
      </c>
      <c r="C305" s="555">
        <v>3</v>
      </c>
      <c r="D305" t="s">
        <v>1475</v>
      </c>
      <c r="E305" t="s">
        <v>1426</v>
      </c>
      <c r="F305" s="494" t="str">
        <f>IF('PLAN PRODUCTION2'!$Y$41="","",'PLAN PRODUCTION2'!$Y$41)</f>
        <v/>
      </c>
      <c r="G305" s="494" t="str">
        <f>IF('PLAN PRODUCTION2'!$Z$41="","",'PLAN PRODUCTION2'!$Z$41)</f>
        <v/>
      </c>
      <c r="H305" t="str">
        <f t="shared" ca="1" si="60"/>
        <v>Plan Date Empty</v>
      </c>
      <c r="I305" t="str">
        <f t="shared" ca="1" si="72"/>
        <v/>
      </c>
      <c r="J305" t="str">
        <f t="shared" si="73"/>
        <v/>
      </c>
      <c r="K305" t="str">
        <f t="shared" si="74"/>
        <v/>
      </c>
      <c r="L305">
        <f t="shared" si="75"/>
        <v>0</v>
      </c>
      <c r="M305">
        <f t="shared" si="76"/>
        <v>0</v>
      </c>
      <c r="N305">
        <f t="shared" si="77"/>
        <v>0</v>
      </c>
      <c r="O305">
        <f t="shared" si="78"/>
        <v>1</v>
      </c>
      <c r="P305">
        <f t="shared" ca="1" si="79"/>
        <v>0</v>
      </c>
      <c r="Q305">
        <f t="shared" ca="1" si="80"/>
        <v>0</v>
      </c>
    </row>
    <row r="306" spans="1:17" s="240" customFormat="1" x14ac:dyDescent="0.25">
      <c r="A306">
        <f t="shared" si="71"/>
        <v>305</v>
      </c>
      <c r="B306" s="240" t="s">
        <v>1815</v>
      </c>
      <c r="C306" s="555">
        <v>3</v>
      </c>
      <c r="D306" t="s">
        <v>1476</v>
      </c>
      <c r="E306" t="s">
        <v>1426</v>
      </c>
      <c r="F306" s="494" t="str">
        <f>IF('PLAN PRODUCTION2'!$AA$41="","",'PLAN PRODUCTION2'!$AA$41)</f>
        <v/>
      </c>
      <c r="G306" s="494" t="str">
        <f>IF('PLAN PRODUCTION2'!$AB$41="","",'PLAN PRODUCTION2'!$AB$41)</f>
        <v/>
      </c>
      <c r="H306" t="str">
        <f t="shared" ca="1" si="60"/>
        <v>Plan Date Empty</v>
      </c>
      <c r="I306" t="str">
        <f t="shared" ca="1" si="72"/>
        <v/>
      </c>
      <c r="J306" t="str">
        <f t="shared" si="73"/>
        <v/>
      </c>
      <c r="K306" t="str">
        <f t="shared" si="74"/>
        <v/>
      </c>
      <c r="L306">
        <f t="shared" si="75"/>
        <v>0</v>
      </c>
      <c r="M306">
        <f t="shared" si="76"/>
        <v>0</v>
      </c>
      <c r="N306">
        <f t="shared" si="77"/>
        <v>0</v>
      </c>
      <c r="O306">
        <f t="shared" si="78"/>
        <v>1</v>
      </c>
      <c r="P306">
        <f t="shared" ca="1" si="79"/>
        <v>0</v>
      </c>
      <c r="Q306">
        <f t="shared" ca="1" si="80"/>
        <v>0</v>
      </c>
    </row>
    <row r="307" spans="1:17" s="240" customFormat="1" x14ac:dyDescent="0.25">
      <c r="A307">
        <f t="shared" si="71"/>
        <v>306</v>
      </c>
      <c r="B307" s="240" t="s">
        <v>1815</v>
      </c>
      <c r="C307" s="555">
        <v>3</v>
      </c>
      <c r="D307" t="s">
        <v>1477</v>
      </c>
      <c r="E307" t="s">
        <v>1422</v>
      </c>
      <c r="F307" s="494" t="str">
        <f>IF('PLAN PRODUCTION2'!$AC$41="","",'PLAN PRODUCTION2'!$AC$41)</f>
        <v/>
      </c>
      <c r="G307" s="494" t="str">
        <f>IF('PLAN PRODUCTION2'!$AD$41="","",'PLAN PRODUCTION2'!$AD$41)</f>
        <v/>
      </c>
      <c r="H307" t="str">
        <f t="shared" ca="1" si="60"/>
        <v>Plan Date Empty</v>
      </c>
      <c r="I307" t="str">
        <f t="shared" ca="1" si="72"/>
        <v/>
      </c>
      <c r="J307" t="str">
        <f t="shared" si="73"/>
        <v/>
      </c>
      <c r="K307" t="str">
        <f t="shared" si="74"/>
        <v/>
      </c>
      <c r="L307">
        <f t="shared" si="75"/>
        <v>0</v>
      </c>
      <c r="M307">
        <f t="shared" si="76"/>
        <v>0</v>
      </c>
      <c r="N307">
        <f t="shared" si="77"/>
        <v>0</v>
      </c>
      <c r="O307">
        <f t="shared" si="78"/>
        <v>1</v>
      </c>
      <c r="P307">
        <f t="shared" ca="1" si="79"/>
        <v>0</v>
      </c>
      <c r="Q307">
        <f t="shared" ca="1" si="80"/>
        <v>0</v>
      </c>
    </row>
    <row r="308" spans="1:17" s="240" customFormat="1" x14ac:dyDescent="0.25">
      <c r="A308">
        <f t="shared" si="71"/>
        <v>307</v>
      </c>
      <c r="B308" s="240" t="s">
        <v>1815</v>
      </c>
      <c r="C308" s="555">
        <v>3</v>
      </c>
      <c r="D308" t="s">
        <v>1478</v>
      </c>
      <c r="E308" t="s">
        <v>1429</v>
      </c>
      <c r="F308" s="494" t="str">
        <f>IF('PLAN PRODUCTION2'!$AE$41="","",'PLAN PRODUCTION2'!$AE$41)</f>
        <v/>
      </c>
      <c r="G308" s="494" t="str">
        <f>IF('PLAN PRODUCTION2'!$AF$41="","",'PLAN PRODUCTION2'!$AF$41)</f>
        <v/>
      </c>
      <c r="H308" t="str">
        <f t="shared" ca="1" si="60"/>
        <v>Plan Date Empty</v>
      </c>
      <c r="I308" t="str">
        <f t="shared" ca="1" si="72"/>
        <v/>
      </c>
      <c r="J308" t="str">
        <f t="shared" si="73"/>
        <v/>
      </c>
      <c r="K308" t="str">
        <f t="shared" si="74"/>
        <v/>
      </c>
      <c r="L308">
        <f t="shared" si="75"/>
        <v>0</v>
      </c>
      <c r="M308">
        <f t="shared" si="76"/>
        <v>0</v>
      </c>
      <c r="N308">
        <f t="shared" si="77"/>
        <v>0</v>
      </c>
      <c r="O308">
        <f t="shared" si="78"/>
        <v>1</v>
      </c>
      <c r="P308">
        <f t="shared" ca="1" si="79"/>
        <v>0</v>
      </c>
      <c r="Q308">
        <f t="shared" ca="1" si="80"/>
        <v>0</v>
      </c>
    </row>
    <row r="309" spans="1:17" s="240" customFormat="1" x14ac:dyDescent="0.25">
      <c r="A309">
        <f t="shared" si="71"/>
        <v>308</v>
      </c>
      <c r="B309" s="240" t="s">
        <v>1815</v>
      </c>
      <c r="C309" s="555">
        <v>3</v>
      </c>
      <c r="D309" t="s">
        <v>1479</v>
      </c>
      <c r="E309" t="s">
        <v>1429</v>
      </c>
      <c r="F309" s="494" t="str">
        <f>IF('PLAN PRODUCTION2'!$AG$41="","",'PLAN PRODUCTION2'!$AG$41)</f>
        <v/>
      </c>
      <c r="G309" s="494" t="str">
        <f>IF('PLAN PRODUCTION2'!$AH$41="","",'PLAN PRODUCTION2'!$AH$41)</f>
        <v/>
      </c>
      <c r="H309" t="str">
        <f t="shared" ref="H309:H372" ca="1" si="81">IF(F309="","Plan Date Empty",IF(G309&lt;&gt;"",IF(G309&lt;=F309,"Completed - On Time","Not Done - Overdue"),IF(TODAY()&gt;F309,"Not Done - Overdue","Not Done - On Schedule")))</f>
        <v>Plan Date Empty</v>
      </c>
      <c r="I309" t="str">
        <f t="shared" ca="1" si="72"/>
        <v/>
      </c>
      <c r="J309" t="str">
        <f t="shared" si="73"/>
        <v/>
      </c>
      <c r="K309" t="str">
        <f t="shared" si="74"/>
        <v/>
      </c>
      <c r="L309">
        <f t="shared" si="75"/>
        <v>0</v>
      </c>
      <c r="M309">
        <f t="shared" si="76"/>
        <v>0</v>
      </c>
      <c r="N309">
        <f t="shared" si="77"/>
        <v>0</v>
      </c>
      <c r="O309">
        <f t="shared" si="78"/>
        <v>1</v>
      </c>
      <c r="P309">
        <f t="shared" ca="1" si="79"/>
        <v>0</v>
      </c>
      <c r="Q309">
        <f t="shared" ca="1" si="80"/>
        <v>0</v>
      </c>
    </row>
    <row r="310" spans="1:17" s="240" customFormat="1" x14ac:dyDescent="0.25">
      <c r="A310">
        <f t="shared" si="71"/>
        <v>309</v>
      </c>
      <c r="B310" s="240" t="s">
        <v>1816</v>
      </c>
      <c r="C310" s="555">
        <v>5</v>
      </c>
      <c r="D310" t="s">
        <v>1466</v>
      </c>
      <c r="E310" t="s">
        <v>1420</v>
      </c>
      <c r="F310" s="494" t="str">
        <f>IF('PLAN PRODUCTION2'!$E$42="","",'PLAN PRODUCTION2'!$E$42)</f>
        <v/>
      </c>
      <c r="G310" s="494" t="str">
        <f>IF('PLAN PRODUCTION2'!$F$42="","",'PLAN PRODUCTION2'!$F$42)</f>
        <v/>
      </c>
      <c r="H310" t="str">
        <f t="shared" ca="1" si="81"/>
        <v>Plan Date Empty</v>
      </c>
      <c r="I310" t="str">
        <f t="shared" ca="1" si="72"/>
        <v/>
      </c>
      <c r="J310" t="str">
        <f t="shared" si="73"/>
        <v/>
      </c>
      <c r="K310" t="str">
        <f t="shared" si="74"/>
        <v/>
      </c>
      <c r="L310">
        <f t="shared" si="75"/>
        <v>0</v>
      </c>
      <c r="M310">
        <f t="shared" si="76"/>
        <v>0</v>
      </c>
      <c r="N310">
        <f t="shared" si="77"/>
        <v>0</v>
      </c>
      <c r="O310">
        <f t="shared" si="78"/>
        <v>1</v>
      </c>
      <c r="P310">
        <f t="shared" ca="1" si="79"/>
        <v>0</v>
      </c>
      <c r="Q310">
        <f t="shared" ca="1" si="80"/>
        <v>0</v>
      </c>
    </row>
    <row r="311" spans="1:17" s="240" customFormat="1" x14ac:dyDescent="0.25">
      <c r="A311">
        <f t="shared" si="71"/>
        <v>310</v>
      </c>
      <c r="B311" s="240" t="s">
        <v>1816</v>
      </c>
      <c r="C311" s="555">
        <v>5</v>
      </c>
      <c r="D311" t="s">
        <v>1467</v>
      </c>
      <c r="E311" t="s">
        <v>1420</v>
      </c>
      <c r="F311" s="494" t="str">
        <f>IF('PLAN PRODUCTION2'!$I$42="","",'PLAN PRODUCTION2'!$I$42)</f>
        <v/>
      </c>
      <c r="G311" s="494" t="str">
        <f>IF('PLAN PRODUCTION2'!$J$42="","",'PLAN PRODUCTION2'!$J$42)</f>
        <v/>
      </c>
      <c r="H311" t="str">
        <f t="shared" ca="1" si="81"/>
        <v>Plan Date Empty</v>
      </c>
      <c r="I311" t="str">
        <f t="shared" ca="1" si="72"/>
        <v/>
      </c>
      <c r="J311" t="str">
        <f t="shared" si="73"/>
        <v/>
      </c>
      <c r="K311" t="str">
        <f t="shared" si="74"/>
        <v/>
      </c>
      <c r="L311">
        <f t="shared" si="75"/>
        <v>0</v>
      </c>
      <c r="M311">
        <f t="shared" si="76"/>
        <v>0</v>
      </c>
      <c r="N311">
        <f t="shared" si="77"/>
        <v>0</v>
      </c>
      <c r="O311">
        <f t="shared" si="78"/>
        <v>1</v>
      </c>
      <c r="P311">
        <f t="shared" ca="1" si="79"/>
        <v>0</v>
      </c>
      <c r="Q311">
        <f t="shared" ca="1" si="80"/>
        <v>0</v>
      </c>
    </row>
    <row r="312" spans="1:17" s="240" customFormat="1" x14ac:dyDescent="0.25">
      <c r="A312">
        <f t="shared" si="71"/>
        <v>311</v>
      </c>
      <c r="B312" s="240" t="s">
        <v>1816</v>
      </c>
      <c r="C312" s="555">
        <v>5</v>
      </c>
      <c r="D312" t="s">
        <v>1468</v>
      </c>
      <c r="E312" t="s">
        <v>1420</v>
      </c>
      <c r="F312" s="494" t="str">
        <f>IF('PLAN PRODUCTION2'!$K$42="","",'PLAN PRODUCTION2'!$K$42)</f>
        <v/>
      </c>
      <c r="G312" s="494" t="str">
        <f>IF('PLAN PRODUCTION2'!$L$42="","",'PLAN PRODUCTION2'!$L$42)</f>
        <v/>
      </c>
      <c r="H312" t="str">
        <f t="shared" ca="1" si="81"/>
        <v>Plan Date Empty</v>
      </c>
      <c r="I312" t="str">
        <f t="shared" ca="1" si="72"/>
        <v/>
      </c>
      <c r="J312" t="str">
        <f t="shared" si="73"/>
        <v/>
      </c>
      <c r="K312" t="str">
        <f t="shared" si="74"/>
        <v/>
      </c>
      <c r="L312">
        <f t="shared" si="75"/>
        <v>0</v>
      </c>
      <c r="M312">
        <f t="shared" si="76"/>
        <v>0</v>
      </c>
      <c r="N312">
        <f t="shared" si="77"/>
        <v>0</v>
      </c>
      <c r="O312">
        <f t="shared" si="78"/>
        <v>1</v>
      </c>
      <c r="P312">
        <f t="shared" ca="1" si="79"/>
        <v>0</v>
      </c>
      <c r="Q312">
        <f t="shared" ca="1" si="80"/>
        <v>0</v>
      </c>
    </row>
    <row r="313" spans="1:17" s="240" customFormat="1" x14ac:dyDescent="0.25">
      <c r="A313">
        <f t="shared" si="71"/>
        <v>312</v>
      </c>
      <c r="B313" s="240" t="s">
        <v>1816</v>
      </c>
      <c r="C313" s="555">
        <v>5</v>
      </c>
      <c r="D313" t="s">
        <v>1469</v>
      </c>
      <c r="E313" t="s">
        <v>1422</v>
      </c>
      <c r="F313" s="494" t="str">
        <f>IF('PLAN PRODUCTION2'!$M$42="","",'PLAN PRODUCTION2'!$M$42)</f>
        <v/>
      </c>
      <c r="G313" s="494" t="str">
        <f>IF('PLAN PRODUCTION2'!$N$42="","",'PLAN PRODUCTION2'!$N$42)</f>
        <v/>
      </c>
      <c r="H313" t="str">
        <f t="shared" ca="1" si="81"/>
        <v>Plan Date Empty</v>
      </c>
      <c r="I313" t="str">
        <f t="shared" ca="1" si="72"/>
        <v/>
      </c>
      <c r="J313" t="str">
        <f t="shared" si="73"/>
        <v/>
      </c>
      <c r="K313" t="str">
        <f t="shared" si="74"/>
        <v/>
      </c>
      <c r="L313">
        <f t="shared" si="75"/>
        <v>0</v>
      </c>
      <c r="M313">
        <f t="shared" si="76"/>
        <v>0</v>
      </c>
      <c r="N313">
        <f t="shared" si="77"/>
        <v>0</v>
      </c>
      <c r="O313">
        <f t="shared" si="78"/>
        <v>1</v>
      </c>
      <c r="P313">
        <f t="shared" ca="1" si="79"/>
        <v>0</v>
      </c>
      <c r="Q313">
        <f t="shared" ca="1" si="80"/>
        <v>0</v>
      </c>
    </row>
    <row r="314" spans="1:17" s="240" customFormat="1" x14ac:dyDescent="0.25">
      <c r="A314">
        <f t="shared" si="71"/>
        <v>313</v>
      </c>
      <c r="B314" s="240" t="s">
        <v>1816</v>
      </c>
      <c r="C314" s="555">
        <v>5</v>
      </c>
      <c r="D314" t="s">
        <v>1470</v>
      </c>
      <c r="E314" t="s">
        <v>1422</v>
      </c>
      <c r="F314" s="494" t="str">
        <f>IF('PLAN PRODUCTION2'!$O$42="","",'PLAN PRODUCTION2'!$O$42)</f>
        <v/>
      </c>
      <c r="G314" s="494" t="str">
        <f>IF('PLAN PRODUCTION2'!$P$42="","",'PLAN PRODUCTION2'!$P$42)</f>
        <v/>
      </c>
      <c r="H314" t="str">
        <f t="shared" ca="1" si="81"/>
        <v>Plan Date Empty</v>
      </c>
      <c r="I314" t="str">
        <f t="shared" ca="1" si="72"/>
        <v/>
      </c>
      <c r="J314" t="str">
        <f t="shared" si="73"/>
        <v/>
      </c>
      <c r="K314" t="str">
        <f t="shared" si="74"/>
        <v/>
      </c>
      <c r="L314">
        <f t="shared" si="75"/>
        <v>0</v>
      </c>
      <c r="M314">
        <f t="shared" si="76"/>
        <v>0</v>
      </c>
      <c r="N314">
        <f t="shared" si="77"/>
        <v>0</v>
      </c>
      <c r="O314">
        <f t="shared" si="78"/>
        <v>1</v>
      </c>
      <c r="P314">
        <f t="shared" ca="1" si="79"/>
        <v>0</v>
      </c>
      <c r="Q314">
        <f t="shared" ca="1" si="80"/>
        <v>0</v>
      </c>
    </row>
    <row r="315" spans="1:17" s="240" customFormat="1" x14ac:dyDescent="0.25">
      <c r="A315">
        <f t="shared" si="71"/>
        <v>314</v>
      </c>
      <c r="B315" s="240" t="s">
        <v>1816</v>
      </c>
      <c r="C315" s="555">
        <v>5</v>
      </c>
      <c r="D315" t="s">
        <v>1471</v>
      </c>
      <c r="E315" t="s">
        <v>1424</v>
      </c>
      <c r="F315" s="494" t="str">
        <f>IF('PLAN PRODUCTION2'!$Q$42="","",'PLAN PRODUCTION2'!$Q$42)</f>
        <v/>
      </c>
      <c r="G315" s="494" t="str">
        <f>IF('PLAN PRODUCTION2'!$R$42="","",'PLAN PRODUCTION2'!$R$42)</f>
        <v/>
      </c>
      <c r="H315" t="str">
        <f t="shared" ca="1" si="81"/>
        <v>Plan Date Empty</v>
      </c>
      <c r="I315" t="str">
        <f t="shared" ca="1" si="72"/>
        <v/>
      </c>
      <c r="J315" t="str">
        <f t="shared" si="73"/>
        <v/>
      </c>
      <c r="K315" t="str">
        <f t="shared" si="74"/>
        <v/>
      </c>
      <c r="L315">
        <f t="shared" si="75"/>
        <v>0</v>
      </c>
      <c r="M315">
        <f t="shared" si="76"/>
        <v>0</v>
      </c>
      <c r="N315">
        <f t="shared" si="77"/>
        <v>0</v>
      </c>
      <c r="O315">
        <f t="shared" si="78"/>
        <v>1</v>
      </c>
      <c r="P315">
        <f t="shared" ca="1" si="79"/>
        <v>0</v>
      </c>
      <c r="Q315">
        <f t="shared" ca="1" si="80"/>
        <v>0</v>
      </c>
    </row>
    <row r="316" spans="1:17" s="240" customFormat="1" x14ac:dyDescent="0.25">
      <c r="A316">
        <f t="shared" si="71"/>
        <v>315</v>
      </c>
      <c r="B316" s="240" t="s">
        <v>1816</v>
      </c>
      <c r="C316" s="555">
        <v>5</v>
      </c>
      <c r="D316" t="s">
        <v>1472</v>
      </c>
      <c r="E316" t="s">
        <v>1426</v>
      </c>
      <c r="F316" s="494" t="str">
        <f>IF('PLAN PRODUCTION2'!$S$42="","",'PLAN PRODUCTION2'!$S$42)</f>
        <v/>
      </c>
      <c r="G316" s="494" t="str">
        <f>IF('PLAN PRODUCTION2'!$T$42="","",'PLAN PRODUCTION2'!$T$42)</f>
        <v/>
      </c>
      <c r="H316" t="str">
        <f t="shared" ca="1" si="81"/>
        <v>Plan Date Empty</v>
      </c>
      <c r="I316" t="str">
        <f t="shared" ca="1" si="72"/>
        <v/>
      </c>
      <c r="J316" t="str">
        <f t="shared" si="73"/>
        <v/>
      </c>
      <c r="K316" t="str">
        <f t="shared" si="74"/>
        <v/>
      </c>
      <c r="L316">
        <f t="shared" si="75"/>
        <v>0</v>
      </c>
      <c r="M316">
        <f t="shared" si="76"/>
        <v>0</v>
      </c>
      <c r="N316">
        <f t="shared" si="77"/>
        <v>0</v>
      </c>
      <c r="O316">
        <f t="shared" si="78"/>
        <v>1</v>
      </c>
      <c r="P316">
        <f t="shared" ca="1" si="79"/>
        <v>0</v>
      </c>
      <c r="Q316">
        <f t="shared" ca="1" si="80"/>
        <v>0</v>
      </c>
    </row>
    <row r="317" spans="1:17" s="240" customFormat="1" x14ac:dyDescent="0.25">
      <c r="A317">
        <f t="shared" si="71"/>
        <v>316</v>
      </c>
      <c r="B317" s="240" t="s">
        <v>1816</v>
      </c>
      <c r="C317" s="555">
        <v>5</v>
      </c>
      <c r="D317" t="s">
        <v>1473</v>
      </c>
      <c r="E317" t="s">
        <v>1426</v>
      </c>
      <c r="F317" s="494" t="str">
        <f>IF('PLAN PRODUCTION2'!$U$42="","",'PLAN PRODUCTION2'!$U$42)</f>
        <v/>
      </c>
      <c r="G317" s="494" t="str">
        <f>IF('PLAN PRODUCTION2'!$V$42="","",'PLAN PRODUCTION2'!$V$42)</f>
        <v/>
      </c>
      <c r="H317" t="str">
        <f t="shared" ca="1" si="81"/>
        <v>Plan Date Empty</v>
      </c>
      <c r="I317" t="str">
        <f t="shared" ca="1" si="72"/>
        <v/>
      </c>
      <c r="J317" t="str">
        <f t="shared" si="73"/>
        <v/>
      </c>
      <c r="K317" t="str">
        <f t="shared" si="74"/>
        <v/>
      </c>
      <c r="L317">
        <f t="shared" si="75"/>
        <v>0</v>
      </c>
      <c r="M317">
        <f t="shared" si="76"/>
        <v>0</v>
      </c>
      <c r="N317">
        <f t="shared" si="77"/>
        <v>0</v>
      </c>
      <c r="O317">
        <f t="shared" si="78"/>
        <v>1</v>
      </c>
      <c r="P317">
        <f t="shared" ca="1" si="79"/>
        <v>0</v>
      </c>
      <c r="Q317">
        <f t="shared" ca="1" si="80"/>
        <v>0</v>
      </c>
    </row>
    <row r="318" spans="1:17" s="240" customFormat="1" x14ac:dyDescent="0.25">
      <c r="A318">
        <f t="shared" si="71"/>
        <v>317</v>
      </c>
      <c r="B318" s="240" t="s">
        <v>1816</v>
      </c>
      <c r="C318" s="555">
        <v>5</v>
      </c>
      <c r="D318" t="s">
        <v>1474</v>
      </c>
      <c r="E318" t="s">
        <v>1426</v>
      </c>
      <c r="F318" s="494" t="str">
        <f>IF('PLAN PRODUCTION2'!$W$42="","",'PLAN PRODUCTION2'!$W$42)</f>
        <v/>
      </c>
      <c r="G318" s="494" t="str">
        <f>IF('PLAN PRODUCTION2'!$X$42="","",'PLAN PRODUCTION2'!$X$42)</f>
        <v/>
      </c>
      <c r="H318" t="str">
        <f t="shared" ca="1" si="81"/>
        <v>Plan Date Empty</v>
      </c>
      <c r="I318" t="str">
        <f t="shared" ca="1" si="72"/>
        <v/>
      </c>
      <c r="J318" t="str">
        <f t="shared" si="73"/>
        <v/>
      </c>
      <c r="K318" t="str">
        <f t="shared" si="74"/>
        <v/>
      </c>
      <c r="L318">
        <f t="shared" si="75"/>
        <v>0</v>
      </c>
      <c r="M318">
        <f t="shared" si="76"/>
        <v>0</v>
      </c>
      <c r="N318">
        <f t="shared" si="77"/>
        <v>0</v>
      </c>
      <c r="O318">
        <f t="shared" si="78"/>
        <v>1</v>
      </c>
      <c r="P318">
        <f t="shared" ca="1" si="79"/>
        <v>0</v>
      </c>
      <c r="Q318">
        <f t="shared" ca="1" si="80"/>
        <v>0</v>
      </c>
    </row>
    <row r="319" spans="1:17" s="240" customFormat="1" x14ac:dyDescent="0.25">
      <c r="A319">
        <f t="shared" si="71"/>
        <v>318</v>
      </c>
      <c r="B319" s="240" t="s">
        <v>1816</v>
      </c>
      <c r="C319" s="555">
        <v>5</v>
      </c>
      <c r="D319" t="s">
        <v>1475</v>
      </c>
      <c r="E319" t="s">
        <v>1426</v>
      </c>
      <c r="F319" s="494" t="str">
        <f>IF('PLAN PRODUCTION2'!$Y$42="","",'PLAN PRODUCTION2'!$Y$42)</f>
        <v/>
      </c>
      <c r="G319" s="494" t="str">
        <f>IF('PLAN PRODUCTION2'!$Z$42="","",'PLAN PRODUCTION2'!$Z$42)</f>
        <v/>
      </c>
      <c r="H319" t="str">
        <f t="shared" ca="1" si="81"/>
        <v>Plan Date Empty</v>
      </c>
      <c r="I319" t="str">
        <f t="shared" ca="1" si="72"/>
        <v/>
      </c>
      <c r="J319" t="str">
        <f t="shared" si="73"/>
        <v/>
      </c>
      <c r="K319" t="str">
        <f t="shared" si="74"/>
        <v/>
      </c>
      <c r="L319">
        <f t="shared" si="75"/>
        <v>0</v>
      </c>
      <c r="M319">
        <f t="shared" si="76"/>
        <v>0</v>
      </c>
      <c r="N319">
        <f t="shared" si="77"/>
        <v>0</v>
      </c>
      <c r="O319">
        <f t="shared" si="78"/>
        <v>1</v>
      </c>
      <c r="P319">
        <f t="shared" ca="1" si="79"/>
        <v>0</v>
      </c>
      <c r="Q319">
        <f t="shared" ca="1" si="80"/>
        <v>0</v>
      </c>
    </row>
    <row r="320" spans="1:17" s="240" customFormat="1" x14ac:dyDescent="0.25">
      <c r="A320">
        <f t="shared" si="71"/>
        <v>319</v>
      </c>
      <c r="B320" s="240" t="s">
        <v>1816</v>
      </c>
      <c r="C320" s="555">
        <v>5</v>
      </c>
      <c r="D320" t="s">
        <v>1476</v>
      </c>
      <c r="E320" t="s">
        <v>1426</v>
      </c>
      <c r="F320" s="494" t="str">
        <f>IF('PLAN PRODUCTION2'!$AA$42="","",'PLAN PRODUCTION2'!$AA$42)</f>
        <v/>
      </c>
      <c r="G320" s="494" t="str">
        <f>IF('PLAN PRODUCTION2'!$AB$42="","",'PLAN PRODUCTION2'!$AB$42)</f>
        <v/>
      </c>
      <c r="H320" t="str">
        <f t="shared" ca="1" si="81"/>
        <v>Plan Date Empty</v>
      </c>
      <c r="I320" t="str">
        <f t="shared" ca="1" si="72"/>
        <v/>
      </c>
      <c r="J320" t="str">
        <f t="shared" si="73"/>
        <v/>
      </c>
      <c r="K320" t="str">
        <f t="shared" si="74"/>
        <v/>
      </c>
      <c r="L320">
        <f t="shared" si="75"/>
        <v>0</v>
      </c>
      <c r="M320">
        <f t="shared" si="76"/>
        <v>0</v>
      </c>
      <c r="N320">
        <f t="shared" si="77"/>
        <v>0</v>
      </c>
      <c r="O320">
        <f t="shared" si="78"/>
        <v>1</v>
      </c>
      <c r="P320">
        <f t="shared" ca="1" si="79"/>
        <v>0</v>
      </c>
      <c r="Q320">
        <f t="shared" ca="1" si="80"/>
        <v>0</v>
      </c>
    </row>
    <row r="321" spans="1:17" s="240" customFormat="1" x14ac:dyDescent="0.25">
      <c r="A321">
        <f t="shared" si="71"/>
        <v>320</v>
      </c>
      <c r="B321" s="240" t="s">
        <v>1816</v>
      </c>
      <c r="C321" s="555">
        <v>5</v>
      </c>
      <c r="D321" t="s">
        <v>1477</v>
      </c>
      <c r="E321" t="s">
        <v>1422</v>
      </c>
      <c r="F321" s="494" t="str">
        <f>IF('PLAN PRODUCTION2'!$AC$42="","",'PLAN PRODUCTION2'!$AC$42)</f>
        <v/>
      </c>
      <c r="G321" s="494" t="str">
        <f>IF('PLAN PRODUCTION2'!$AD$42="","",'PLAN PRODUCTION2'!$AD$42)</f>
        <v/>
      </c>
      <c r="H321" t="str">
        <f t="shared" ca="1" si="81"/>
        <v>Plan Date Empty</v>
      </c>
      <c r="I321" t="str">
        <f t="shared" ca="1" si="72"/>
        <v/>
      </c>
      <c r="J321" t="str">
        <f t="shared" si="73"/>
        <v/>
      </c>
      <c r="K321" t="str">
        <f t="shared" si="74"/>
        <v/>
      </c>
      <c r="L321">
        <f t="shared" si="75"/>
        <v>0</v>
      </c>
      <c r="M321">
        <f t="shared" si="76"/>
        <v>0</v>
      </c>
      <c r="N321">
        <f t="shared" si="77"/>
        <v>0</v>
      </c>
      <c r="O321">
        <f t="shared" si="78"/>
        <v>1</v>
      </c>
      <c r="P321">
        <f t="shared" ca="1" si="79"/>
        <v>0</v>
      </c>
      <c r="Q321">
        <f t="shared" ca="1" si="80"/>
        <v>0</v>
      </c>
    </row>
    <row r="322" spans="1:17" s="240" customFormat="1" x14ac:dyDescent="0.25">
      <c r="A322">
        <f t="shared" si="71"/>
        <v>321</v>
      </c>
      <c r="B322" s="240" t="s">
        <v>1816</v>
      </c>
      <c r="C322" s="555">
        <v>5</v>
      </c>
      <c r="D322" t="s">
        <v>1478</v>
      </c>
      <c r="E322" t="s">
        <v>1429</v>
      </c>
      <c r="F322" s="494" t="str">
        <f>IF('PLAN PRODUCTION2'!$AE$42="","",'PLAN PRODUCTION2'!$AE$42)</f>
        <v/>
      </c>
      <c r="G322" s="494" t="str">
        <f>IF('PLAN PRODUCTION2'!$AF$42="","",'PLAN PRODUCTION2'!$AF$42)</f>
        <v/>
      </c>
      <c r="H322" t="str">
        <f t="shared" ca="1" si="81"/>
        <v>Plan Date Empty</v>
      </c>
      <c r="I322" t="str">
        <f t="shared" ca="1" si="72"/>
        <v/>
      </c>
      <c r="J322" t="str">
        <f t="shared" si="73"/>
        <v/>
      </c>
      <c r="K322" t="str">
        <f t="shared" si="74"/>
        <v/>
      </c>
      <c r="L322">
        <f t="shared" si="75"/>
        <v>0</v>
      </c>
      <c r="M322">
        <f t="shared" si="76"/>
        <v>0</v>
      </c>
      <c r="N322">
        <f t="shared" si="77"/>
        <v>0</v>
      </c>
      <c r="O322">
        <f t="shared" si="78"/>
        <v>1</v>
      </c>
      <c r="P322">
        <f t="shared" ca="1" si="79"/>
        <v>0</v>
      </c>
      <c r="Q322">
        <f t="shared" ca="1" si="80"/>
        <v>0</v>
      </c>
    </row>
    <row r="323" spans="1:17" s="240" customFormat="1" x14ac:dyDescent="0.25">
      <c r="A323">
        <f t="shared" si="71"/>
        <v>322</v>
      </c>
      <c r="B323" s="240" t="s">
        <v>1816</v>
      </c>
      <c r="C323" s="555">
        <v>5</v>
      </c>
      <c r="D323" t="s">
        <v>1479</v>
      </c>
      <c r="E323" t="s">
        <v>1429</v>
      </c>
      <c r="F323" s="494" t="str">
        <f>IF('PLAN PRODUCTION2'!$AG$42="","",'PLAN PRODUCTION2'!$AG$42)</f>
        <v/>
      </c>
      <c r="G323" s="494" t="str">
        <f>IF('PLAN PRODUCTION2'!$AH$42="","",'PLAN PRODUCTION2'!$AH$42)</f>
        <v/>
      </c>
      <c r="H323" t="str">
        <f t="shared" ca="1" si="81"/>
        <v>Plan Date Empty</v>
      </c>
      <c r="I323" t="str">
        <f t="shared" ca="1" si="72"/>
        <v/>
      </c>
      <c r="J323" t="str">
        <f t="shared" si="73"/>
        <v/>
      </c>
      <c r="K323" t="str">
        <f t="shared" si="74"/>
        <v/>
      </c>
      <c r="L323">
        <f t="shared" si="75"/>
        <v>0</v>
      </c>
      <c r="M323">
        <f t="shared" si="76"/>
        <v>0</v>
      </c>
      <c r="N323">
        <f t="shared" si="77"/>
        <v>0</v>
      </c>
      <c r="O323">
        <f t="shared" si="78"/>
        <v>1</v>
      </c>
      <c r="P323">
        <f t="shared" ca="1" si="79"/>
        <v>0</v>
      </c>
      <c r="Q323">
        <f t="shared" ca="1" si="80"/>
        <v>0</v>
      </c>
    </row>
    <row r="324" spans="1:17" s="240" customFormat="1" x14ac:dyDescent="0.25">
      <c r="A324">
        <f t="shared" si="71"/>
        <v>323</v>
      </c>
      <c r="B324" s="240" t="s">
        <v>1817</v>
      </c>
      <c r="C324" s="555">
        <v>1</v>
      </c>
      <c r="D324" t="s">
        <v>1466</v>
      </c>
      <c r="E324" t="s">
        <v>1420</v>
      </c>
      <c r="F324" s="494" t="str">
        <f>IF('PLAN PRODUCTION2'!$E$43="","",'PLAN PRODUCTION2'!$E$43)</f>
        <v/>
      </c>
      <c r="G324" s="494" t="str">
        <f>IF('PLAN PRODUCTION2'!$F$43="","",'PLAN PRODUCTION2'!$F$43)</f>
        <v/>
      </c>
      <c r="H324" t="str">
        <f t="shared" ca="1" si="81"/>
        <v>Plan Date Empty</v>
      </c>
      <c r="I324" t="str">
        <f t="shared" ca="1" si="72"/>
        <v/>
      </c>
      <c r="J324" t="str">
        <f t="shared" si="73"/>
        <v/>
      </c>
      <c r="K324" t="str">
        <f t="shared" si="74"/>
        <v/>
      </c>
      <c r="L324">
        <f t="shared" si="75"/>
        <v>0</v>
      </c>
      <c r="M324">
        <f t="shared" si="76"/>
        <v>0</v>
      </c>
      <c r="N324">
        <f t="shared" si="77"/>
        <v>0</v>
      </c>
      <c r="O324">
        <f t="shared" si="78"/>
        <v>1</v>
      </c>
      <c r="P324">
        <f t="shared" ca="1" si="79"/>
        <v>0</v>
      </c>
      <c r="Q324">
        <f t="shared" ca="1" si="80"/>
        <v>0</v>
      </c>
    </row>
    <row r="325" spans="1:17" s="240" customFormat="1" x14ac:dyDescent="0.25">
      <c r="A325">
        <f t="shared" si="71"/>
        <v>324</v>
      </c>
      <c r="B325" s="240" t="s">
        <v>1817</v>
      </c>
      <c r="C325" s="555">
        <v>1</v>
      </c>
      <c r="D325" t="s">
        <v>1467</v>
      </c>
      <c r="E325" t="s">
        <v>1420</v>
      </c>
      <c r="F325" s="494" t="str">
        <f>IF('PLAN PRODUCTION2'!$I$43="","",'PLAN PRODUCTION2'!$I$43)</f>
        <v/>
      </c>
      <c r="G325" s="494" t="str">
        <f>IF('PLAN PRODUCTION2'!$J$43="","",'PLAN PRODUCTION2'!$J$43)</f>
        <v/>
      </c>
      <c r="H325" t="str">
        <f t="shared" ca="1" si="81"/>
        <v>Plan Date Empty</v>
      </c>
      <c r="I325" t="str">
        <f t="shared" ca="1" si="72"/>
        <v/>
      </c>
      <c r="J325" t="str">
        <f t="shared" si="73"/>
        <v/>
      </c>
      <c r="K325" t="str">
        <f t="shared" si="74"/>
        <v/>
      </c>
      <c r="L325">
        <f t="shared" si="75"/>
        <v>0</v>
      </c>
      <c r="M325">
        <f t="shared" si="76"/>
        <v>0</v>
      </c>
      <c r="N325">
        <f t="shared" si="77"/>
        <v>0</v>
      </c>
      <c r="O325">
        <f t="shared" si="78"/>
        <v>1</v>
      </c>
      <c r="P325">
        <f t="shared" ca="1" si="79"/>
        <v>0</v>
      </c>
      <c r="Q325">
        <f t="shared" ca="1" si="80"/>
        <v>0</v>
      </c>
    </row>
    <row r="326" spans="1:17" s="240" customFormat="1" x14ac:dyDescent="0.25">
      <c r="A326">
        <f t="shared" si="71"/>
        <v>325</v>
      </c>
      <c r="B326" s="240" t="s">
        <v>1817</v>
      </c>
      <c r="C326" s="555">
        <v>1</v>
      </c>
      <c r="D326" t="s">
        <v>1468</v>
      </c>
      <c r="E326" t="s">
        <v>1420</v>
      </c>
      <c r="F326" s="494" t="str">
        <f>IF('PLAN PRODUCTION2'!$K$43="","",'PLAN PRODUCTION2'!$K$43)</f>
        <v/>
      </c>
      <c r="G326" s="494" t="str">
        <f>IF('PLAN PRODUCTION2'!$L$43="","",'PLAN PRODUCTION2'!$L$43)</f>
        <v/>
      </c>
      <c r="H326" t="str">
        <f t="shared" ca="1" si="81"/>
        <v>Plan Date Empty</v>
      </c>
      <c r="I326" t="str">
        <f t="shared" ca="1" si="72"/>
        <v/>
      </c>
      <c r="J326" t="str">
        <f t="shared" si="73"/>
        <v/>
      </c>
      <c r="K326" t="str">
        <f t="shared" si="74"/>
        <v/>
      </c>
      <c r="L326">
        <f t="shared" si="75"/>
        <v>0</v>
      </c>
      <c r="M326">
        <f t="shared" si="76"/>
        <v>0</v>
      </c>
      <c r="N326">
        <f t="shared" si="77"/>
        <v>0</v>
      </c>
      <c r="O326">
        <f t="shared" si="78"/>
        <v>1</v>
      </c>
      <c r="P326">
        <f t="shared" ca="1" si="79"/>
        <v>0</v>
      </c>
      <c r="Q326">
        <f t="shared" ca="1" si="80"/>
        <v>0</v>
      </c>
    </row>
    <row r="327" spans="1:17" s="240" customFormat="1" x14ac:dyDescent="0.25">
      <c r="A327">
        <f t="shared" si="71"/>
        <v>326</v>
      </c>
      <c r="B327" s="240" t="s">
        <v>1817</v>
      </c>
      <c r="C327" s="555">
        <v>1</v>
      </c>
      <c r="D327" t="s">
        <v>1469</v>
      </c>
      <c r="E327" t="s">
        <v>1422</v>
      </c>
      <c r="F327" s="494" t="str">
        <f>IF('PLAN PRODUCTION2'!$M$43="","",'PLAN PRODUCTION2'!$M$43)</f>
        <v/>
      </c>
      <c r="G327" s="494" t="str">
        <f>IF('PLAN PRODUCTION2'!$N$43="","",'PLAN PRODUCTION2'!$N$43)</f>
        <v/>
      </c>
      <c r="H327" t="str">
        <f t="shared" ca="1" si="81"/>
        <v>Plan Date Empty</v>
      </c>
      <c r="I327" t="str">
        <f t="shared" ca="1" si="72"/>
        <v/>
      </c>
      <c r="J327" t="str">
        <f t="shared" si="73"/>
        <v/>
      </c>
      <c r="K327" t="str">
        <f t="shared" si="74"/>
        <v/>
      </c>
      <c r="L327">
        <f t="shared" si="75"/>
        <v>0</v>
      </c>
      <c r="M327">
        <f t="shared" si="76"/>
        <v>0</v>
      </c>
      <c r="N327">
        <f t="shared" si="77"/>
        <v>0</v>
      </c>
      <c r="O327">
        <f t="shared" si="78"/>
        <v>1</v>
      </c>
      <c r="P327">
        <f t="shared" ca="1" si="79"/>
        <v>0</v>
      </c>
      <c r="Q327">
        <f t="shared" ca="1" si="80"/>
        <v>0</v>
      </c>
    </row>
    <row r="328" spans="1:17" s="240" customFormat="1" x14ac:dyDescent="0.25">
      <c r="A328">
        <f t="shared" si="71"/>
        <v>327</v>
      </c>
      <c r="B328" s="240" t="s">
        <v>1817</v>
      </c>
      <c r="C328" s="555">
        <v>1</v>
      </c>
      <c r="D328" t="s">
        <v>1470</v>
      </c>
      <c r="E328" t="s">
        <v>1422</v>
      </c>
      <c r="F328" s="494" t="str">
        <f>IF('PLAN PRODUCTION2'!$O$43="","",'PLAN PRODUCTION2'!$O$43)</f>
        <v/>
      </c>
      <c r="G328" s="494" t="str">
        <f>IF('PLAN PRODUCTION2'!$P$43="","",'PLAN PRODUCTION2'!$P$43)</f>
        <v/>
      </c>
      <c r="H328" t="str">
        <f t="shared" ca="1" si="81"/>
        <v>Plan Date Empty</v>
      </c>
      <c r="I328" t="str">
        <f t="shared" ca="1" si="72"/>
        <v/>
      </c>
      <c r="J328" t="str">
        <f t="shared" si="73"/>
        <v/>
      </c>
      <c r="K328" t="str">
        <f t="shared" si="74"/>
        <v/>
      </c>
      <c r="L328">
        <f t="shared" si="75"/>
        <v>0</v>
      </c>
      <c r="M328">
        <f t="shared" si="76"/>
        <v>0</v>
      </c>
      <c r="N328">
        <f t="shared" si="77"/>
        <v>0</v>
      </c>
      <c r="O328">
        <f t="shared" si="78"/>
        <v>1</v>
      </c>
      <c r="P328">
        <f t="shared" ca="1" si="79"/>
        <v>0</v>
      </c>
      <c r="Q328">
        <f t="shared" ca="1" si="80"/>
        <v>0</v>
      </c>
    </row>
    <row r="329" spans="1:17" s="240" customFormat="1" x14ac:dyDescent="0.25">
      <c r="A329">
        <f t="shared" si="71"/>
        <v>328</v>
      </c>
      <c r="B329" s="240" t="s">
        <v>1817</v>
      </c>
      <c r="C329" s="555">
        <v>1</v>
      </c>
      <c r="D329" t="s">
        <v>1471</v>
      </c>
      <c r="E329" t="s">
        <v>1424</v>
      </c>
      <c r="F329" s="494" t="str">
        <f>IF('PLAN PRODUCTION2'!$Q$43="","",'PLAN PRODUCTION2'!$Q$43)</f>
        <v/>
      </c>
      <c r="G329" s="494" t="str">
        <f>IF('PLAN PRODUCTION2'!$R$43="","",'PLAN PRODUCTION2'!$R$43)</f>
        <v/>
      </c>
      <c r="H329" t="str">
        <f t="shared" ca="1" si="81"/>
        <v>Plan Date Empty</v>
      </c>
      <c r="I329" t="str">
        <f t="shared" ca="1" si="72"/>
        <v/>
      </c>
      <c r="J329" t="str">
        <f t="shared" si="73"/>
        <v/>
      </c>
      <c r="K329" t="str">
        <f t="shared" si="74"/>
        <v/>
      </c>
      <c r="L329">
        <f t="shared" si="75"/>
        <v>0</v>
      </c>
      <c r="M329">
        <f t="shared" si="76"/>
        <v>0</v>
      </c>
      <c r="N329">
        <f t="shared" si="77"/>
        <v>0</v>
      </c>
      <c r="O329">
        <f t="shared" si="78"/>
        <v>1</v>
      </c>
      <c r="P329">
        <f t="shared" ca="1" si="79"/>
        <v>0</v>
      </c>
      <c r="Q329">
        <f t="shared" ca="1" si="80"/>
        <v>0</v>
      </c>
    </row>
    <row r="330" spans="1:17" s="240" customFormat="1" x14ac:dyDescent="0.25">
      <c r="A330">
        <f t="shared" si="71"/>
        <v>329</v>
      </c>
      <c r="B330" s="240" t="s">
        <v>1817</v>
      </c>
      <c r="C330" s="555">
        <v>1</v>
      </c>
      <c r="D330" t="s">
        <v>1472</v>
      </c>
      <c r="E330" t="s">
        <v>1426</v>
      </c>
      <c r="F330" s="494" t="str">
        <f>IF('PLAN PRODUCTION2'!$S$43="","",'PLAN PRODUCTION2'!$S$43)</f>
        <v/>
      </c>
      <c r="G330" s="494" t="str">
        <f>IF('PLAN PRODUCTION2'!$T$43="","",'PLAN PRODUCTION2'!$T$43)</f>
        <v/>
      </c>
      <c r="H330" t="str">
        <f t="shared" ca="1" si="81"/>
        <v>Plan Date Empty</v>
      </c>
      <c r="I330" t="str">
        <f t="shared" ca="1" si="72"/>
        <v/>
      </c>
      <c r="J330" t="str">
        <f t="shared" si="73"/>
        <v/>
      </c>
      <c r="K330" t="str">
        <f t="shared" si="74"/>
        <v/>
      </c>
      <c r="L330">
        <f t="shared" si="75"/>
        <v>0</v>
      </c>
      <c r="M330">
        <f t="shared" si="76"/>
        <v>0</v>
      </c>
      <c r="N330">
        <f t="shared" si="77"/>
        <v>0</v>
      </c>
      <c r="O330">
        <f t="shared" si="78"/>
        <v>1</v>
      </c>
      <c r="P330">
        <f t="shared" ca="1" si="79"/>
        <v>0</v>
      </c>
      <c r="Q330">
        <f t="shared" ca="1" si="80"/>
        <v>0</v>
      </c>
    </row>
    <row r="331" spans="1:17" s="240" customFormat="1" x14ac:dyDescent="0.25">
      <c r="A331">
        <f t="shared" si="71"/>
        <v>330</v>
      </c>
      <c r="B331" s="240" t="s">
        <v>1817</v>
      </c>
      <c r="C331" s="555">
        <v>1</v>
      </c>
      <c r="D331" t="s">
        <v>1473</v>
      </c>
      <c r="E331" t="s">
        <v>1426</v>
      </c>
      <c r="F331" s="494" t="str">
        <f>IF('PLAN PRODUCTION2'!$U$43="","",'PLAN PRODUCTION2'!$U$43)</f>
        <v/>
      </c>
      <c r="G331" s="494" t="str">
        <f>IF('PLAN PRODUCTION2'!$V$43="","",'PLAN PRODUCTION2'!$V$43)</f>
        <v/>
      </c>
      <c r="H331" t="str">
        <f t="shared" ca="1" si="81"/>
        <v>Plan Date Empty</v>
      </c>
      <c r="I331" t="str">
        <f t="shared" ca="1" si="72"/>
        <v/>
      </c>
      <c r="J331" t="str">
        <f t="shared" si="73"/>
        <v/>
      </c>
      <c r="K331" t="str">
        <f t="shared" si="74"/>
        <v/>
      </c>
      <c r="L331">
        <f t="shared" si="75"/>
        <v>0</v>
      </c>
      <c r="M331">
        <f t="shared" si="76"/>
        <v>0</v>
      </c>
      <c r="N331">
        <f t="shared" si="77"/>
        <v>0</v>
      </c>
      <c r="O331">
        <f t="shared" si="78"/>
        <v>1</v>
      </c>
      <c r="P331">
        <f t="shared" ca="1" si="79"/>
        <v>0</v>
      </c>
      <c r="Q331">
        <f t="shared" ca="1" si="80"/>
        <v>0</v>
      </c>
    </row>
    <row r="332" spans="1:17" s="240" customFormat="1" x14ac:dyDescent="0.25">
      <c r="A332">
        <f t="shared" si="71"/>
        <v>331</v>
      </c>
      <c r="B332" s="240" t="s">
        <v>1817</v>
      </c>
      <c r="C332" s="555">
        <v>1</v>
      </c>
      <c r="D332" t="s">
        <v>1474</v>
      </c>
      <c r="E332" t="s">
        <v>1426</v>
      </c>
      <c r="F332" s="494" t="str">
        <f>IF('PLAN PRODUCTION2'!$W$43="","",'PLAN PRODUCTION2'!$W$43)</f>
        <v/>
      </c>
      <c r="G332" s="494" t="str">
        <f>IF('PLAN PRODUCTION2'!$X$43="","",'PLAN PRODUCTION2'!$X$43)</f>
        <v/>
      </c>
      <c r="H332" t="str">
        <f t="shared" ca="1" si="81"/>
        <v>Plan Date Empty</v>
      </c>
      <c r="I332" t="str">
        <f t="shared" ca="1" si="72"/>
        <v/>
      </c>
      <c r="J332" t="str">
        <f t="shared" si="73"/>
        <v/>
      </c>
      <c r="K332" t="str">
        <f t="shared" si="74"/>
        <v/>
      </c>
      <c r="L332">
        <f t="shared" si="75"/>
        <v>0</v>
      </c>
      <c r="M332">
        <f t="shared" si="76"/>
        <v>0</v>
      </c>
      <c r="N332">
        <f t="shared" si="77"/>
        <v>0</v>
      </c>
      <c r="O332">
        <f t="shared" si="78"/>
        <v>1</v>
      </c>
      <c r="P332">
        <f t="shared" ca="1" si="79"/>
        <v>0</v>
      </c>
      <c r="Q332">
        <f t="shared" ca="1" si="80"/>
        <v>0</v>
      </c>
    </row>
    <row r="333" spans="1:17" s="240" customFormat="1" x14ac:dyDescent="0.25">
      <c r="A333">
        <f t="shared" si="71"/>
        <v>332</v>
      </c>
      <c r="B333" s="240" t="s">
        <v>1817</v>
      </c>
      <c r="C333" s="555">
        <v>1</v>
      </c>
      <c r="D333" t="s">
        <v>1475</v>
      </c>
      <c r="E333" t="s">
        <v>1426</v>
      </c>
      <c r="F333" s="494" t="str">
        <f>IF('PLAN PRODUCTION2'!$Y$43="","",'PLAN PRODUCTION2'!$Y$43)</f>
        <v/>
      </c>
      <c r="G333" s="494" t="str">
        <f>IF('PLAN PRODUCTION2'!$Z$43="","",'PLAN PRODUCTION2'!$Z$43)</f>
        <v/>
      </c>
      <c r="H333" t="str">
        <f t="shared" ca="1" si="81"/>
        <v>Plan Date Empty</v>
      </c>
      <c r="I333" t="str">
        <f t="shared" ca="1" si="72"/>
        <v/>
      </c>
      <c r="J333" t="str">
        <f t="shared" si="73"/>
        <v/>
      </c>
      <c r="K333" t="str">
        <f t="shared" si="74"/>
        <v/>
      </c>
      <c r="L333">
        <f t="shared" si="75"/>
        <v>0</v>
      </c>
      <c r="M333">
        <f t="shared" si="76"/>
        <v>0</v>
      </c>
      <c r="N333">
        <f t="shared" si="77"/>
        <v>0</v>
      </c>
      <c r="O333">
        <f t="shared" si="78"/>
        <v>1</v>
      </c>
      <c r="P333">
        <f t="shared" ca="1" si="79"/>
        <v>0</v>
      </c>
      <c r="Q333">
        <f t="shared" ca="1" si="80"/>
        <v>0</v>
      </c>
    </row>
    <row r="334" spans="1:17" s="240" customFormat="1" x14ac:dyDescent="0.25">
      <c r="A334">
        <f t="shared" si="71"/>
        <v>333</v>
      </c>
      <c r="B334" s="240" t="s">
        <v>1817</v>
      </c>
      <c r="C334" s="555">
        <v>1</v>
      </c>
      <c r="D334" t="s">
        <v>1476</v>
      </c>
      <c r="E334" t="s">
        <v>1426</v>
      </c>
      <c r="F334" s="494" t="str">
        <f>IF('PLAN PRODUCTION2'!$AA$43="","",'PLAN PRODUCTION2'!$AA$43)</f>
        <v/>
      </c>
      <c r="G334" s="494" t="str">
        <f>IF('PLAN PRODUCTION2'!$AB$43="","",'PLAN PRODUCTION2'!$AB$43)</f>
        <v/>
      </c>
      <c r="H334" t="str">
        <f t="shared" ca="1" si="81"/>
        <v>Plan Date Empty</v>
      </c>
      <c r="I334" t="str">
        <f t="shared" ca="1" si="72"/>
        <v/>
      </c>
      <c r="J334" t="str">
        <f t="shared" si="73"/>
        <v/>
      </c>
      <c r="K334" t="str">
        <f t="shared" si="74"/>
        <v/>
      </c>
      <c r="L334">
        <f t="shared" si="75"/>
        <v>0</v>
      </c>
      <c r="M334">
        <f t="shared" si="76"/>
        <v>0</v>
      </c>
      <c r="N334">
        <f t="shared" si="77"/>
        <v>0</v>
      </c>
      <c r="O334">
        <f t="shared" si="78"/>
        <v>1</v>
      </c>
      <c r="P334">
        <f t="shared" ca="1" si="79"/>
        <v>0</v>
      </c>
      <c r="Q334">
        <f t="shared" ca="1" si="80"/>
        <v>0</v>
      </c>
    </row>
    <row r="335" spans="1:17" s="240" customFormat="1" x14ac:dyDescent="0.25">
      <c r="A335">
        <f t="shared" si="71"/>
        <v>334</v>
      </c>
      <c r="B335" s="240" t="s">
        <v>1817</v>
      </c>
      <c r="C335" s="555">
        <v>1</v>
      </c>
      <c r="D335" t="s">
        <v>1477</v>
      </c>
      <c r="E335" t="s">
        <v>1422</v>
      </c>
      <c r="F335" s="494" t="str">
        <f>IF('PLAN PRODUCTION2'!$AC$43="","",'PLAN PRODUCTION2'!$AC$43)</f>
        <v/>
      </c>
      <c r="G335" s="494" t="str">
        <f>IF('PLAN PRODUCTION2'!$AD$43="","",'PLAN PRODUCTION2'!$AD$43)</f>
        <v/>
      </c>
      <c r="H335" t="str">
        <f t="shared" ca="1" si="81"/>
        <v>Plan Date Empty</v>
      </c>
      <c r="I335" t="str">
        <f t="shared" ca="1" si="72"/>
        <v/>
      </c>
      <c r="J335" t="str">
        <f t="shared" si="73"/>
        <v/>
      </c>
      <c r="K335" t="str">
        <f t="shared" si="74"/>
        <v/>
      </c>
      <c r="L335">
        <f t="shared" si="75"/>
        <v>0</v>
      </c>
      <c r="M335">
        <f t="shared" si="76"/>
        <v>0</v>
      </c>
      <c r="N335">
        <f t="shared" si="77"/>
        <v>0</v>
      </c>
      <c r="O335">
        <f t="shared" si="78"/>
        <v>1</v>
      </c>
      <c r="P335">
        <f t="shared" ca="1" si="79"/>
        <v>0</v>
      </c>
      <c r="Q335">
        <f t="shared" ca="1" si="80"/>
        <v>0</v>
      </c>
    </row>
    <row r="336" spans="1:17" s="240" customFormat="1" x14ac:dyDescent="0.25">
      <c r="A336">
        <f t="shared" si="71"/>
        <v>335</v>
      </c>
      <c r="B336" s="240" t="s">
        <v>1817</v>
      </c>
      <c r="C336" s="555">
        <v>1</v>
      </c>
      <c r="D336" t="s">
        <v>1478</v>
      </c>
      <c r="E336" t="s">
        <v>1429</v>
      </c>
      <c r="F336" s="494" t="str">
        <f>IF('PLAN PRODUCTION2'!$AE$43="","",'PLAN PRODUCTION2'!$AE$43)</f>
        <v/>
      </c>
      <c r="G336" s="494" t="str">
        <f>IF('PLAN PRODUCTION2'!$AF$43="","",'PLAN PRODUCTION2'!$AF$43)</f>
        <v/>
      </c>
      <c r="H336" t="str">
        <f t="shared" ca="1" si="81"/>
        <v>Plan Date Empty</v>
      </c>
      <c r="I336" t="str">
        <f t="shared" ca="1" si="72"/>
        <v/>
      </c>
      <c r="J336" t="str">
        <f t="shared" si="73"/>
        <v/>
      </c>
      <c r="K336" t="str">
        <f t="shared" si="74"/>
        <v/>
      </c>
      <c r="L336">
        <f t="shared" si="75"/>
        <v>0</v>
      </c>
      <c r="M336">
        <f t="shared" si="76"/>
        <v>0</v>
      </c>
      <c r="N336">
        <f t="shared" si="77"/>
        <v>0</v>
      </c>
      <c r="O336">
        <f t="shared" si="78"/>
        <v>1</v>
      </c>
      <c r="P336">
        <f t="shared" ca="1" si="79"/>
        <v>0</v>
      </c>
      <c r="Q336">
        <f t="shared" ca="1" si="80"/>
        <v>0</v>
      </c>
    </row>
    <row r="337" spans="1:17" s="240" customFormat="1" x14ac:dyDescent="0.25">
      <c r="A337">
        <f t="shared" si="71"/>
        <v>336</v>
      </c>
      <c r="B337" s="240" t="s">
        <v>1817</v>
      </c>
      <c r="C337" s="555">
        <v>1</v>
      </c>
      <c r="D337" t="s">
        <v>1479</v>
      </c>
      <c r="E337" t="s">
        <v>1429</v>
      </c>
      <c r="F337" s="494" t="str">
        <f>IF('PLAN PRODUCTION2'!$AG$43="","",'PLAN PRODUCTION2'!$AG$43)</f>
        <v/>
      </c>
      <c r="G337" s="494" t="str">
        <f>IF('PLAN PRODUCTION2'!$AH$43="","",'PLAN PRODUCTION2'!$AH$43)</f>
        <v/>
      </c>
      <c r="H337" t="str">
        <f t="shared" ca="1" si="81"/>
        <v>Plan Date Empty</v>
      </c>
      <c r="I337" t="str">
        <f t="shared" ca="1" si="72"/>
        <v/>
      </c>
      <c r="J337" t="str">
        <f t="shared" si="73"/>
        <v/>
      </c>
      <c r="K337" t="str">
        <f t="shared" si="74"/>
        <v/>
      </c>
      <c r="L337">
        <f t="shared" si="75"/>
        <v>0</v>
      </c>
      <c r="M337">
        <f t="shared" si="76"/>
        <v>0</v>
      </c>
      <c r="N337">
        <f t="shared" si="77"/>
        <v>0</v>
      </c>
      <c r="O337">
        <f t="shared" si="78"/>
        <v>1</v>
      </c>
      <c r="P337">
        <f t="shared" ca="1" si="79"/>
        <v>0</v>
      </c>
      <c r="Q337">
        <f t="shared" ca="1" si="80"/>
        <v>0</v>
      </c>
    </row>
    <row r="338" spans="1:17" s="240" customFormat="1" x14ac:dyDescent="0.25">
      <c r="A338">
        <f t="shared" si="71"/>
        <v>337</v>
      </c>
      <c r="B338" s="240" t="s">
        <v>1818</v>
      </c>
      <c r="C338" s="555">
        <v>19</v>
      </c>
      <c r="D338" t="s">
        <v>1466</v>
      </c>
      <c r="E338" t="s">
        <v>1420</v>
      </c>
      <c r="F338" s="494" t="str">
        <f>IF('PLAN PRODUCTION2'!$E$44="","",'PLAN PRODUCTION2'!$E$44)</f>
        <v/>
      </c>
      <c r="G338" s="494" t="str">
        <f>IF('PLAN PRODUCTION2'!$F$44="","",'PLAN PRODUCTION2'!$F$44)</f>
        <v/>
      </c>
      <c r="H338" t="str">
        <f t="shared" ca="1" si="81"/>
        <v>Plan Date Empty</v>
      </c>
      <c r="I338" t="str">
        <f t="shared" ca="1" si="72"/>
        <v/>
      </c>
      <c r="J338" t="str">
        <f t="shared" si="73"/>
        <v/>
      </c>
      <c r="K338" t="str">
        <f t="shared" si="74"/>
        <v/>
      </c>
      <c r="L338">
        <f t="shared" si="75"/>
        <v>0</v>
      </c>
      <c r="M338">
        <f t="shared" si="76"/>
        <v>0</v>
      </c>
      <c r="N338">
        <f t="shared" si="77"/>
        <v>0</v>
      </c>
      <c r="O338">
        <f t="shared" si="78"/>
        <v>1</v>
      </c>
      <c r="P338">
        <f t="shared" ca="1" si="79"/>
        <v>0</v>
      </c>
      <c r="Q338">
        <f t="shared" ca="1" si="80"/>
        <v>0</v>
      </c>
    </row>
    <row r="339" spans="1:17" s="240" customFormat="1" x14ac:dyDescent="0.25">
      <c r="A339">
        <f t="shared" si="71"/>
        <v>338</v>
      </c>
      <c r="B339" s="240" t="s">
        <v>1818</v>
      </c>
      <c r="C339" s="555">
        <v>19</v>
      </c>
      <c r="D339" t="s">
        <v>1467</v>
      </c>
      <c r="E339" t="s">
        <v>1420</v>
      </c>
      <c r="F339" s="494" t="str">
        <f>IF('PLAN PRODUCTION2'!$I$44="","",'PLAN PRODUCTION2'!$I$44)</f>
        <v/>
      </c>
      <c r="G339" s="494" t="str">
        <f>IF('PLAN PRODUCTION2'!$J$44="","",'PLAN PRODUCTION2'!$J$44)</f>
        <v/>
      </c>
      <c r="H339" t="str">
        <f t="shared" ca="1" si="81"/>
        <v>Plan Date Empty</v>
      </c>
      <c r="I339" t="str">
        <f t="shared" ca="1" si="72"/>
        <v/>
      </c>
      <c r="J339" t="str">
        <f t="shared" si="73"/>
        <v/>
      </c>
      <c r="K339" t="str">
        <f t="shared" si="74"/>
        <v/>
      </c>
      <c r="L339">
        <f t="shared" si="75"/>
        <v>0</v>
      </c>
      <c r="M339">
        <f t="shared" si="76"/>
        <v>0</v>
      </c>
      <c r="N339">
        <f t="shared" si="77"/>
        <v>0</v>
      </c>
      <c r="O339">
        <f t="shared" si="78"/>
        <v>1</v>
      </c>
      <c r="P339">
        <f t="shared" ca="1" si="79"/>
        <v>0</v>
      </c>
      <c r="Q339">
        <f t="shared" ca="1" si="80"/>
        <v>0</v>
      </c>
    </row>
    <row r="340" spans="1:17" s="240" customFormat="1" x14ac:dyDescent="0.25">
      <c r="A340">
        <f t="shared" si="71"/>
        <v>339</v>
      </c>
      <c r="B340" s="240" t="s">
        <v>1818</v>
      </c>
      <c r="C340" s="555">
        <v>19</v>
      </c>
      <c r="D340" t="s">
        <v>1468</v>
      </c>
      <c r="E340" t="s">
        <v>1420</v>
      </c>
      <c r="F340" s="494" t="str">
        <f>IF('PLAN PRODUCTION2'!$K$44="","",'PLAN PRODUCTION2'!$K$44)</f>
        <v/>
      </c>
      <c r="G340" s="494" t="str">
        <f>IF('PLAN PRODUCTION2'!$L$44="","",'PLAN PRODUCTION2'!$L$44)</f>
        <v/>
      </c>
      <c r="H340" t="str">
        <f t="shared" ca="1" si="81"/>
        <v>Plan Date Empty</v>
      </c>
      <c r="I340" t="str">
        <f t="shared" ca="1" si="72"/>
        <v/>
      </c>
      <c r="J340" t="str">
        <f t="shared" si="73"/>
        <v/>
      </c>
      <c r="K340" t="str">
        <f t="shared" si="74"/>
        <v/>
      </c>
      <c r="L340">
        <f t="shared" si="75"/>
        <v>0</v>
      </c>
      <c r="M340">
        <f t="shared" si="76"/>
        <v>0</v>
      </c>
      <c r="N340">
        <f t="shared" si="77"/>
        <v>0</v>
      </c>
      <c r="O340">
        <f t="shared" si="78"/>
        <v>1</v>
      </c>
      <c r="P340">
        <f t="shared" ca="1" si="79"/>
        <v>0</v>
      </c>
      <c r="Q340">
        <f t="shared" ca="1" si="80"/>
        <v>0</v>
      </c>
    </row>
    <row r="341" spans="1:17" s="240" customFormat="1" x14ac:dyDescent="0.25">
      <c r="A341">
        <f t="shared" si="71"/>
        <v>340</v>
      </c>
      <c r="B341" s="240" t="s">
        <v>1818</v>
      </c>
      <c r="C341" s="555">
        <v>19</v>
      </c>
      <c r="D341" t="s">
        <v>1469</v>
      </c>
      <c r="E341" t="s">
        <v>1422</v>
      </c>
      <c r="F341" s="494" t="str">
        <f>IF('PLAN PRODUCTION2'!$M$44="","",'PLAN PRODUCTION2'!$M$44)</f>
        <v/>
      </c>
      <c r="G341" s="494" t="str">
        <f>IF('PLAN PRODUCTION2'!$N$44="","",'PLAN PRODUCTION2'!$N$44)</f>
        <v/>
      </c>
      <c r="H341" t="str">
        <f t="shared" ca="1" si="81"/>
        <v>Plan Date Empty</v>
      </c>
      <c r="I341" t="str">
        <f t="shared" ca="1" si="72"/>
        <v/>
      </c>
      <c r="J341" t="str">
        <f t="shared" si="73"/>
        <v/>
      </c>
      <c r="K341" t="str">
        <f t="shared" si="74"/>
        <v/>
      </c>
      <c r="L341">
        <f t="shared" si="75"/>
        <v>0</v>
      </c>
      <c r="M341">
        <f t="shared" si="76"/>
        <v>0</v>
      </c>
      <c r="N341">
        <f t="shared" si="77"/>
        <v>0</v>
      </c>
      <c r="O341">
        <f t="shared" si="78"/>
        <v>1</v>
      </c>
      <c r="P341">
        <f t="shared" ca="1" si="79"/>
        <v>0</v>
      </c>
      <c r="Q341">
        <f t="shared" ca="1" si="80"/>
        <v>0</v>
      </c>
    </row>
    <row r="342" spans="1:17" s="240" customFormat="1" x14ac:dyDescent="0.25">
      <c r="A342">
        <f t="shared" si="71"/>
        <v>341</v>
      </c>
      <c r="B342" s="240" t="s">
        <v>1818</v>
      </c>
      <c r="C342" s="555">
        <v>19</v>
      </c>
      <c r="D342" t="s">
        <v>1470</v>
      </c>
      <c r="E342" t="s">
        <v>1422</v>
      </c>
      <c r="F342" s="494" t="str">
        <f>IF('PLAN PRODUCTION2'!$O$44="","",'PLAN PRODUCTION2'!$O$44)</f>
        <v/>
      </c>
      <c r="G342" s="494" t="str">
        <f>IF('PLAN PRODUCTION2'!$P$44="","",'PLAN PRODUCTION2'!$P$44)</f>
        <v/>
      </c>
      <c r="H342" t="str">
        <f t="shared" ca="1" si="81"/>
        <v>Plan Date Empty</v>
      </c>
      <c r="I342" t="str">
        <f t="shared" ca="1" si="72"/>
        <v/>
      </c>
      <c r="J342" t="str">
        <f t="shared" si="73"/>
        <v/>
      </c>
      <c r="K342" t="str">
        <f t="shared" si="74"/>
        <v/>
      </c>
      <c r="L342">
        <f t="shared" si="75"/>
        <v>0</v>
      </c>
      <c r="M342">
        <f t="shared" si="76"/>
        <v>0</v>
      </c>
      <c r="N342">
        <f t="shared" si="77"/>
        <v>0</v>
      </c>
      <c r="O342">
        <f t="shared" si="78"/>
        <v>1</v>
      </c>
      <c r="P342">
        <f t="shared" ca="1" si="79"/>
        <v>0</v>
      </c>
      <c r="Q342">
        <f t="shared" ca="1" si="80"/>
        <v>0</v>
      </c>
    </row>
    <row r="343" spans="1:17" s="240" customFormat="1" x14ac:dyDescent="0.25">
      <c r="A343">
        <f t="shared" si="71"/>
        <v>342</v>
      </c>
      <c r="B343" s="240" t="s">
        <v>1818</v>
      </c>
      <c r="C343" s="555">
        <v>19</v>
      </c>
      <c r="D343" t="s">
        <v>1471</v>
      </c>
      <c r="E343" t="s">
        <v>1424</v>
      </c>
      <c r="F343" s="494" t="str">
        <f>IF('PLAN PRODUCTION2'!$Q$44="","",'PLAN PRODUCTION2'!$Q$44)</f>
        <v/>
      </c>
      <c r="G343" s="494" t="str">
        <f>IF('PLAN PRODUCTION2'!$R$44="","",'PLAN PRODUCTION2'!$R$44)</f>
        <v/>
      </c>
      <c r="H343" t="str">
        <f t="shared" ca="1" si="81"/>
        <v>Plan Date Empty</v>
      </c>
      <c r="I343" t="str">
        <f t="shared" ca="1" si="72"/>
        <v/>
      </c>
      <c r="J343" t="str">
        <f t="shared" si="73"/>
        <v/>
      </c>
      <c r="K343" t="str">
        <f t="shared" si="74"/>
        <v/>
      </c>
      <c r="L343">
        <f t="shared" si="75"/>
        <v>0</v>
      </c>
      <c r="M343">
        <f t="shared" si="76"/>
        <v>0</v>
      </c>
      <c r="N343">
        <f t="shared" si="77"/>
        <v>0</v>
      </c>
      <c r="O343">
        <f t="shared" si="78"/>
        <v>1</v>
      </c>
      <c r="P343">
        <f t="shared" ca="1" si="79"/>
        <v>0</v>
      </c>
      <c r="Q343">
        <f t="shared" ca="1" si="80"/>
        <v>0</v>
      </c>
    </row>
    <row r="344" spans="1:17" s="240" customFormat="1" x14ac:dyDescent="0.25">
      <c r="A344">
        <f t="shared" si="71"/>
        <v>343</v>
      </c>
      <c r="B344" s="240" t="s">
        <v>1818</v>
      </c>
      <c r="C344" s="555">
        <v>19</v>
      </c>
      <c r="D344" t="s">
        <v>1472</v>
      </c>
      <c r="E344" t="s">
        <v>1426</v>
      </c>
      <c r="F344" s="494" t="str">
        <f>IF('PLAN PRODUCTION2'!$S$44="","",'PLAN PRODUCTION2'!$S$44)</f>
        <v/>
      </c>
      <c r="G344" s="494" t="str">
        <f>IF('PLAN PRODUCTION2'!$T$44="","",'PLAN PRODUCTION2'!$T$44)</f>
        <v/>
      </c>
      <c r="H344" t="str">
        <f t="shared" ca="1" si="81"/>
        <v>Plan Date Empty</v>
      </c>
      <c r="I344" t="str">
        <f t="shared" ca="1" si="72"/>
        <v/>
      </c>
      <c r="J344" t="str">
        <f t="shared" si="73"/>
        <v/>
      </c>
      <c r="K344" t="str">
        <f t="shared" si="74"/>
        <v/>
      </c>
      <c r="L344">
        <f t="shared" si="75"/>
        <v>0</v>
      </c>
      <c r="M344">
        <f t="shared" si="76"/>
        <v>0</v>
      </c>
      <c r="N344">
        <f t="shared" si="77"/>
        <v>0</v>
      </c>
      <c r="O344">
        <f t="shared" si="78"/>
        <v>1</v>
      </c>
      <c r="P344">
        <f t="shared" ca="1" si="79"/>
        <v>0</v>
      </c>
      <c r="Q344">
        <f t="shared" ca="1" si="80"/>
        <v>0</v>
      </c>
    </row>
    <row r="345" spans="1:17" s="240" customFormat="1" x14ac:dyDescent="0.25">
      <c r="A345">
        <f t="shared" si="71"/>
        <v>344</v>
      </c>
      <c r="B345" s="240" t="s">
        <v>1818</v>
      </c>
      <c r="C345" s="555">
        <v>19</v>
      </c>
      <c r="D345" t="s">
        <v>1473</v>
      </c>
      <c r="E345" t="s">
        <v>1426</v>
      </c>
      <c r="F345" s="494" t="str">
        <f>IF('PLAN PRODUCTION2'!$U$44="","",'PLAN PRODUCTION2'!$U$44)</f>
        <v/>
      </c>
      <c r="G345" s="494" t="str">
        <f>IF('PLAN PRODUCTION2'!$V$44="","",'PLAN PRODUCTION2'!$V$44)</f>
        <v/>
      </c>
      <c r="H345" t="str">
        <f t="shared" ca="1" si="81"/>
        <v>Plan Date Empty</v>
      </c>
      <c r="I345" t="str">
        <f t="shared" ca="1" si="72"/>
        <v/>
      </c>
      <c r="J345" t="str">
        <f t="shared" si="73"/>
        <v/>
      </c>
      <c r="K345" t="str">
        <f t="shared" si="74"/>
        <v/>
      </c>
      <c r="L345">
        <f t="shared" si="75"/>
        <v>0</v>
      </c>
      <c r="M345">
        <f t="shared" si="76"/>
        <v>0</v>
      </c>
      <c r="N345">
        <f t="shared" si="77"/>
        <v>0</v>
      </c>
      <c r="O345">
        <f t="shared" si="78"/>
        <v>1</v>
      </c>
      <c r="P345">
        <f t="shared" ca="1" si="79"/>
        <v>0</v>
      </c>
      <c r="Q345">
        <f t="shared" ca="1" si="80"/>
        <v>0</v>
      </c>
    </row>
    <row r="346" spans="1:17" s="240" customFormat="1" x14ac:dyDescent="0.25">
      <c r="A346">
        <f t="shared" si="71"/>
        <v>345</v>
      </c>
      <c r="B346" s="240" t="s">
        <v>1818</v>
      </c>
      <c r="C346" s="555">
        <v>19</v>
      </c>
      <c r="D346" t="s">
        <v>1474</v>
      </c>
      <c r="E346" t="s">
        <v>1426</v>
      </c>
      <c r="F346" s="494" t="str">
        <f>IF('PLAN PRODUCTION2'!$W$44="","",'PLAN PRODUCTION2'!$W$44)</f>
        <v/>
      </c>
      <c r="G346" s="494" t="str">
        <f>IF('PLAN PRODUCTION2'!$X$44="","",'PLAN PRODUCTION2'!$X$44)</f>
        <v/>
      </c>
      <c r="H346" t="str">
        <f t="shared" ca="1" si="81"/>
        <v>Plan Date Empty</v>
      </c>
      <c r="I346" t="str">
        <f t="shared" ca="1" si="72"/>
        <v/>
      </c>
      <c r="J346" t="str">
        <f t="shared" si="73"/>
        <v/>
      </c>
      <c r="K346" t="str">
        <f t="shared" si="74"/>
        <v/>
      </c>
      <c r="L346">
        <f t="shared" si="75"/>
        <v>0</v>
      </c>
      <c r="M346">
        <f t="shared" si="76"/>
        <v>0</v>
      </c>
      <c r="N346">
        <f t="shared" si="77"/>
        <v>0</v>
      </c>
      <c r="O346">
        <f t="shared" si="78"/>
        <v>1</v>
      </c>
      <c r="P346">
        <f t="shared" ca="1" si="79"/>
        <v>0</v>
      </c>
      <c r="Q346">
        <f t="shared" ca="1" si="80"/>
        <v>0</v>
      </c>
    </row>
    <row r="347" spans="1:17" s="240" customFormat="1" x14ac:dyDescent="0.25">
      <c r="A347">
        <f t="shared" si="71"/>
        <v>346</v>
      </c>
      <c r="B347" s="240" t="s">
        <v>1818</v>
      </c>
      <c r="C347" s="555">
        <v>19</v>
      </c>
      <c r="D347" t="s">
        <v>1475</v>
      </c>
      <c r="E347" t="s">
        <v>1426</v>
      </c>
      <c r="F347" s="494" t="str">
        <f>IF('PLAN PRODUCTION2'!$Y$44="","",'PLAN PRODUCTION2'!$Y$44)</f>
        <v/>
      </c>
      <c r="G347" s="494" t="str">
        <f>IF('PLAN PRODUCTION2'!$Z$44="","",'PLAN PRODUCTION2'!$Z$44)</f>
        <v/>
      </c>
      <c r="H347" t="str">
        <f t="shared" ca="1" si="81"/>
        <v>Plan Date Empty</v>
      </c>
      <c r="I347" t="str">
        <f t="shared" ca="1" si="72"/>
        <v/>
      </c>
      <c r="J347" t="str">
        <f t="shared" si="73"/>
        <v/>
      </c>
      <c r="K347" t="str">
        <f t="shared" si="74"/>
        <v/>
      </c>
      <c r="L347">
        <f t="shared" si="75"/>
        <v>0</v>
      </c>
      <c r="M347">
        <f t="shared" si="76"/>
        <v>0</v>
      </c>
      <c r="N347">
        <f t="shared" si="77"/>
        <v>0</v>
      </c>
      <c r="O347">
        <f t="shared" si="78"/>
        <v>1</v>
      </c>
      <c r="P347">
        <f t="shared" ca="1" si="79"/>
        <v>0</v>
      </c>
      <c r="Q347">
        <f t="shared" ca="1" si="80"/>
        <v>0</v>
      </c>
    </row>
    <row r="348" spans="1:17" s="240" customFormat="1" x14ac:dyDescent="0.25">
      <c r="A348">
        <f t="shared" si="71"/>
        <v>347</v>
      </c>
      <c r="B348" s="240" t="s">
        <v>1818</v>
      </c>
      <c r="C348" s="555">
        <v>19</v>
      </c>
      <c r="D348" t="s">
        <v>1476</v>
      </c>
      <c r="E348" t="s">
        <v>1426</v>
      </c>
      <c r="F348" s="494" t="str">
        <f>IF('PLAN PRODUCTION2'!$AA$44="","",'PLAN PRODUCTION2'!$AA$44)</f>
        <v/>
      </c>
      <c r="G348" s="494" t="str">
        <f>IF('PLAN PRODUCTION2'!$AB$44="","",'PLAN PRODUCTION2'!$AB$44)</f>
        <v/>
      </c>
      <c r="H348" t="str">
        <f t="shared" ca="1" si="81"/>
        <v>Plan Date Empty</v>
      </c>
      <c r="I348" t="str">
        <f t="shared" ca="1" si="72"/>
        <v/>
      </c>
      <c r="J348" t="str">
        <f t="shared" si="73"/>
        <v/>
      </c>
      <c r="K348" t="str">
        <f t="shared" si="74"/>
        <v/>
      </c>
      <c r="L348">
        <f t="shared" si="75"/>
        <v>0</v>
      </c>
      <c r="M348">
        <f t="shared" si="76"/>
        <v>0</v>
      </c>
      <c r="N348">
        <f t="shared" si="77"/>
        <v>0</v>
      </c>
      <c r="O348">
        <f t="shared" si="78"/>
        <v>1</v>
      </c>
      <c r="P348">
        <f t="shared" ca="1" si="79"/>
        <v>0</v>
      </c>
      <c r="Q348">
        <f t="shared" ca="1" si="80"/>
        <v>0</v>
      </c>
    </row>
    <row r="349" spans="1:17" s="240" customFormat="1" x14ac:dyDescent="0.25">
      <c r="A349">
        <f t="shared" si="71"/>
        <v>348</v>
      </c>
      <c r="B349" s="240" t="s">
        <v>1818</v>
      </c>
      <c r="C349" s="555">
        <v>19</v>
      </c>
      <c r="D349" t="s">
        <v>1477</v>
      </c>
      <c r="E349" t="s">
        <v>1422</v>
      </c>
      <c r="F349" s="494" t="str">
        <f>IF('PLAN PRODUCTION2'!$AC$44="","",'PLAN PRODUCTION2'!$AC$44)</f>
        <v/>
      </c>
      <c r="G349" s="494" t="str">
        <f>IF('PLAN PRODUCTION2'!$AD$44="","",'PLAN PRODUCTION2'!$AD$44)</f>
        <v/>
      </c>
      <c r="H349" t="str">
        <f t="shared" ca="1" si="81"/>
        <v>Plan Date Empty</v>
      </c>
      <c r="I349" t="str">
        <f t="shared" ca="1" si="72"/>
        <v/>
      </c>
      <c r="J349" t="str">
        <f t="shared" si="73"/>
        <v/>
      </c>
      <c r="K349" t="str">
        <f t="shared" si="74"/>
        <v/>
      </c>
      <c r="L349">
        <f t="shared" si="75"/>
        <v>0</v>
      </c>
      <c r="M349">
        <f t="shared" si="76"/>
        <v>0</v>
      </c>
      <c r="N349">
        <f t="shared" si="77"/>
        <v>0</v>
      </c>
      <c r="O349">
        <f t="shared" si="78"/>
        <v>1</v>
      </c>
      <c r="P349">
        <f t="shared" ca="1" si="79"/>
        <v>0</v>
      </c>
      <c r="Q349">
        <f t="shared" ca="1" si="80"/>
        <v>0</v>
      </c>
    </row>
    <row r="350" spans="1:17" s="240" customFormat="1" x14ac:dyDescent="0.25">
      <c r="A350">
        <f t="shared" si="71"/>
        <v>349</v>
      </c>
      <c r="B350" s="240" t="s">
        <v>1818</v>
      </c>
      <c r="C350" s="555">
        <v>19</v>
      </c>
      <c r="D350" t="s">
        <v>1478</v>
      </c>
      <c r="E350" t="s">
        <v>1429</v>
      </c>
      <c r="F350" s="494" t="str">
        <f>IF('PLAN PRODUCTION2'!$AE$44="","",'PLAN PRODUCTION2'!$AE$44)</f>
        <v/>
      </c>
      <c r="G350" s="494" t="str">
        <f>IF('PLAN PRODUCTION2'!$AF$44="","",'PLAN PRODUCTION2'!$AF$44)</f>
        <v/>
      </c>
      <c r="H350" t="str">
        <f t="shared" ca="1" si="81"/>
        <v>Plan Date Empty</v>
      </c>
      <c r="I350" t="str">
        <f t="shared" ca="1" si="72"/>
        <v/>
      </c>
      <c r="J350" t="str">
        <f t="shared" si="73"/>
        <v/>
      </c>
      <c r="K350" t="str">
        <f t="shared" si="74"/>
        <v/>
      </c>
      <c r="L350">
        <f t="shared" si="75"/>
        <v>0</v>
      </c>
      <c r="M350">
        <f t="shared" si="76"/>
        <v>0</v>
      </c>
      <c r="N350">
        <f t="shared" si="77"/>
        <v>0</v>
      </c>
      <c r="O350">
        <f t="shared" si="78"/>
        <v>1</v>
      </c>
      <c r="P350">
        <f t="shared" ca="1" si="79"/>
        <v>0</v>
      </c>
      <c r="Q350">
        <f t="shared" ca="1" si="80"/>
        <v>0</v>
      </c>
    </row>
    <row r="351" spans="1:17" s="240" customFormat="1" x14ac:dyDescent="0.25">
      <c r="A351">
        <f t="shared" si="71"/>
        <v>350</v>
      </c>
      <c r="B351" s="240" t="s">
        <v>1818</v>
      </c>
      <c r="C351" s="555">
        <v>19</v>
      </c>
      <c r="D351" t="s">
        <v>1479</v>
      </c>
      <c r="E351" t="s">
        <v>1429</v>
      </c>
      <c r="F351" s="494" t="str">
        <f>IF('PLAN PRODUCTION2'!$AG$44="","",'PLAN PRODUCTION2'!$AG$44)</f>
        <v/>
      </c>
      <c r="G351" s="494" t="str">
        <f>IF('PLAN PRODUCTION2'!$AH$44="","",'PLAN PRODUCTION2'!$AH$44)</f>
        <v/>
      </c>
      <c r="H351" t="str">
        <f t="shared" ca="1" si="81"/>
        <v>Plan Date Empty</v>
      </c>
      <c r="I351" t="str">
        <f t="shared" ca="1" si="72"/>
        <v/>
      </c>
      <c r="J351" t="str">
        <f t="shared" si="73"/>
        <v/>
      </c>
      <c r="K351" t="str">
        <f t="shared" si="74"/>
        <v/>
      </c>
      <c r="L351">
        <f t="shared" si="75"/>
        <v>0</v>
      </c>
      <c r="M351">
        <f t="shared" si="76"/>
        <v>0</v>
      </c>
      <c r="N351">
        <f t="shared" si="77"/>
        <v>0</v>
      </c>
      <c r="O351">
        <f t="shared" si="78"/>
        <v>1</v>
      </c>
      <c r="P351">
        <f t="shared" ca="1" si="79"/>
        <v>0</v>
      </c>
      <c r="Q351">
        <f t="shared" ca="1" si="80"/>
        <v>0</v>
      </c>
    </row>
    <row r="352" spans="1:17" s="240" customFormat="1" x14ac:dyDescent="0.25">
      <c r="A352">
        <f t="shared" si="71"/>
        <v>351</v>
      </c>
      <c r="B352" s="240" t="s">
        <v>1819</v>
      </c>
      <c r="C352" s="555">
        <v>7</v>
      </c>
      <c r="D352" t="s">
        <v>1466</v>
      </c>
      <c r="E352" t="s">
        <v>1420</v>
      </c>
      <c r="F352" s="494" t="str">
        <f>IF('PLAN PRODUCTION2'!$E$45="","",'PLAN PRODUCTION2'!$E$45)</f>
        <v/>
      </c>
      <c r="G352" s="494" t="str">
        <f>IF('PLAN PRODUCTION2'!$F$45="","",'PLAN PRODUCTION2'!$F$45)</f>
        <v/>
      </c>
      <c r="H352" t="str">
        <f t="shared" ca="1" si="81"/>
        <v>Plan Date Empty</v>
      </c>
      <c r="I352" t="str">
        <f t="shared" ca="1" si="72"/>
        <v/>
      </c>
      <c r="J352" t="str">
        <f t="shared" si="73"/>
        <v/>
      </c>
      <c r="K352" t="str">
        <f t="shared" si="74"/>
        <v/>
      </c>
      <c r="L352">
        <f t="shared" si="75"/>
        <v>0</v>
      </c>
      <c r="M352">
        <f t="shared" si="76"/>
        <v>0</v>
      </c>
      <c r="N352">
        <f t="shared" si="77"/>
        <v>0</v>
      </c>
      <c r="O352">
        <f t="shared" si="78"/>
        <v>1</v>
      </c>
      <c r="P352">
        <f t="shared" ca="1" si="79"/>
        <v>0</v>
      </c>
      <c r="Q352">
        <f t="shared" ca="1" si="80"/>
        <v>0</v>
      </c>
    </row>
    <row r="353" spans="1:17" s="240" customFormat="1" x14ac:dyDescent="0.25">
      <c r="A353">
        <f t="shared" si="71"/>
        <v>352</v>
      </c>
      <c r="B353" s="240" t="s">
        <v>1819</v>
      </c>
      <c r="C353" s="555">
        <v>7</v>
      </c>
      <c r="D353" t="s">
        <v>1467</v>
      </c>
      <c r="E353" t="s">
        <v>1420</v>
      </c>
      <c r="F353" s="494" t="str">
        <f>IF('PLAN PRODUCTION2'!$I$45="","",'PLAN PRODUCTION2'!$I$45)</f>
        <v/>
      </c>
      <c r="G353" s="494" t="str">
        <f>IF('PLAN PRODUCTION2'!$J$45="","",'PLAN PRODUCTION2'!$J$45)</f>
        <v/>
      </c>
      <c r="H353" t="str">
        <f t="shared" ca="1" si="81"/>
        <v>Plan Date Empty</v>
      </c>
      <c r="I353" t="str">
        <f t="shared" ca="1" si="72"/>
        <v/>
      </c>
      <c r="J353" t="str">
        <f t="shared" si="73"/>
        <v/>
      </c>
      <c r="K353" t="str">
        <f t="shared" si="74"/>
        <v/>
      </c>
      <c r="L353">
        <f t="shared" si="75"/>
        <v>0</v>
      </c>
      <c r="M353">
        <f t="shared" si="76"/>
        <v>0</v>
      </c>
      <c r="N353">
        <f t="shared" si="77"/>
        <v>0</v>
      </c>
      <c r="O353">
        <f t="shared" si="78"/>
        <v>1</v>
      </c>
      <c r="P353">
        <f t="shared" ca="1" si="79"/>
        <v>0</v>
      </c>
      <c r="Q353">
        <f t="shared" ca="1" si="80"/>
        <v>0</v>
      </c>
    </row>
    <row r="354" spans="1:17" s="240" customFormat="1" x14ac:dyDescent="0.25">
      <c r="A354">
        <f t="shared" si="71"/>
        <v>353</v>
      </c>
      <c r="B354" s="240" t="s">
        <v>1819</v>
      </c>
      <c r="C354" s="555">
        <v>7</v>
      </c>
      <c r="D354" t="s">
        <v>1468</v>
      </c>
      <c r="E354" t="s">
        <v>1420</v>
      </c>
      <c r="F354" s="494" t="str">
        <f>IF('PLAN PRODUCTION2'!$K$45="","",'PLAN PRODUCTION2'!$K$45)</f>
        <v/>
      </c>
      <c r="G354" s="494" t="str">
        <f>IF('PLAN PRODUCTION2'!$L$45="","",'PLAN PRODUCTION2'!$L$45)</f>
        <v/>
      </c>
      <c r="H354" t="str">
        <f t="shared" ca="1" si="81"/>
        <v>Plan Date Empty</v>
      </c>
      <c r="I354" t="str">
        <f t="shared" ca="1" si="72"/>
        <v/>
      </c>
      <c r="J354" t="str">
        <f t="shared" si="73"/>
        <v/>
      </c>
      <c r="K354" t="str">
        <f t="shared" si="74"/>
        <v/>
      </c>
      <c r="L354">
        <f t="shared" si="75"/>
        <v>0</v>
      </c>
      <c r="M354">
        <f t="shared" si="76"/>
        <v>0</v>
      </c>
      <c r="N354">
        <f t="shared" si="77"/>
        <v>0</v>
      </c>
      <c r="O354">
        <f t="shared" si="78"/>
        <v>1</v>
      </c>
      <c r="P354">
        <f t="shared" ca="1" si="79"/>
        <v>0</v>
      </c>
      <c r="Q354">
        <f t="shared" ca="1" si="80"/>
        <v>0</v>
      </c>
    </row>
    <row r="355" spans="1:17" s="240" customFormat="1" x14ac:dyDescent="0.25">
      <c r="A355">
        <f t="shared" ref="A355:A418" si="82">ROW(B355)-1</f>
        <v>354</v>
      </c>
      <c r="B355" s="240" t="s">
        <v>1819</v>
      </c>
      <c r="C355" s="555">
        <v>7</v>
      </c>
      <c r="D355" t="s">
        <v>1469</v>
      </c>
      <c r="E355" t="s">
        <v>1422</v>
      </c>
      <c r="F355" s="494" t="str">
        <f>IF('PLAN PRODUCTION2'!$M$45="","",'PLAN PRODUCTION2'!$M$45)</f>
        <v/>
      </c>
      <c r="G355" s="494" t="str">
        <f>IF('PLAN PRODUCTION2'!$N$45="","",'PLAN PRODUCTION2'!$N$45)</f>
        <v/>
      </c>
      <c r="H355" t="str">
        <f t="shared" ca="1" si="81"/>
        <v>Plan Date Empty</v>
      </c>
      <c r="I355" t="str">
        <f t="shared" ca="1" si="72"/>
        <v/>
      </c>
      <c r="J355" t="str">
        <f t="shared" si="73"/>
        <v/>
      </c>
      <c r="K355" t="str">
        <f t="shared" si="74"/>
        <v/>
      </c>
      <c r="L355">
        <f t="shared" si="75"/>
        <v>0</v>
      </c>
      <c r="M355">
        <f t="shared" si="76"/>
        <v>0</v>
      </c>
      <c r="N355">
        <f t="shared" si="77"/>
        <v>0</v>
      </c>
      <c r="O355">
        <f t="shared" si="78"/>
        <v>1</v>
      </c>
      <c r="P355">
        <f t="shared" ca="1" si="79"/>
        <v>0</v>
      </c>
      <c r="Q355">
        <f t="shared" ca="1" si="80"/>
        <v>0</v>
      </c>
    </row>
    <row r="356" spans="1:17" s="240" customFormat="1" x14ac:dyDescent="0.25">
      <c r="A356">
        <f t="shared" si="82"/>
        <v>355</v>
      </c>
      <c r="B356" s="240" t="s">
        <v>1819</v>
      </c>
      <c r="C356" s="555">
        <v>7</v>
      </c>
      <c r="D356" t="s">
        <v>1470</v>
      </c>
      <c r="E356" t="s">
        <v>1422</v>
      </c>
      <c r="F356" s="494" t="str">
        <f>IF('PLAN PRODUCTION2'!$O$45="","",'PLAN PRODUCTION2'!$O$45)</f>
        <v/>
      </c>
      <c r="G356" s="494" t="str">
        <f>IF('PLAN PRODUCTION2'!$P$45="","",'PLAN PRODUCTION2'!$P$45)</f>
        <v/>
      </c>
      <c r="H356" t="str">
        <f t="shared" ca="1" si="81"/>
        <v>Plan Date Empty</v>
      </c>
      <c r="I356" t="str">
        <f t="shared" ca="1" si="72"/>
        <v/>
      </c>
      <c r="J356" t="str">
        <f t="shared" si="73"/>
        <v/>
      </c>
      <c r="K356" t="str">
        <f t="shared" si="74"/>
        <v/>
      </c>
      <c r="L356">
        <f t="shared" si="75"/>
        <v>0</v>
      </c>
      <c r="M356">
        <f t="shared" si="76"/>
        <v>0</v>
      </c>
      <c r="N356">
        <f t="shared" si="77"/>
        <v>0</v>
      </c>
      <c r="O356">
        <f t="shared" si="78"/>
        <v>1</v>
      </c>
      <c r="P356">
        <f t="shared" ca="1" si="79"/>
        <v>0</v>
      </c>
      <c r="Q356">
        <f t="shared" ca="1" si="80"/>
        <v>0</v>
      </c>
    </row>
    <row r="357" spans="1:17" s="240" customFormat="1" x14ac:dyDescent="0.25">
      <c r="A357">
        <f t="shared" si="82"/>
        <v>356</v>
      </c>
      <c r="B357" s="240" t="s">
        <v>1819</v>
      </c>
      <c r="C357" s="555">
        <v>7</v>
      </c>
      <c r="D357" t="s">
        <v>1471</v>
      </c>
      <c r="E357" t="s">
        <v>1424</v>
      </c>
      <c r="F357" s="494" t="str">
        <f>IF('PLAN PRODUCTION2'!$Q$45="","",'PLAN PRODUCTION2'!$Q$45)</f>
        <v/>
      </c>
      <c r="G357" s="494" t="str">
        <f>IF('PLAN PRODUCTION2'!$R$45="","",'PLAN PRODUCTION2'!$R$45)</f>
        <v/>
      </c>
      <c r="H357" t="str">
        <f t="shared" ca="1" si="81"/>
        <v>Plan Date Empty</v>
      </c>
      <c r="I357" t="str">
        <f t="shared" ref="I357:I420" ca="1" si="83">IF(AND(F357&lt;&gt;"",G357&lt;&gt;""),G357-F357,IF(AND(F357&lt;&gt;"",G357="",TODAY()&gt;F357),TODAY()-F357,""))</f>
        <v/>
      </c>
      <c r="J357" t="str">
        <f t="shared" ref="J357:J420" si="84">IF(F357="","",INT(((F357-DATE(YEAR(F357),1,1)+1)+WEEKDAY(DATE(YEAR(F357),1,1),2)-2)/7)+1)</f>
        <v/>
      </c>
      <c r="K357" t="str">
        <f t="shared" ref="K357:K420" si="85">IF(F357="","","Minggu "&amp;J357&amp;" ("&amp;YEAR(F357)&amp;")")</f>
        <v/>
      </c>
      <c r="L357">
        <f t="shared" ref="L357:L420" si="86">IF(G357&lt;&gt;"",1,0)</f>
        <v>0</v>
      </c>
      <c r="M357">
        <f t="shared" ref="M357:M420" si="87">IF(AND(G357&lt;&gt;"",G357&lt;=F357),1,0)</f>
        <v>0</v>
      </c>
      <c r="N357">
        <f t="shared" ref="N357:N420" si="88">IF(AND(G357&lt;&gt;"",G357&gt;F357),1,0)</f>
        <v>0</v>
      </c>
      <c r="O357">
        <f t="shared" ref="O357:O420" si="89">IF(G357="",1,0)</f>
        <v>1</v>
      </c>
      <c r="P357">
        <f t="shared" ref="P357:P420" ca="1" si="90">IF(AND(G357="",F357&lt;&gt;"",TODAY()&gt;F357),1,0)</f>
        <v>0</v>
      </c>
      <c r="Q357">
        <f t="shared" ref="Q357:Q420" ca="1" si="91">IF(I357="",0,I357)</f>
        <v>0</v>
      </c>
    </row>
    <row r="358" spans="1:17" s="240" customFormat="1" x14ac:dyDescent="0.25">
      <c r="A358">
        <f t="shared" si="82"/>
        <v>357</v>
      </c>
      <c r="B358" s="240" t="s">
        <v>1819</v>
      </c>
      <c r="C358" s="555">
        <v>7</v>
      </c>
      <c r="D358" t="s">
        <v>1472</v>
      </c>
      <c r="E358" t="s">
        <v>1426</v>
      </c>
      <c r="F358" s="494" t="str">
        <f>IF('PLAN PRODUCTION2'!$S$45="","",'PLAN PRODUCTION2'!$S$45)</f>
        <v/>
      </c>
      <c r="G358" s="494" t="str">
        <f>IF('PLAN PRODUCTION2'!$T$45="","",'PLAN PRODUCTION2'!$T$45)</f>
        <v/>
      </c>
      <c r="H358" t="str">
        <f t="shared" ca="1" si="81"/>
        <v>Plan Date Empty</v>
      </c>
      <c r="I358" t="str">
        <f t="shared" ca="1" si="83"/>
        <v/>
      </c>
      <c r="J358" t="str">
        <f t="shared" si="84"/>
        <v/>
      </c>
      <c r="K358" t="str">
        <f t="shared" si="85"/>
        <v/>
      </c>
      <c r="L358">
        <f t="shared" si="86"/>
        <v>0</v>
      </c>
      <c r="M358">
        <f t="shared" si="87"/>
        <v>0</v>
      </c>
      <c r="N358">
        <f t="shared" si="88"/>
        <v>0</v>
      </c>
      <c r="O358">
        <f t="shared" si="89"/>
        <v>1</v>
      </c>
      <c r="P358">
        <f t="shared" ca="1" si="90"/>
        <v>0</v>
      </c>
      <c r="Q358">
        <f t="shared" ca="1" si="91"/>
        <v>0</v>
      </c>
    </row>
    <row r="359" spans="1:17" s="240" customFormat="1" x14ac:dyDescent="0.25">
      <c r="A359">
        <f t="shared" si="82"/>
        <v>358</v>
      </c>
      <c r="B359" s="240" t="s">
        <v>1819</v>
      </c>
      <c r="C359" s="555">
        <v>7</v>
      </c>
      <c r="D359" t="s">
        <v>1473</v>
      </c>
      <c r="E359" t="s">
        <v>1426</v>
      </c>
      <c r="F359" s="494" t="str">
        <f>IF('PLAN PRODUCTION2'!$U$45="","",'PLAN PRODUCTION2'!$U$45)</f>
        <v/>
      </c>
      <c r="G359" s="494" t="str">
        <f>IF('PLAN PRODUCTION2'!$V$45="","",'PLAN PRODUCTION2'!$V$45)</f>
        <v/>
      </c>
      <c r="H359" t="str">
        <f t="shared" ca="1" si="81"/>
        <v>Plan Date Empty</v>
      </c>
      <c r="I359" t="str">
        <f t="shared" ca="1" si="83"/>
        <v/>
      </c>
      <c r="J359" t="str">
        <f t="shared" si="84"/>
        <v/>
      </c>
      <c r="K359" t="str">
        <f t="shared" si="85"/>
        <v/>
      </c>
      <c r="L359">
        <f t="shared" si="86"/>
        <v>0</v>
      </c>
      <c r="M359">
        <f t="shared" si="87"/>
        <v>0</v>
      </c>
      <c r="N359">
        <f t="shared" si="88"/>
        <v>0</v>
      </c>
      <c r="O359">
        <f t="shared" si="89"/>
        <v>1</v>
      </c>
      <c r="P359">
        <f t="shared" ca="1" si="90"/>
        <v>0</v>
      </c>
      <c r="Q359">
        <f t="shared" ca="1" si="91"/>
        <v>0</v>
      </c>
    </row>
    <row r="360" spans="1:17" s="240" customFormat="1" x14ac:dyDescent="0.25">
      <c r="A360">
        <f t="shared" si="82"/>
        <v>359</v>
      </c>
      <c r="B360" s="240" t="s">
        <v>1819</v>
      </c>
      <c r="C360" s="555">
        <v>7</v>
      </c>
      <c r="D360" t="s">
        <v>1474</v>
      </c>
      <c r="E360" t="s">
        <v>1426</v>
      </c>
      <c r="F360" s="494" t="str">
        <f>IF('PLAN PRODUCTION2'!$W$45="","",'PLAN PRODUCTION2'!$W$45)</f>
        <v/>
      </c>
      <c r="G360" s="494" t="str">
        <f>IF('PLAN PRODUCTION2'!$X$45="","",'PLAN PRODUCTION2'!$X$45)</f>
        <v/>
      </c>
      <c r="H360" t="str">
        <f t="shared" ca="1" si="81"/>
        <v>Plan Date Empty</v>
      </c>
      <c r="I360" t="str">
        <f t="shared" ca="1" si="83"/>
        <v/>
      </c>
      <c r="J360" t="str">
        <f t="shared" si="84"/>
        <v/>
      </c>
      <c r="K360" t="str">
        <f t="shared" si="85"/>
        <v/>
      </c>
      <c r="L360">
        <f t="shared" si="86"/>
        <v>0</v>
      </c>
      <c r="M360">
        <f t="shared" si="87"/>
        <v>0</v>
      </c>
      <c r="N360">
        <f t="shared" si="88"/>
        <v>0</v>
      </c>
      <c r="O360">
        <f t="shared" si="89"/>
        <v>1</v>
      </c>
      <c r="P360">
        <f t="shared" ca="1" si="90"/>
        <v>0</v>
      </c>
      <c r="Q360">
        <f t="shared" ca="1" si="91"/>
        <v>0</v>
      </c>
    </row>
    <row r="361" spans="1:17" s="240" customFormat="1" x14ac:dyDescent="0.25">
      <c r="A361">
        <f t="shared" si="82"/>
        <v>360</v>
      </c>
      <c r="B361" s="240" t="s">
        <v>1819</v>
      </c>
      <c r="C361" s="555">
        <v>7</v>
      </c>
      <c r="D361" t="s">
        <v>1475</v>
      </c>
      <c r="E361" t="s">
        <v>1426</v>
      </c>
      <c r="F361" s="494" t="str">
        <f>IF('PLAN PRODUCTION2'!$Y$45="","",'PLAN PRODUCTION2'!$Y$45)</f>
        <v/>
      </c>
      <c r="G361" s="494" t="str">
        <f>IF('PLAN PRODUCTION2'!$Z$45="","",'PLAN PRODUCTION2'!$Z$45)</f>
        <v/>
      </c>
      <c r="H361" t="str">
        <f t="shared" ca="1" si="81"/>
        <v>Plan Date Empty</v>
      </c>
      <c r="I361" t="str">
        <f t="shared" ca="1" si="83"/>
        <v/>
      </c>
      <c r="J361" t="str">
        <f t="shared" si="84"/>
        <v/>
      </c>
      <c r="K361" t="str">
        <f t="shared" si="85"/>
        <v/>
      </c>
      <c r="L361">
        <f t="shared" si="86"/>
        <v>0</v>
      </c>
      <c r="M361">
        <f t="shared" si="87"/>
        <v>0</v>
      </c>
      <c r="N361">
        <f t="shared" si="88"/>
        <v>0</v>
      </c>
      <c r="O361">
        <f t="shared" si="89"/>
        <v>1</v>
      </c>
      <c r="P361">
        <f t="shared" ca="1" si="90"/>
        <v>0</v>
      </c>
      <c r="Q361">
        <f t="shared" ca="1" si="91"/>
        <v>0</v>
      </c>
    </row>
    <row r="362" spans="1:17" s="240" customFormat="1" x14ac:dyDescent="0.25">
      <c r="A362">
        <f t="shared" si="82"/>
        <v>361</v>
      </c>
      <c r="B362" s="240" t="s">
        <v>1819</v>
      </c>
      <c r="C362" s="555">
        <v>7</v>
      </c>
      <c r="D362" t="s">
        <v>1476</v>
      </c>
      <c r="E362" t="s">
        <v>1426</v>
      </c>
      <c r="F362" s="494" t="str">
        <f>IF('PLAN PRODUCTION2'!$AA$45="","",'PLAN PRODUCTION2'!$AA$45)</f>
        <v/>
      </c>
      <c r="G362" s="494" t="str">
        <f>IF('PLAN PRODUCTION2'!$AB$45="","",'PLAN PRODUCTION2'!$AB$45)</f>
        <v/>
      </c>
      <c r="H362" t="str">
        <f t="shared" ca="1" si="81"/>
        <v>Plan Date Empty</v>
      </c>
      <c r="I362" t="str">
        <f t="shared" ca="1" si="83"/>
        <v/>
      </c>
      <c r="J362" t="str">
        <f t="shared" si="84"/>
        <v/>
      </c>
      <c r="K362" t="str">
        <f t="shared" si="85"/>
        <v/>
      </c>
      <c r="L362">
        <f t="shared" si="86"/>
        <v>0</v>
      </c>
      <c r="M362">
        <f t="shared" si="87"/>
        <v>0</v>
      </c>
      <c r="N362">
        <f t="shared" si="88"/>
        <v>0</v>
      </c>
      <c r="O362">
        <f t="shared" si="89"/>
        <v>1</v>
      </c>
      <c r="P362">
        <f t="shared" ca="1" si="90"/>
        <v>0</v>
      </c>
      <c r="Q362">
        <f t="shared" ca="1" si="91"/>
        <v>0</v>
      </c>
    </row>
    <row r="363" spans="1:17" s="240" customFormat="1" x14ac:dyDescent="0.25">
      <c r="A363">
        <f t="shared" si="82"/>
        <v>362</v>
      </c>
      <c r="B363" s="240" t="s">
        <v>1819</v>
      </c>
      <c r="C363" s="555">
        <v>7</v>
      </c>
      <c r="D363" t="s">
        <v>1477</v>
      </c>
      <c r="E363" t="s">
        <v>1422</v>
      </c>
      <c r="F363" s="494" t="str">
        <f>IF('PLAN PRODUCTION2'!$AC$45="","",'PLAN PRODUCTION2'!$AC$45)</f>
        <v/>
      </c>
      <c r="G363" s="494" t="str">
        <f>IF('PLAN PRODUCTION2'!$AD$45="","",'PLAN PRODUCTION2'!$AD$45)</f>
        <v/>
      </c>
      <c r="H363" t="str">
        <f t="shared" ca="1" si="81"/>
        <v>Plan Date Empty</v>
      </c>
      <c r="I363" t="str">
        <f t="shared" ca="1" si="83"/>
        <v/>
      </c>
      <c r="J363" t="str">
        <f t="shared" si="84"/>
        <v/>
      </c>
      <c r="K363" t="str">
        <f t="shared" si="85"/>
        <v/>
      </c>
      <c r="L363">
        <f t="shared" si="86"/>
        <v>0</v>
      </c>
      <c r="M363">
        <f t="shared" si="87"/>
        <v>0</v>
      </c>
      <c r="N363">
        <f t="shared" si="88"/>
        <v>0</v>
      </c>
      <c r="O363">
        <f t="shared" si="89"/>
        <v>1</v>
      </c>
      <c r="P363">
        <f t="shared" ca="1" si="90"/>
        <v>0</v>
      </c>
      <c r="Q363">
        <f t="shared" ca="1" si="91"/>
        <v>0</v>
      </c>
    </row>
    <row r="364" spans="1:17" s="240" customFormat="1" x14ac:dyDescent="0.25">
      <c r="A364">
        <f t="shared" si="82"/>
        <v>363</v>
      </c>
      <c r="B364" s="240" t="s">
        <v>1819</v>
      </c>
      <c r="C364" s="555">
        <v>7</v>
      </c>
      <c r="D364" t="s">
        <v>1478</v>
      </c>
      <c r="E364" t="s">
        <v>1429</v>
      </c>
      <c r="F364" s="494" t="str">
        <f>IF('PLAN PRODUCTION2'!$AE$45="","",'PLAN PRODUCTION2'!$AE$45)</f>
        <v/>
      </c>
      <c r="G364" s="494" t="str">
        <f>IF('PLAN PRODUCTION2'!$AF$45="","",'PLAN PRODUCTION2'!$AF$45)</f>
        <v/>
      </c>
      <c r="H364" t="str">
        <f t="shared" ca="1" si="81"/>
        <v>Plan Date Empty</v>
      </c>
      <c r="I364" t="str">
        <f t="shared" ca="1" si="83"/>
        <v/>
      </c>
      <c r="J364" t="str">
        <f t="shared" si="84"/>
        <v/>
      </c>
      <c r="K364" t="str">
        <f t="shared" si="85"/>
        <v/>
      </c>
      <c r="L364">
        <f t="shared" si="86"/>
        <v>0</v>
      </c>
      <c r="M364">
        <f t="shared" si="87"/>
        <v>0</v>
      </c>
      <c r="N364">
        <f t="shared" si="88"/>
        <v>0</v>
      </c>
      <c r="O364">
        <f t="shared" si="89"/>
        <v>1</v>
      </c>
      <c r="P364">
        <f t="shared" ca="1" si="90"/>
        <v>0</v>
      </c>
      <c r="Q364">
        <f t="shared" ca="1" si="91"/>
        <v>0</v>
      </c>
    </row>
    <row r="365" spans="1:17" s="240" customFormat="1" x14ac:dyDescent="0.25">
      <c r="A365">
        <f t="shared" si="82"/>
        <v>364</v>
      </c>
      <c r="B365" s="240" t="s">
        <v>1819</v>
      </c>
      <c r="C365" s="555">
        <v>7</v>
      </c>
      <c r="D365" t="s">
        <v>1479</v>
      </c>
      <c r="E365" t="s">
        <v>1429</v>
      </c>
      <c r="F365" s="494" t="str">
        <f>IF('PLAN PRODUCTION2'!$AG$45="","",'PLAN PRODUCTION2'!$AG$45)</f>
        <v/>
      </c>
      <c r="G365" s="494" t="str">
        <f>IF('PLAN PRODUCTION2'!$AH$45="","",'PLAN PRODUCTION2'!$AH$45)</f>
        <v/>
      </c>
      <c r="H365" t="str">
        <f t="shared" ca="1" si="81"/>
        <v>Plan Date Empty</v>
      </c>
      <c r="I365" t="str">
        <f t="shared" ca="1" si="83"/>
        <v/>
      </c>
      <c r="J365" t="str">
        <f t="shared" si="84"/>
        <v/>
      </c>
      <c r="K365" t="str">
        <f t="shared" si="85"/>
        <v/>
      </c>
      <c r="L365">
        <f t="shared" si="86"/>
        <v>0</v>
      </c>
      <c r="M365">
        <f t="shared" si="87"/>
        <v>0</v>
      </c>
      <c r="N365">
        <f t="shared" si="88"/>
        <v>0</v>
      </c>
      <c r="O365">
        <f t="shared" si="89"/>
        <v>1</v>
      </c>
      <c r="P365">
        <f t="shared" ca="1" si="90"/>
        <v>0</v>
      </c>
      <c r="Q365">
        <f t="shared" ca="1" si="91"/>
        <v>0</v>
      </c>
    </row>
    <row r="366" spans="1:17" s="240" customFormat="1" x14ac:dyDescent="0.25">
      <c r="A366">
        <f t="shared" si="82"/>
        <v>365</v>
      </c>
      <c r="B366" s="240" t="s">
        <v>1820</v>
      </c>
      <c r="C366" s="555">
        <v>10</v>
      </c>
      <c r="D366" t="s">
        <v>1466</v>
      </c>
      <c r="E366" t="s">
        <v>1420</v>
      </c>
      <c r="F366" s="494" t="str">
        <f>IF('PLAN PRODUCTION2'!$E$46="","",'PLAN PRODUCTION2'!$E$46)</f>
        <v/>
      </c>
      <c r="G366" s="494" t="str">
        <f>IF('PLAN PRODUCTION2'!$F$46="","",'PLAN PRODUCTION2'!$F$46)</f>
        <v/>
      </c>
      <c r="H366" t="str">
        <f t="shared" ca="1" si="81"/>
        <v>Plan Date Empty</v>
      </c>
      <c r="I366" t="str">
        <f t="shared" ca="1" si="83"/>
        <v/>
      </c>
      <c r="J366" t="str">
        <f t="shared" si="84"/>
        <v/>
      </c>
      <c r="K366" t="str">
        <f t="shared" si="85"/>
        <v/>
      </c>
      <c r="L366">
        <f t="shared" si="86"/>
        <v>0</v>
      </c>
      <c r="M366">
        <f t="shared" si="87"/>
        <v>0</v>
      </c>
      <c r="N366">
        <f t="shared" si="88"/>
        <v>0</v>
      </c>
      <c r="O366">
        <f t="shared" si="89"/>
        <v>1</v>
      </c>
      <c r="P366">
        <f t="shared" ca="1" si="90"/>
        <v>0</v>
      </c>
      <c r="Q366">
        <f t="shared" ca="1" si="91"/>
        <v>0</v>
      </c>
    </row>
    <row r="367" spans="1:17" s="240" customFormat="1" x14ac:dyDescent="0.25">
      <c r="A367">
        <f t="shared" si="82"/>
        <v>366</v>
      </c>
      <c r="B367" s="240" t="s">
        <v>1820</v>
      </c>
      <c r="C367" s="555">
        <v>10</v>
      </c>
      <c r="D367" t="s">
        <v>1467</v>
      </c>
      <c r="E367" t="s">
        <v>1420</v>
      </c>
      <c r="F367" s="494" t="str">
        <f>IF('PLAN PRODUCTION2'!$I$46="","",'PLAN PRODUCTION2'!$I$46)</f>
        <v/>
      </c>
      <c r="G367" s="494" t="str">
        <f>IF('PLAN PRODUCTION2'!$J$46="","",'PLAN PRODUCTION2'!$J$46)</f>
        <v/>
      </c>
      <c r="H367" t="str">
        <f t="shared" ca="1" si="81"/>
        <v>Plan Date Empty</v>
      </c>
      <c r="I367" t="str">
        <f t="shared" ca="1" si="83"/>
        <v/>
      </c>
      <c r="J367" t="str">
        <f t="shared" si="84"/>
        <v/>
      </c>
      <c r="K367" t="str">
        <f t="shared" si="85"/>
        <v/>
      </c>
      <c r="L367">
        <f t="shared" si="86"/>
        <v>0</v>
      </c>
      <c r="M367">
        <f t="shared" si="87"/>
        <v>0</v>
      </c>
      <c r="N367">
        <f t="shared" si="88"/>
        <v>0</v>
      </c>
      <c r="O367">
        <f t="shared" si="89"/>
        <v>1</v>
      </c>
      <c r="P367">
        <f t="shared" ca="1" si="90"/>
        <v>0</v>
      </c>
      <c r="Q367">
        <f t="shared" ca="1" si="91"/>
        <v>0</v>
      </c>
    </row>
    <row r="368" spans="1:17" s="240" customFormat="1" x14ac:dyDescent="0.25">
      <c r="A368">
        <f t="shared" si="82"/>
        <v>367</v>
      </c>
      <c r="B368" s="240" t="s">
        <v>1820</v>
      </c>
      <c r="C368" s="555">
        <v>10</v>
      </c>
      <c r="D368" t="s">
        <v>1468</v>
      </c>
      <c r="E368" t="s">
        <v>1420</v>
      </c>
      <c r="F368" s="494" t="str">
        <f>IF('PLAN PRODUCTION2'!$K$46="","",'PLAN PRODUCTION2'!$K$46)</f>
        <v/>
      </c>
      <c r="G368" s="494" t="str">
        <f>IF('PLAN PRODUCTION2'!$L$46="","",'PLAN PRODUCTION2'!$L$46)</f>
        <v/>
      </c>
      <c r="H368" t="str">
        <f t="shared" ca="1" si="81"/>
        <v>Plan Date Empty</v>
      </c>
      <c r="I368" t="str">
        <f t="shared" ca="1" si="83"/>
        <v/>
      </c>
      <c r="J368" t="str">
        <f t="shared" si="84"/>
        <v/>
      </c>
      <c r="K368" t="str">
        <f t="shared" si="85"/>
        <v/>
      </c>
      <c r="L368">
        <f t="shared" si="86"/>
        <v>0</v>
      </c>
      <c r="M368">
        <f t="shared" si="87"/>
        <v>0</v>
      </c>
      <c r="N368">
        <f t="shared" si="88"/>
        <v>0</v>
      </c>
      <c r="O368">
        <f t="shared" si="89"/>
        <v>1</v>
      </c>
      <c r="P368">
        <f t="shared" ca="1" si="90"/>
        <v>0</v>
      </c>
      <c r="Q368">
        <f t="shared" ca="1" si="91"/>
        <v>0</v>
      </c>
    </row>
    <row r="369" spans="1:17" s="240" customFormat="1" x14ac:dyDescent="0.25">
      <c r="A369">
        <f t="shared" si="82"/>
        <v>368</v>
      </c>
      <c r="B369" s="240" t="s">
        <v>1820</v>
      </c>
      <c r="C369" s="555">
        <v>10</v>
      </c>
      <c r="D369" t="s">
        <v>1469</v>
      </c>
      <c r="E369" t="s">
        <v>1422</v>
      </c>
      <c r="F369" s="494" t="str">
        <f>IF('PLAN PRODUCTION2'!$M$46="","",'PLAN PRODUCTION2'!$M$46)</f>
        <v/>
      </c>
      <c r="G369" s="494" t="str">
        <f>IF('PLAN PRODUCTION2'!$N$46="","",'PLAN PRODUCTION2'!$N$46)</f>
        <v/>
      </c>
      <c r="H369" t="str">
        <f t="shared" ca="1" si="81"/>
        <v>Plan Date Empty</v>
      </c>
      <c r="I369" t="str">
        <f t="shared" ca="1" si="83"/>
        <v/>
      </c>
      <c r="J369" t="str">
        <f t="shared" si="84"/>
        <v/>
      </c>
      <c r="K369" t="str">
        <f t="shared" si="85"/>
        <v/>
      </c>
      <c r="L369">
        <f t="shared" si="86"/>
        <v>0</v>
      </c>
      <c r="M369">
        <f t="shared" si="87"/>
        <v>0</v>
      </c>
      <c r="N369">
        <f t="shared" si="88"/>
        <v>0</v>
      </c>
      <c r="O369">
        <f t="shared" si="89"/>
        <v>1</v>
      </c>
      <c r="P369">
        <f t="shared" ca="1" si="90"/>
        <v>0</v>
      </c>
      <c r="Q369">
        <f t="shared" ca="1" si="91"/>
        <v>0</v>
      </c>
    </row>
    <row r="370" spans="1:17" s="240" customFormat="1" x14ac:dyDescent="0.25">
      <c r="A370">
        <f t="shared" si="82"/>
        <v>369</v>
      </c>
      <c r="B370" s="240" t="s">
        <v>1820</v>
      </c>
      <c r="C370" s="555">
        <v>10</v>
      </c>
      <c r="D370" t="s">
        <v>1470</v>
      </c>
      <c r="E370" t="s">
        <v>1422</v>
      </c>
      <c r="F370" s="494" t="str">
        <f>IF('PLAN PRODUCTION2'!$O$46="","",'PLAN PRODUCTION2'!$O$46)</f>
        <v/>
      </c>
      <c r="G370" s="494" t="str">
        <f>IF('PLAN PRODUCTION2'!$P$46="","",'PLAN PRODUCTION2'!$P$46)</f>
        <v/>
      </c>
      <c r="H370" t="str">
        <f t="shared" ca="1" si="81"/>
        <v>Plan Date Empty</v>
      </c>
      <c r="I370" t="str">
        <f t="shared" ca="1" si="83"/>
        <v/>
      </c>
      <c r="J370" t="str">
        <f t="shared" si="84"/>
        <v/>
      </c>
      <c r="K370" t="str">
        <f t="shared" si="85"/>
        <v/>
      </c>
      <c r="L370">
        <f t="shared" si="86"/>
        <v>0</v>
      </c>
      <c r="M370">
        <f t="shared" si="87"/>
        <v>0</v>
      </c>
      <c r="N370">
        <f t="shared" si="88"/>
        <v>0</v>
      </c>
      <c r="O370">
        <f t="shared" si="89"/>
        <v>1</v>
      </c>
      <c r="P370">
        <f t="shared" ca="1" si="90"/>
        <v>0</v>
      </c>
      <c r="Q370">
        <f t="shared" ca="1" si="91"/>
        <v>0</v>
      </c>
    </row>
    <row r="371" spans="1:17" s="240" customFormat="1" x14ac:dyDescent="0.25">
      <c r="A371">
        <f t="shared" si="82"/>
        <v>370</v>
      </c>
      <c r="B371" s="240" t="s">
        <v>1820</v>
      </c>
      <c r="C371" s="555">
        <v>10</v>
      </c>
      <c r="D371" t="s">
        <v>1471</v>
      </c>
      <c r="E371" t="s">
        <v>1424</v>
      </c>
      <c r="F371" s="494" t="str">
        <f>IF('PLAN PRODUCTION2'!$Q$46="","",'PLAN PRODUCTION2'!$Q$46)</f>
        <v/>
      </c>
      <c r="G371" s="494" t="str">
        <f>IF('PLAN PRODUCTION2'!$R$46="","",'PLAN PRODUCTION2'!$R$46)</f>
        <v/>
      </c>
      <c r="H371" t="str">
        <f t="shared" ca="1" si="81"/>
        <v>Plan Date Empty</v>
      </c>
      <c r="I371" t="str">
        <f t="shared" ca="1" si="83"/>
        <v/>
      </c>
      <c r="J371" t="str">
        <f t="shared" si="84"/>
        <v/>
      </c>
      <c r="K371" t="str">
        <f t="shared" si="85"/>
        <v/>
      </c>
      <c r="L371">
        <f t="shared" si="86"/>
        <v>0</v>
      </c>
      <c r="M371">
        <f t="shared" si="87"/>
        <v>0</v>
      </c>
      <c r="N371">
        <f t="shared" si="88"/>
        <v>0</v>
      </c>
      <c r="O371">
        <f t="shared" si="89"/>
        <v>1</v>
      </c>
      <c r="P371">
        <f t="shared" ca="1" si="90"/>
        <v>0</v>
      </c>
      <c r="Q371">
        <f t="shared" ca="1" si="91"/>
        <v>0</v>
      </c>
    </row>
    <row r="372" spans="1:17" s="240" customFormat="1" x14ac:dyDescent="0.25">
      <c r="A372">
        <f t="shared" si="82"/>
        <v>371</v>
      </c>
      <c r="B372" s="240" t="s">
        <v>1820</v>
      </c>
      <c r="C372" s="555">
        <v>10</v>
      </c>
      <c r="D372" t="s">
        <v>1472</v>
      </c>
      <c r="E372" t="s">
        <v>1426</v>
      </c>
      <c r="F372" s="494" t="str">
        <f>IF('PLAN PRODUCTION2'!$S$46="","",'PLAN PRODUCTION2'!$S$46)</f>
        <v/>
      </c>
      <c r="G372" s="494" t="str">
        <f>IF('PLAN PRODUCTION2'!$T$46="","",'PLAN PRODUCTION2'!$T$46)</f>
        <v/>
      </c>
      <c r="H372" t="str">
        <f t="shared" ca="1" si="81"/>
        <v>Plan Date Empty</v>
      </c>
      <c r="I372" t="str">
        <f t="shared" ca="1" si="83"/>
        <v/>
      </c>
      <c r="J372" t="str">
        <f t="shared" si="84"/>
        <v/>
      </c>
      <c r="K372" t="str">
        <f t="shared" si="85"/>
        <v/>
      </c>
      <c r="L372">
        <f t="shared" si="86"/>
        <v>0</v>
      </c>
      <c r="M372">
        <f t="shared" si="87"/>
        <v>0</v>
      </c>
      <c r="N372">
        <f t="shared" si="88"/>
        <v>0</v>
      </c>
      <c r="O372">
        <f t="shared" si="89"/>
        <v>1</v>
      </c>
      <c r="P372">
        <f t="shared" ca="1" si="90"/>
        <v>0</v>
      </c>
      <c r="Q372">
        <f t="shared" ca="1" si="91"/>
        <v>0</v>
      </c>
    </row>
    <row r="373" spans="1:17" s="240" customFormat="1" x14ac:dyDescent="0.25">
      <c r="A373">
        <f t="shared" si="82"/>
        <v>372</v>
      </c>
      <c r="B373" s="240" t="s">
        <v>1820</v>
      </c>
      <c r="C373" s="555">
        <v>10</v>
      </c>
      <c r="D373" t="s">
        <v>1473</v>
      </c>
      <c r="E373" t="s">
        <v>1426</v>
      </c>
      <c r="F373" s="494" t="str">
        <f>IF('PLAN PRODUCTION2'!$U$46="","",'PLAN PRODUCTION2'!$U$46)</f>
        <v/>
      </c>
      <c r="G373" s="494" t="str">
        <f>IF('PLAN PRODUCTION2'!$V$46="","",'PLAN PRODUCTION2'!$V$46)</f>
        <v/>
      </c>
      <c r="H373" t="str">
        <f t="shared" ref="H373:H435" ca="1" si="92">IF(F373="","Plan Date Empty",IF(G373&lt;&gt;"",IF(G373&lt;=F373,"Completed - On Time","Not Done - Overdue"),IF(TODAY()&gt;F373,"Not Done - Overdue","Not Done - On Schedule")))</f>
        <v>Plan Date Empty</v>
      </c>
      <c r="I373" t="str">
        <f t="shared" ca="1" si="83"/>
        <v/>
      </c>
      <c r="J373" t="str">
        <f t="shared" si="84"/>
        <v/>
      </c>
      <c r="K373" t="str">
        <f t="shared" si="85"/>
        <v/>
      </c>
      <c r="L373">
        <f t="shared" si="86"/>
        <v>0</v>
      </c>
      <c r="M373">
        <f t="shared" si="87"/>
        <v>0</v>
      </c>
      <c r="N373">
        <f t="shared" si="88"/>
        <v>0</v>
      </c>
      <c r="O373">
        <f t="shared" si="89"/>
        <v>1</v>
      </c>
      <c r="P373">
        <f t="shared" ca="1" si="90"/>
        <v>0</v>
      </c>
      <c r="Q373">
        <f t="shared" ca="1" si="91"/>
        <v>0</v>
      </c>
    </row>
    <row r="374" spans="1:17" s="240" customFormat="1" x14ac:dyDescent="0.25">
      <c r="A374">
        <f t="shared" si="82"/>
        <v>373</v>
      </c>
      <c r="B374" s="240" t="s">
        <v>1820</v>
      </c>
      <c r="C374" s="555">
        <v>10</v>
      </c>
      <c r="D374" t="s">
        <v>1474</v>
      </c>
      <c r="E374" t="s">
        <v>1426</v>
      </c>
      <c r="F374" s="494" t="str">
        <f>IF('PLAN PRODUCTION2'!$W$46="","",'PLAN PRODUCTION2'!$W$46)</f>
        <v/>
      </c>
      <c r="G374" s="494" t="str">
        <f>IF('PLAN PRODUCTION2'!$X$46="","",'PLAN PRODUCTION2'!$X$46)</f>
        <v/>
      </c>
      <c r="H374" t="str">
        <f t="shared" ca="1" si="92"/>
        <v>Plan Date Empty</v>
      </c>
      <c r="I374" t="str">
        <f t="shared" ca="1" si="83"/>
        <v/>
      </c>
      <c r="J374" t="str">
        <f t="shared" si="84"/>
        <v/>
      </c>
      <c r="K374" t="str">
        <f t="shared" si="85"/>
        <v/>
      </c>
      <c r="L374">
        <f t="shared" si="86"/>
        <v>0</v>
      </c>
      <c r="M374">
        <f t="shared" si="87"/>
        <v>0</v>
      </c>
      <c r="N374">
        <f t="shared" si="88"/>
        <v>0</v>
      </c>
      <c r="O374">
        <f t="shared" si="89"/>
        <v>1</v>
      </c>
      <c r="P374">
        <f t="shared" ca="1" si="90"/>
        <v>0</v>
      </c>
      <c r="Q374">
        <f t="shared" ca="1" si="91"/>
        <v>0</v>
      </c>
    </row>
    <row r="375" spans="1:17" s="240" customFormat="1" x14ac:dyDescent="0.25">
      <c r="A375">
        <f t="shared" si="82"/>
        <v>374</v>
      </c>
      <c r="B375" s="240" t="s">
        <v>1820</v>
      </c>
      <c r="C375" s="555">
        <v>10</v>
      </c>
      <c r="D375" t="s">
        <v>1475</v>
      </c>
      <c r="E375" t="s">
        <v>1426</v>
      </c>
      <c r="F375" s="494" t="str">
        <f>IF('PLAN PRODUCTION2'!$Y$46="","",'PLAN PRODUCTION2'!$Y$46)</f>
        <v/>
      </c>
      <c r="G375" s="494" t="str">
        <f>IF('PLAN PRODUCTION2'!$Z$46="","",'PLAN PRODUCTION2'!$Z$46)</f>
        <v/>
      </c>
      <c r="H375" t="str">
        <f t="shared" ca="1" si="92"/>
        <v>Plan Date Empty</v>
      </c>
      <c r="I375" t="str">
        <f t="shared" ca="1" si="83"/>
        <v/>
      </c>
      <c r="J375" t="str">
        <f t="shared" si="84"/>
        <v/>
      </c>
      <c r="K375" t="str">
        <f t="shared" si="85"/>
        <v/>
      </c>
      <c r="L375">
        <f t="shared" si="86"/>
        <v>0</v>
      </c>
      <c r="M375">
        <f t="shared" si="87"/>
        <v>0</v>
      </c>
      <c r="N375">
        <f t="shared" si="88"/>
        <v>0</v>
      </c>
      <c r="O375">
        <f t="shared" si="89"/>
        <v>1</v>
      </c>
      <c r="P375">
        <f t="shared" ca="1" si="90"/>
        <v>0</v>
      </c>
      <c r="Q375">
        <f t="shared" ca="1" si="91"/>
        <v>0</v>
      </c>
    </row>
    <row r="376" spans="1:17" s="240" customFormat="1" x14ac:dyDescent="0.25">
      <c r="A376">
        <f t="shared" si="82"/>
        <v>375</v>
      </c>
      <c r="B376" s="240" t="s">
        <v>1820</v>
      </c>
      <c r="C376" s="555">
        <v>10</v>
      </c>
      <c r="D376" t="s">
        <v>1476</v>
      </c>
      <c r="E376" t="s">
        <v>1426</v>
      </c>
      <c r="F376" s="494" t="str">
        <f>IF('PLAN PRODUCTION2'!$AA$46="","",'PLAN PRODUCTION2'!$AA$46)</f>
        <v/>
      </c>
      <c r="G376" s="494" t="str">
        <f>IF('PLAN PRODUCTION2'!$AB$46="","",'PLAN PRODUCTION2'!$AB$46)</f>
        <v/>
      </c>
      <c r="H376" t="str">
        <f t="shared" ca="1" si="92"/>
        <v>Plan Date Empty</v>
      </c>
      <c r="I376" t="str">
        <f t="shared" ca="1" si="83"/>
        <v/>
      </c>
      <c r="J376" t="str">
        <f t="shared" si="84"/>
        <v/>
      </c>
      <c r="K376" t="str">
        <f t="shared" si="85"/>
        <v/>
      </c>
      <c r="L376">
        <f t="shared" si="86"/>
        <v>0</v>
      </c>
      <c r="M376">
        <f t="shared" si="87"/>
        <v>0</v>
      </c>
      <c r="N376">
        <f t="shared" si="88"/>
        <v>0</v>
      </c>
      <c r="O376">
        <f t="shared" si="89"/>
        <v>1</v>
      </c>
      <c r="P376">
        <f t="shared" ca="1" si="90"/>
        <v>0</v>
      </c>
      <c r="Q376">
        <f t="shared" ca="1" si="91"/>
        <v>0</v>
      </c>
    </row>
    <row r="377" spans="1:17" s="240" customFormat="1" x14ac:dyDescent="0.25">
      <c r="A377">
        <f t="shared" si="82"/>
        <v>376</v>
      </c>
      <c r="B377" s="240" t="s">
        <v>1820</v>
      </c>
      <c r="C377" s="555">
        <v>10</v>
      </c>
      <c r="D377" t="s">
        <v>1477</v>
      </c>
      <c r="E377" t="s">
        <v>1422</v>
      </c>
      <c r="F377" s="494" t="str">
        <f>IF('PLAN PRODUCTION2'!$AC$46="","",'PLAN PRODUCTION2'!$AC$46)</f>
        <v/>
      </c>
      <c r="G377" s="494" t="str">
        <f>IF('PLAN PRODUCTION2'!$AD$46="","",'PLAN PRODUCTION2'!$AD$46)</f>
        <v/>
      </c>
      <c r="H377" t="str">
        <f t="shared" ca="1" si="92"/>
        <v>Plan Date Empty</v>
      </c>
      <c r="I377" t="str">
        <f t="shared" ca="1" si="83"/>
        <v/>
      </c>
      <c r="J377" t="str">
        <f t="shared" si="84"/>
        <v/>
      </c>
      <c r="K377" t="str">
        <f t="shared" si="85"/>
        <v/>
      </c>
      <c r="L377">
        <f t="shared" si="86"/>
        <v>0</v>
      </c>
      <c r="M377">
        <f t="shared" si="87"/>
        <v>0</v>
      </c>
      <c r="N377">
        <f t="shared" si="88"/>
        <v>0</v>
      </c>
      <c r="O377">
        <f t="shared" si="89"/>
        <v>1</v>
      </c>
      <c r="P377">
        <f t="shared" ca="1" si="90"/>
        <v>0</v>
      </c>
      <c r="Q377">
        <f t="shared" ca="1" si="91"/>
        <v>0</v>
      </c>
    </row>
    <row r="378" spans="1:17" s="240" customFormat="1" x14ac:dyDescent="0.25">
      <c r="A378">
        <f t="shared" si="82"/>
        <v>377</v>
      </c>
      <c r="B378" s="240" t="s">
        <v>1820</v>
      </c>
      <c r="C378" s="555">
        <v>10</v>
      </c>
      <c r="D378" t="s">
        <v>1478</v>
      </c>
      <c r="E378" t="s">
        <v>1429</v>
      </c>
      <c r="F378" s="494" t="str">
        <f>IF('PLAN PRODUCTION2'!$AE$46="","",'PLAN PRODUCTION2'!$AE$46)</f>
        <v/>
      </c>
      <c r="G378" s="494" t="str">
        <f>IF('PLAN PRODUCTION2'!$AF$46="","",'PLAN PRODUCTION2'!$AF$46)</f>
        <v/>
      </c>
      <c r="H378" t="str">
        <f t="shared" ca="1" si="92"/>
        <v>Plan Date Empty</v>
      </c>
      <c r="I378" t="str">
        <f t="shared" ca="1" si="83"/>
        <v/>
      </c>
      <c r="J378" t="str">
        <f t="shared" si="84"/>
        <v/>
      </c>
      <c r="K378" t="str">
        <f t="shared" si="85"/>
        <v/>
      </c>
      <c r="L378">
        <f t="shared" si="86"/>
        <v>0</v>
      </c>
      <c r="M378">
        <f t="shared" si="87"/>
        <v>0</v>
      </c>
      <c r="N378">
        <f t="shared" si="88"/>
        <v>0</v>
      </c>
      <c r="O378">
        <f t="shared" si="89"/>
        <v>1</v>
      </c>
      <c r="P378">
        <f t="shared" ca="1" si="90"/>
        <v>0</v>
      </c>
      <c r="Q378">
        <f t="shared" ca="1" si="91"/>
        <v>0</v>
      </c>
    </row>
    <row r="379" spans="1:17" s="240" customFormat="1" x14ac:dyDescent="0.25">
      <c r="A379">
        <f t="shared" si="82"/>
        <v>378</v>
      </c>
      <c r="B379" s="240" t="s">
        <v>1820</v>
      </c>
      <c r="C379" s="555">
        <v>10</v>
      </c>
      <c r="D379" t="s">
        <v>1479</v>
      </c>
      <c r="E379" t="s">
        <v>1429</v>
      </c>
      <c r="F379" s="494" t="str">
        <f>IF('PLAN PRODUCTION2'!$AG$46="","",'PLAN PRODUCTION2'!$AG$46)</f>
        <v/>
      </c>
      <c r="G379" s="494" t="str">
        <f>IF('PLAN PRODUCTION2'!$AH$46="","",'PLAN PRODUCTION2'!$AH$46)</f>
        <v/>
      </c>
      <c r="H379" t="str">
        <f t="shared" ca="1" si="92"/>
        <v>Plan Date Empty</v>
      </c>
      <c r="I379" t="str">
        <f t="shared" ca="1" si="83"/>
        <v/>
      </c>
      <c r="J379" t="str">
        <f t="shared" si="84"/>
        <v/>
      </c>
      <c r="K379" t="str">
        <f t="shared" si="85"/>
        <v/>
      </c>
      <c r="L379">
        <f t="shared" si="86"/>
        <v>0</v>
      </c>
      <c r="M379">
        <f t="shared" si="87"/>
        <v>0</v>
      </c>
      <c r="N379">
        <f t="shared" si="88"/>
        <v>0</v>
      </c>
      <c r="O379">
        <f t="shared" si="89"/>
        <v>1</v>
      </c>
      <c r="P379">
        <f t="shared" ca="1" si="90"/>
        <v>0</v>
      </c>
      <c r="Q379">
        <f t="shared" ca="1" si="91"/>
        <v>0</v>
      </c>
    </row>
    <row r="380" spans="1:17" s="240" customFormat="1" x14ac:dyDescent="0.25">
      <c r="A380">
        <f t="shared" si="82"/>
        <v>379</v>
      </c>
      <c r="B380" s="240" t="s">
        <v>1821</v>
      </c>
      <c r="C380" s="555">
        <v>18</v>
      </c>
      <c r="D380" t="s">
        <v>1466</v>
      </c>
      <c r="E380" t="s">
        <v>1420</v>
      </c>
      <c r="F380" s="494" t="str">
        <f>IF('PLAN PRODUCTION2'!$E$47="","",'PLAN PRODUCTION2'!$E$47)</f>
        <v/>
      </c>
      <c r="G380" s="494" t="str">
        <f>IF('PLAN PRODUCTION2'!$F$47="","",'PLAN PRODUCTION2'!$F$47)</f>
        <v/>
      </c>
      <c r="H380" t="str">
        <f t="shared" ca="1" si="92"/>
        <v>Plan Date Empty</v>
      </c>
      <c r="I380" t="str">
        <f t="shared" ca="1" si="83"/>
        <v/>
      </c>
      <c r="J380" t="str">
        <f t="shared" si="84"/>
        <v/>
      </c>
      <c r="K380" t="str">
        <f t="shared" si="85"/>
        <v/>
      </c>
      <c r="L380">
        <f t="shared" si="86"/>
        <v>0</v>
      </c>
      <c r="M380">
        <f t="shared" si="87"/>
        <v>0</v>
      </c>
      <c r="N380">
        <f t="shared" si="88"/>
        <v>0</v>
      </c>
      <c r="O380">
        <f t="shared" si="89"/>
        <v>1</v>
      </c>
      <c r="P380">
        <f t="shared" ca="1" si="90"/>
        <v>0</v>
      </c>
      <c r="Q380">
        <f t="shared" ca="1" si="91"/>
        <v>0</v>
      </c>
    </row>
    <row r="381" spans="1:17" s="240" customFormat="1" x14ac:dyDescent="0.25">
      <c r="A381">
        <f t="shared" si="82"/>
        <v>380</v>
      </c>
      <c r="B381" s="240" t="s">
        <v>1821</v>
      </c>
      <c r="C381" s="555">
        <v>18</v>
      </c>
      <c r="D381" t="s">
        <v>1467</v>
      </c>
      <c r="E381" t="s">
        <v>1420</v>
      </c>
      <c r="F381" s="494" t="str">
        <f>IF('PLAN PRODUCTION2'!$I$47="","",'PLAN PRODUCTION2'!$I$47)</f>
        <v/>
      </c>
      <c r="G381" s="494" t="str">
        <f>IF('PLAN PRODUCTION2'!$J$47="","",'PLAN PRODUCTION2'!$J$47)</f>
        <v/>
      </c>
      <c r="H381" t="str">
        <f t="shared" ca="1" si="92"/>
        <v>Plan Date Empty</v>
      </c>
      <c r="I381" t="str">
        <f t="shared" ca="1" si="83"/>
        <v/>
      </c>
      <c r="J381" t="str">
        <f t="shared" si="84"/>
        <v/>
      </c>
      <c r="K381" t="str">
        <f t="shared" si="85"/>
        <v/>
      </c>
      <c r="L381">
        <f t="shared" si="86"/>
        <v>0</v>
      </c>
      <c r="M381">
        <f t="shared" si="87"/>
        <v>0</v>
      </c>
      <c r="N381">
        <f t="shared" si="88"/>
        <v>0</v>
      </c>
      <c r="O381">
        <f t="shared" si="89"/>
        <v>1</v>
      </c>
      <c r="P381">
        <f t="shared" ca="1" si="90"/>
        <v>0</v>
      </c>
      <c r="Q381">
        <f t="shared" ca="1" si="91"/>
        <v>0</v>
      </c>
    </row>
    <row r="382" spans="1:17" s="240" customFormat="1" x14ac:dyDescent="0.25">
      <c r="A382">
        <f t="shared" si="82"/>
        <v>381</v>
      </c>
      <c r="B382" s="240" t="s">
        <v>1821</v>
      </c>
      <c r="C382" s="555">
        <v>18</v>
      </c>
      <c r="D382" t="s">
        <v>1468</v>
      </c>
      <c r="E382" t="s">
        <v>1420</v>
      </c>
      <c r="F382" s="494" t="str">
        <f>IF('PLAN PRODUCTION2'!$K$47="","",'PLAN PRODUCTION2'!$K$47)</f>
        <v/>
      </c>
      <c r="G382" s="494" t="str">
        <f>IF('PLAN PRODUCTION2'!$L$47="","",'PLAN PRODUCTION2'!$L$47)</f>
        <v/>
      </c>
      <c r="H382" t="str">
        <f t="shared" ca="1" si="92"/>
        <v>Plan Date Empty</v>
      </c>
      <c r="I382" t="str">
        <f t="shared" ca="1" si="83"/>
        <v/>
      </c>
      <c r="J382" t="str">
        <f t="shared" si="84"/>
        <v/>
      </c>
      <c r="K382" t="str">
        <f t="shared" si="85"/>
        <v/>
      </c>
      <c r="L382">
        <f t="shared" si="86"/>
        <v>0</v>
      </c>
      <c r="M382">
        <f t="shared" si="87"/>
        <v>0</v>
      </c>
      <c r="N382">
        <f t="shared" si="88"/>
        <v>0</v>
      </c>
      <c r="O382">
        <f t="shared" si="89"/>
        <v>1</v>
      </c>
      <c r="P382">
        <f t="shared" ca="1" si="90"/>
        <v>0</v>
      </c>
      <c r="Q382">
        <f t="shared" ca="1" si="91"/>
        <v>0</v>
      </c>
    </row>
    <row r="383" spans="1:17" s="240" customFormat="1" x14ac:dyDescent="0.25">
      <c r="A383">
        <f t="shared" si="82"/>
        <v>382</v>
      </c>
      <c r="B383" s="240" t="s">
        <v>1821</v>
      </c>
      <c r="C383" s="555">
        <v>18</v>
      </c>
      <c r="D383" t="s">
        <v>1469</v>
      </c>
      <c r="E383" t="s">
        <v>1422</v>
      </c>
      <c r="F383" s="494" t="str">
        <f>IF('PLAN PRODUCTION2'!$M$47="","",'PLAN PRODUCTION2'!$M$47)</f>
        <v/>
      </c>
      <c r="G383" s="494" t="str">
        <f>IF('PLAN PRODUCTION2'!$N$47="","",'PLAN PRODUCTION2'!$N$47)</f>
        <v/>
      </c>
      <c r="H383" t="str">
        <f t="shared" ca="1" si="92"/>
        <v>Plan Date Empty</v>
      </c>
      <c r="I383" t="str">
        <f t="shared" ca="1" si="83"/>
        <v/>
      </c>
      <c r="J383" t="str">
        <f t="shared" si="84"/>
        <v/>
      </c>
      <c r="K383" t="str">
        <f t="shared" si="85"/>
        <v/>
      </c>
      <c r="L383">
        <f t="shared" si="86"/>
        <v>0</v>
      </c>
      <c r="M383">
        <f t="shared" si="87"/>
        <v>0</v>
      </c>
      <c r="N383">
        <f t="shared" si="88"/>
        <v>0</v>
      </c>
      <c r="O383">
        <f t="shared" si="89"/>
        <v>1</v>
      </c>
      <c r="P383">
        <f t="shared" ca="1" si="90"/>
        <v>0</v>
      </c>
      <c r="Q383">
        <f t="shared" ca="1" si="91"/>
        <v>0</v>
      </c>
    </row>
    <row r="384" spans="1:17" s="240" customFormat="1" x14ac:dyDescent="0.25">
      <c r="A384">
        <f t="shared" si="82"/>
        <v>383</v>
      </c>
      <c r="B384" s="240" t="s">
        <v>1821</v>
      </c>
      <c r="C384" s="555">
        <v>18</v>
      </c>
      <c r="D384" t="s">
        <v>1470</v>
      </c>
      <c r="E384" t="s">
        <v>1422</v>
      </c>
      <c r="F384" s="494" t="str">
        <f>IF('PLAN PRODUCTION2'!$O$47="","",'PLAN PRODUCTION2'!$O$47)</f>
        <v/>
      </c>
      <c r="G384" s="494" t="str">
        <f>IF('PLAN PRODUCTION2'!$P$47="","",'PLAN PRODUCTION2'!$P$47)</f>
        <v/>
      </c>
      <c r="H384" t="str">
        <f t="shared" ca="1" si="92"/>
        <v>Plan Date Empty</v>
      </c>
      <c r="I384" t="str">
        <f t="shared" ca="1" si="83"/>
        <v/>
      </c>
      <c r="J384" t="str">
        <f t="shared" si="84"/>
        <v/>
      </c>
      <c r="K384" t="str">
        <f t="shared" si="85"/>
        <v/>
      </c>
      <c r="L384">
        <f t="shared" si="86"/>
        <v>0</v>
      </c>
      <c r="M384">
        <f t="shared" si="87"/>
        <v>0</v>
      </c>
      <c r="N384">
        <f t="shared" si="88"/>
        <v>0</v>
      </c>
      <c r="O384">
        <f t="shared" si="89"/>
        <v>1</v>
      </c>
      <c r="P384">
        <f t="shared" ca="1" si="90"/>
        <v>0</v>
      </c>
      <c r="Q384">
        <f t="shared" ca="1" si="91"/>
        <v>0</v>
      </c>
    </row>
    <row r="385" spans="1:17" s="240" customFormat="1" x14ac:dyDescent="0.25">
      <c r="A385">
        <f t="shared" si="82"/>
        <v>384</v>
      </c>
      <c r="B385" s="240" t="s">
        <v>1821</v>
      </c>
      <c r="C385" s="555">
        <v>18</v>
      </c>
      <c r="D385" t="s">
        <v>1471</v>
      </c>
      <c r="E385" t="s">
        <v>1424</v>
      </c>
      <c r="F385" s="494" t="str">
        <f>IF('PLAN PRODUCTION2'!$Q$47="","",'PLAN PRODUCTION2'!$Q$47)</f>
        <v/>
      </c>
      <c r="G385" s="494" t="str">
        <f>IF('PLAN PRODUCTION2'!$R$47="","",'PLAN PRODUCTION2'!$R$47)</f>
        <v/>
      </c>
      <c r="H385" t="str">
        <f t="shared" ca="1" si="92"/>
        <v>Plan Date Empty</v>
      </c>
      <c r="I385" t="str">
        <f t="shared" ca="1" si="83"/>
        <v/>
      </c>
      <c r="J385" t="str">
        <f t="shared" si="84"/>
        <v/>
      </c>
      <c r="K385" t="str">
        <f t="shared" si="85"/>
        <v/>
      </c>
      <c r="L385">
        <f t="shared" si="86"/>
        <v>0</v>
      </c>
      <c r="M385">
        <f t="shared" si="87"/>
        <v>0</v>
      </c>
      <c r="N385">
        <f t="shared" si="88"/>
        <v>0</v>
      </c>
      <c r="O385">
        <f t="shared" si="89"/>
        <v>1</v>
      </c>
      <c r="P385">
        <f t="shared" ca="1" si="90"/>
        <v>0</v>
      </c>
      <c r="Q385">
        <f t="shared" ca="1" si="91"/>
        <v>0</v>
      </c>
    </row>
    <row r="386" spans="1:17" s="240" customFormat="1" x14ac:dyDescent="0.25">
      <c r="A386">
        <f t="shared" si="82"/>
        <v>385</v>
      </c>
      <c r="B386" s="240" t="s">
        <v>1821</v>
      </c>
      <c r="C386" s="555">
        <v>18</v>
      </c>
      <c r="D386" t="s">
        <v>1472</v>
      </c>
      <c r="E386" t="s">
        <v>1426</v>
      </c>
      <c r="F386" s="494" t="str">
        <f>IF('PLAN PRODUCTION2'!$S$47="","",'PLAN PRODUCTION2'!$S$47)</f>
        <v/>
      </c>
      <c r="G386" s="494" t="str">
        <f>IF('PLAN PRODUCTION2'!$T$47="","",'PLAN PRODUCTION2'!$T$47)</f>
        <v/>
      </c>
      <c r="H386" t="str">
        <f t="shared" ca="1" si="92"/>
        <v>Plan Date Empty</v>
      </c>
      <c r="I386" t="str">
        <f t="shared" ca="1" si="83"/>
        <v/>
      </c>
      <c r="J386" t="str">
        <f t="shared" si="84"/>
        <v/>
      </c>
      <c r="K386" t="str">
        <f t="shared" si="85"/>
        <v/>
      </c>
      <c r="L386">
        <f t="shared" si="86"/>
        <v>0</v>
      </c>
      <c r="M386">
        <f t="shared" si="87"/>
        <v>0</v>
      </c>
      <c r="N386">
        <f t="shared" si="88"/>
        <v>0</v>
      </c>
      <c r="O386">
        <f t="shared" si="89"/>
        <v>1</v>
      </c>
      <c r="P386">
        <f t="shared" ca="1" si="90"/>
        <v>0</v>
      </c>
      <c r="Q386">
        <f t="shared" ca="1" si="91"/>
        <v>0</v>
      </c>
    </row>
    <row r="387" spans="1:17" s="240" customFormat="1" x14ac:dyDescent="0.25">
      <c r="A387">
        <f t="shared" si="82"/>
        <v>386</v>
      </c>
      <c r="B387" s="240" t="s">
        <v>1821</v>
      </c>
      <c r="C387" s="555">
        <v>18</v>
      </c>
      <c r="D387" t="s">
        <v>1473</v>
      </c>
      <c r="E387" t="s">
        <v>1426</v>
      </c>
      <c r="F387" s="494" t="str">
        <f>IF('PLAN PRODUCTION2'!$U$47="","",'PLAN PRODUCTION2'!$U$47)</f>
        <v/>
      </c>
      <c r="G387" s="494" t="str">
        <f>IF('PLAN PRODUCTION2'!$V$47="","",'PLAN PRODUCTION2'!$V$47)</f>
        <v/>
      </c>
      <c r="H387" t="str">
        <f t="shared" ca="1" si="92"/>
        <v>Plan Date Empty</v>
      </c>
      <c r="I387" t="str">
        <f t="shared" ca="1" si="83"/>
        <v/>
      </c>
      <c r="J387" t="str">
        <f t="shared" si="84"/>
        <v/>
      </c>
      <c r="K387" t="str">
        <f t="shared" si="85"/>
        <v/>
      </c>
      <c r="L387">
        <f t="shared" si="86"/>
        <v>0</v>
      </c>
      <c r="M387">
        <f t="shared" si="87"/>
        <v>0</v>
      </c>
      <c r="N387">
        <f t="shared" si="88"/>
        <v>0</v>
      </c>
      <c r="O387">
        <f t="shared" si="89"/>
        <v>1</v>
      </c>
      <c r="P387">
        <f t="shared" ca="1" si="90"/>
        <v>0</v>
      </c>
      <c r="Q387">
        <f t="shared" ca="1" si="91"/>
        <v>0</v>
      </c>
    </row>
    <row r="388" spans="1:17" s="240" customFormat="1" x14ac:dyDescent="0.25">
      <c r="A388">
        <f t="shared" si="82"/>
        <v>387</v>
      </c>
      <c r="B388" s="240" t="s">
        <v>1821</v>
      </c>
      <c r="C388" s="555">
        <v>18</v>
      </c>
      <c r="D388" t="s">
        <v>1474</v>
      </c>
      <c r="E388" t="s">
        <v>1426</v>
      </c>
      <c r="F388" s="494" t="str">
        <f>IF('PLAN PRODUCTION2'!$W$47="","",'PLAN PRODUCTION2'!$W$47)</f>
        <v/>
      </c>
      <c r="G388" s="494" t="str">
        <f>IF('PLAN PRODUCTION2'!$X$47="","",'PLAN PRODUCTION2'!$X$47)</f>
        <v/>
      </c>
      <c r="H388" t="str">
        <f t="shared" ca="1" si="92"/>
        <v>Plan Date Empty</v>
      </c>
      <c r="I388" t="str">
        <f t="shared" ca="1" si="83"/>
        <v/>
      </c>
      <c r="J388" t="str">
        <f t="shared" si="84"/>
        <v/>
      </c>
      <c r="K388" t="str">
        <f t="shared" si="85"/>
        <v/>
      </c>
      <c r="L388">
        <f t="shared" si="86"/>
        <v>0</v>
      </c>
      <c r="M388">
        <f t="shared" si="87"/>
        <v>0</v>
      </c>
      <c r="N388">
        <f t="shared" si="88"/>
        <v>0</v>
      </c>
      <c r="O388">
        <f t="shared" si="89"/>
        <v>1</v>
      </c>
      <c r="P388">
        <f t="shared" ca="1" si="90"/>
        <v>0</v>
      </c>
      <c r="Q388">
        <f t="shared" ca="1" si="91"/>
        <v>0</v>
      </c>
    </row>
    <row r="389" spans="1:17" s="240" customFormat="1" x14ac:dyDescent="0.25">
      <c r="A389">
        <f t="shared" si="82"/>
        <v>388</v>
      </c>
      <c r="B389" s="240" t="s">
        <v>1821</v>
      </c>
      <c r="C389" s="555">
        <v>18</v>
      </c>
      <c r="D389" t="s">
        <v>1475</v>
      </c>
      <c r="E389" t="s">
        <v>1426</v>
      </c>
      <c r="F389" s="494" t="str">
        <f>IF('PLAN PRODUCTION2'!$Y$47="","",'PLAN PRODUCTION2'!$Y$47)</f>
        <v/>
      </c>
      <c r="G389" s="494" t="str">
        <f>IF('PLAN PRODUCTION2'!$Z$47="","",'PLAN PRODUCTION2'!$Z$47)</f>
        <v/>
      </c>
      <c r="H389" t="str">
        <f t="shared" ca="1" si="92"/>
        <v>Plan Date Empty</v>
      </c>
      <c r="I389" t="str">
        <f t="shared" ca="1" si="83"/>
        <v/>
      </c>
      <c r="J389" t="str">
        <f t="shared" si="84"/>
        <v/>
      </c>
      <c r="K389" t="str">
        <f t="shared" si="85"/>
        <v/>
      </c>
      <c r="L389">
        <f t="shared" si="86"/>
        <v>0</v>
      </c>
      <c r="M389">
        <f t="shared" si="87"/>
        <v>0</v>
      </c>
      <c r="N389">
        <f t="shared" si="88"/>
        <v>0</v>
      </c>
      <c r="O389">
        <f t="shared" si="89"/>
        <v>1</v>
      </c>
      <c r="P389">
        <f t="shared" ca="1" si="90"/>
        <v>0</v>
      </c>
      <c r="Q389">
        <f t="shared" ca="1" si="91"/>
        <v>0</v>
      </c>
    </row>
    <row r="390" spans="1:17" s="240" customFormat="1" x14ac:dyDescent="0.25">
      <c r="A390">
        <f t="shared" si="82"/>
        <v>389</v>
      </c>
      <c r="B390" s="240" t="s">
        <v>1821</v>
      </c>
      <c r="C390" s="555">
        <v>18</v>
      </c>
      <c r="D390" t="s">
        <v>1476</v>
      </c>
      <c r="E390" t="s">
        <v>1426</v>
      </c>
      <c r="F390" s="494" t="str">
        <f>IF('PLAN PRODUCTION2'!$AA$47="","",'PLAN PRODUCTION2'!$AA$47)</f>
        <v/>
      </c>
      <c r="G390" s="494" t="str">
        <f>IF('PLAN PRODUCTION2'!$AB$47="","",'PLAN PRODUCTION2'!$AB$47)</f>
        <v/>
      </c>
      <c r="H390" t="str">
        <f t="shared" ca="1" si="92"/>
        <v>Plan Date Empty</v>
      </c>
      <c r="I390" t="str">
        <f t="shared" ca="1" si="83"/>
        <v/>
      </c>
      <c r="J390" t="str">
        <f t="shared" si="84"/>
        <v/>
      </c>
      <c r="K390" t="str">
        <f t="shared" si="85"/>
        <v/>
      </c>
      <c r="L390">
        <f t="shared" si="86"/>
        <v>0</v>
      </c>
      <c r="M390">
        <f t="shared" si="87"/>
        <v>0</v>
      </c>
      <c r="N390">
        <f t="shared" si="88"/>
        <v>0</v>
      </c>
      <c r="O390">
        <f t="shared" si="89"/>
        <v>1</v>
      </c>
      <c r="P390">
        <f t="shared" ca="1" si="90"/>
        <v>0</v>
      </c>
      <c r="Q390">
        <f t="shared" ca="1" si="91"/>
        <v>0</v>
      </c>
    </row>
    <row r="391" spans="1:17" s="240" customFormat="1" x14ac:dyDescent="0.25">
      <c r="A391">
        <f t="shared" si="82"/>
        <v>390</v>
      </c>
      <c r="B391" s="240" t="s">
        <v>1821</v>
      </c>
      <c r="C391" s="555">
        <v>18</v>
      </c>
      <c r="D391" t="s">
        <v>1477</v>
      </c>
      <c r="E391" t="s">
        <v>1422</v>
      </c>
      <c r="F391" s="494" t="str">
        <f>IF('PLAN PRODUCTION2'!$AC$47="","",'PLAN PRODUCTION2'!$AC$47)</f>
        <v/>
      </c>
      <c r="G391" s="494" t="str">
        <f>IF('PLAN PRODUCTION2'!$AD$47="","",'PLAN PRODUCTION2'!$AD$47)</f>
        <v/>
      </c>
      <c r="H391" t="str">
        <f t="shared" ca="1" si="92"/>
        <v>Plan Date Empty</v>
      </c>
      <c r="I391" t="str">
        <f t="shared" ca="1" si="83"/>
        <v/>
      </c>
      <c r="J391" t="str">
        <f t="shared" si="84"/>
        <v/>
      </c>
      <c r="K391" t="str">
        <f t="shared" si="85"/>
        <v/>
      </c>
      <c r="L391">
        <f t="shared" si="86"/>
        <v>0</v>
      </c>
      <c r="M391">
        <f t="shared" si="87"/>
        <v>0</v>
      </c>
      <c r="N391">
        <f t="shared" si="88"/>
        <v>0</v>
      </c>
      <c r="O391">
        <f t="shared" si="89"/>
        <v>1</v>
      </c>
      <c r="P391">
        <f t="shared" ca="1" si="90"/>
        <v>0</v>
      </c>
      <c r="Q391">
        <f t="shared" ca="1" si="91"/>
        <v>0</v>
      </c>
    </row>
    <row r="392" spans="1:17" s="240" customFormat="1" x14ac:dyDescent="0.25">
      <c r="A392">
        <f t="shared" si="82"/>
        <v>391</v>
      </c>
      <c r="B392" s="240" t="s">
        <v>1821</v>
      </c>
      <c r="C392" s="555">
        <v>18</v>
      </c>
      <c r="D392" t="s">
        <v>1478</v>
      </c>
      <c r="E392" t="s">
        <v>1429</v>
      </c>
      <c r="F392" s="494" t="str">
        <f>IF('PLAN PRODUCTION2'!$AE$47="","",'PLAN PRODUCTION2'!$AE$47)</f>
        <v/>
      </c>
      <c r="G392" s="494" t="str">
        <f>IF('PLAN PRODUCTION2'!$AF$47="","",'PLAN PRODUCTION2'!$AF$47)</f>
        <v/>
      </c>
      <c r="H392" t="str">
        <f t="shared" ca="1" si="92"/>
        <v>Plan Date Empty</v>
      </c>
      <c r="I392" t="str">
        <f t="shared" ca="1" si="83"/>
        <v/>
      </c>
      <c r="J392" t="str">
        <f t="shared" si="84"/>
        <v/>
      </c>
      <c r="K392" t="str">
        <f t="shared" si="85"/>
        <v/>
      </c>
      <c r="L392">
        <f t="shared" si="86"/>
        <v>0</v>
      </c>
      <c r="M392">
        <f t="shared" si="87"/>
        <v>0</v>
      </c>
      <c r="N392">
        <f t="shared" si="88"/>
        <v>0</v>
      </c>
      <c r="O392">
        <f t="shared" si="89"/>
        <v>1</v>
      </c>
      <c r="P392">
        <f t="shared" ca="1" si="90"/>
        <v>0</v>
      </c>
      <c r="Q392">
        <f t="shared" ca="1" si="91"/>
        <v>0</v>
      </c>
    </row>
    <row r="393" spans="1:17" s="240" customFormat="1" x14ac:dyDescent="0.25">
      <c r="A393">
        <f t="shared" si="82"/>
        <v>392</v>
      </c>
      <c r="B393" s="240" t="s">
        <v>1821</v>
      </c>
      <c r="C393" s="555">
        <v>18</v>
      </c>
      <c r="D393" t="s">
        <v>1479</v>
      </c>
      <c r="E393" t="s">
        <v>1429</v>
      </c>
      <c r="F393" s="494" t="str">
        <f>IF('PLAN PRODUCTION2'!$AG$47="","",'PLAN PRODUCTION2'!$AG$47)</f>
        <v/>
      </c>
      <c r="G393" s="494" t="str">
        <f>IF('PLAN PRODUCTION2'!$AH$47="","",'PLAN PRODUCTION2'!$AH$47)</f>
        <v/>
      </c>
      <c r="H393" t="str">
        <f t="shared" ca="1" si="92"/>
        <v>Plan Date Empty</v>
      </c>
      <c r="I393" t="str">
        <f t="shared" ca="1" si="83"/>
        <v/>
      </c>
      <c r="J393" t="str">
        <f t="shared" si="84"/>
        <v/>
      </c>
      <c r="K393" t="str">
        <f t="shared" si="85"/>
        <v/>
      </c>
      <c r="L393">
        <f t="shared" si="86"/>
        <v>0</v>
      </c>
      <c r="M393">
        <f t="shared" si="87"/>
        <v>0</v>
      </c>
      <c r="N393">
        <f t="shared" si="88"/>
        <v>0</v>
      </c>
      <c r="O393">
        <f t="shared" si="89"/>
        <v>1</v>
      </c>
      <c r="P393">
        <f t="shared" ca="1" si="90"/>
        <v>0</v>
      </c>
      <c r="Q393">
        <f t="shared" ca="1" si="91"/>
        <v>0</v>
      </c>
    </row>
    <row r="394" spans="1:17" s="240" customFormat="1" x14ac:dyDescent="0.25">
      <c r="A394">
        <f t="shared" si="82"/>
        <v>393</v>
      </c>
      <c r="B394" s="240" t="s">
        <v>1822</v>
      </c>
      <c r="C394" s="555">
        <v>17</v>
      </c>
      <c r="D394" t="s">
        <v>1466</v>
      </c>
      <c r="E394" t="s">
        <v>1420</v>
      </c>
      <c r="F394" s="494" t="str">
        <f>IF('PLAN PRODUCTION2'!$E$48="","",'PLAN PRODUCTION2'!$E$48)</f>
        <v/>
      </c>
      <c r="G394" s="494" t="str">
        <f>IF('PLAN PRODUCTION2'!$F$48="","",'PLAN PRODUCTION2'!$F$48)</f>
        <v/>
      </c>
      <c r="H394" t="str">
        <f t="shared" ca="1" si="92"/>
        <v>Plan Date Empty</v>
      </c>
      <c r="I394" t="str">
        <f t="shared" ca="1" si="83"/>
        <v/>
      </c>
      <c r="J394" t="str">
        <f t="shared" si="84"/>
        <v/>
      </c>
      <c r="K394" t="str">
        <f t="shared" si="85"/>
        <v/>
      </c>
      <c r="L394">
        <f t="shared" si="86"/>
        <v>0</v>
      </c>
      <c r="M394">
        <f t="shared" si="87"/>
        <v>0</v>
      </c>
      <c r="N394">
        <f t="shared" si="88"/>
        <v>0</v>
      </c>
      <c r="O394">
        <f t="shared" si="89"/>
        <v>1</v>
      </c>
      <c r="P394">
        <f t="shared" ca="1" si="90"/>
        <v>0</v>
      </c>
      <c r="Q394">
        <f t="shared" ca="1" si="91"/>
        <v>0</v>
      </c>
    </row>
    <row r="395" spans="1:17" s="240" customFormat="1" x14ac:dyDescent="0.25">
      <c r="A395">
        <f t="shared" si="82"/>
        <v>394</v>
      </c>
      <c r="B395" s="240" t="s">
        <v>1822</v>
      </c>
      <c r="C395" s="555">
        <v>17</v>
      </c>
      <c r="D395" t="s">
        <v>1467</v>
      </c>
      <c r="E395" t="s">
        <v>1420</v>
      </c>
      <c r="F395" s="494" t="str">
        <f>IF('PLAN PRODUCTION2'!$I$48="","",'PLAN PRODUCTION2'!$I$48)</f>
        <v/>
      </c>
      <c r="G395" s="494" t="str">
        <f>IF('PLAN PRODUCTION2'!$J$48="","",'PLAN PRODUCTION2'!$J$48)</f>
        <v/>
      </c>
      <c r="H395" t="str">
        <f t="shared" ca="1" si="92"/>
        <v>Plan Date Empty</v>
      </c>
      <c r="I395" t="str">
        <f t="shared" ca="1" si="83"/>
        <v/>
      </c>
      <c r="J395" t="str">
        <f t="shared" si="84"/>
        <v/>
      </c>
      <c r="K395" t="str">
        <f t="shared" si="85"/>
        <v/>
      </c>
      <c r="L395">
        <f t="shared" si="86"/>
        <v>0</v>
      </c>
      <c r="M395">
        <f t="shared" si="87"/>
        <v>0</v>
      </c>
      <c r="N395">
        <f t="shared" si="88"/>
        <v>0</v>
      </c>
      <c r="O395">
        <f t="shared" si="89"/>
        <v>1</v>
      </c>
      <c r="P395">
        <f t="shared" ca="1" si="90"/>
        <v>0</v>
      </c>
      <c r="Q395">
        <f t="shared" ca="1" si="91"/>
        <v>0</v>
      </c>
    </row>
    <row r="396" spans="1:17" s="240" customFormat="1" x14ac:dyDescent="0.25">
      <c r="A396">
        <f t="shared" si="82"/>
        <v>395</v>
      </c>
      <c r="B396" s="240" t="s">
        <v>1822</v>
      </c>
      <c r="C396" s="555">
        <v>17</v>
      </c>
      <c r="D396" t="s">
        <v>1468</v>
      </c>
      <c r="E396" t="s">
        <v>1420</v>
      </c>
      <c r="F396" s="494" t="str">
        <f>IF('PLAN PRODUCTION2'!$K$48="","",'PLAN PRODUCTION2'!$K$48)</f>
        <v/>
      </c>
      <c r="G396" s="494" t="str">
        <f>IF('PLAN PRODUCTION2'!$L$48="","",'PLAN PRODUCTION2'!$L$48)</f>
        <v/>
      </c>
      <c r="H396" t="str">
        <f t="shared" ca="1" si="92"/>
        <v>Plan Date Empty</v>
      </c>
      <c r="I396" t="str">
        <f t="shared" ca="1" si="83"/>
        <v/>
      </c>
      <c r="J396" t="str">
        <f t="shared" si="84"/>
        <v/>
      </c>
      <c r="K396" t="str">
        <f t="shared" si="85"/>
        <v/>
      </c>
      <c r="L396">
        <f t="shared" si="86"/>
        <v>0</v>
      </c>
      <c r="M396">
        <f t="shared" si="87"/>
        <v>0</v>
      </c>
      <c r="N396">
        <f t="shared" si="88"/>
        <v>0</v>
      </c>
      <c r="O396">
        <f t="shared" si="89"/>
        <v>1</v>
      </c>
      <c r="P396">
        <f t="shared" ca="1" si="90"/>
        <v>0</v>
      </c>
      <c r="Q396">
        <f t="shared" ca="1" si="91"/>
        <v>0</v>
      </c>
    </row>
    <row r="397" spans="1:17" s="240" customFormat="1" x14ac:dyDescent="0.25">
      <c r="A397">
        <f t="shared" si="82"/>
        <v>396</v>
      </c>
      <c r="B397" s="240" t="s">
        <v>1822</v>
      </c>
      <c r="C397" s="555">
        <v>17</v>
      </c>
      <c r="D397" t="s">
        <v>1469</v>
      </c>
      <c r="E397" t="s">
        <v>1422</v>
      </c>
      <c r="F397" s="494" t="str">
        <f>IF('PLAN PRODUCTION2'!$M$48="","",'PLAN PRODUCTION2'!$M$48)</f>
        <v/>
      </c>
      <c r="G397" s="494" t="str">
        <f>IF('PLAN PRODUCTION2'!$N$48="","",'PLAN PRODUCTION2'!$N$48)</f>
        <v/>
      </c>
      <c r="H397" t="str">
        <f t="shared" ca="1" si="92"/>
        <v>Plan Date Empty</v>
      </c>
      <c r="I397" t="str">
        <f t="shared" ca="1" si="83"/>
        <v/>
      </c>
      <c r="J397" t="str">
        <f t="shared" si="84"/>
        <v/>
      </c>
      <c r="K397" t="str">
        <f t="shared" si="85"/>
        <v/>
      </c>
      <c r="L397">
        <f t="shared" si="86"/>
        <v>0</v>
      </c>
      <c r="M397">
        <f t="shared" si="87"/>
        <v>0</v>
      </c>
      <c r="N397">
        <f t="shared" si="88"/>
        <v>0</v>
      </c>
      <c r="O397">
        <f t="shared" si="89"/>
        <v>1</v>
      </c>
      <c r="P397">
        <f t="shared" ca="1" si="90"/>
        <v>0</v>
      </c>
      <c r="Q397">
        <f t="shared" ca="1" si="91"/>
        <v>0</v>
      </c>
    </row>
    <row r="398" spans="1:17" s="240" customFormat="1" x14ac:dyDescent="0.25">
      <c r="A398">
        <f t="shared" si="82"/>
        <v>397</v>
      </c>
      <c r="B398" s="240" t="s">
        <v>1822</v>
      </c>
      <c r="C398" s="555">
        <v>17</v>
      </c>
      <c r="D398" t="s">
        <v>1470</v>
      </c>
      <c r="E398" t="s">
        <v>1422</v>
      </c>
      <c r="F398" s="494" t="str">
        <f>IF('PLAN PRODUCTION2'!$O$48="","",'PLAN PRODUCTION2'!$O$48)</f>
        <v/>
      </c>
      <c r="G398" s="494" t="str">
        <f>IF('PLAN PRODUCTION2'!$P$48="","",'PLAN PRODUCTION2'!$P$48)</f>
        <v/>
      </c>
      <c r="H398" t="str">
        <f t="shared" ca="1" si="92"/>
        <v>Plan Date Empty</v>
      </c>
      <c r="I398" t="str">
        <f t="shared" ca="1" si="83"/>
        <v/>
      </c>
      <c r="J398" t="str">
        <f t="shared" si="84"/>
        <v/>
      </c>
      <c r="K398" t="str">
        <f t="shared" si="85"/>
        <v/>
      </c>
      <c r="L398">
        <f t="shared" si="86"/>
        <v>0</v>
      </c>
      <c r="M398">
        <f t="shared" si="87"/>
        <v>0</v>
      </c>
      <c r="N398">
        <f t="shared" si="88"/>
        <v>0</v>
      </c>
      <c r="O398">
        <f t="shared" si="89"/>
        <v>1</v>
      </c>
      <c r="P398">
        <f t="shared" ca="1" si="90"/>
        <v>0</v>
      </c>
      <c r="Q398">
        <f t="shared" ca="1" si="91"/>
        <v>0</v>
      </c>
    </row>
    <row r="399" spans="1:17" s="240" customFormat="1" x14ac:dyDescent="0.25">
      <c r="A399">
        <f t="shared" si="82"/>
        <v>398</v>
      </c>
      <c r="B399" s="240" t="s">
        <v>1822</v>
      </c>
      <c r="C399" s="555">
        <v>17</v>
      </c>
      <c r="D399" t="s">
        <v>1471</v>
      </c>
      <c r="E399" t="s">
        <v>1424</v>
      </c>
      <c r="F399" s="494" t="str">
        <f>IF('PLAN PRODUCTION2'!$Q$48="","",'PLAN PRODUCTION2'!$Q$48)</f>
        <v/>
      </c>
      <c r="G399" s="494" t="str">
        <f>IF('PLAN PRODUCTION2'!$R$48="","",'PLAN PRODUCTION2'!$R$48)</f>
        <v/>
      </c>
      <c r="H399" t="str">
        <f t="shared" ca="1" si="92"/>
        <v>Plan Date Empty</v>
      </c>
      <c r="I399" t="str">
        <f t="shared" ca="1" si="83"/>
        <v/>
      </c>
      <c r="J399" t="str">
        <f t="shared" si="84"/>
        <v/>
      </c>
      <c r="K399" t="str">
        <f t="shared" si="85"/>
        <v/>
      </c>
      <c r="L399">
        <f t="shared" si="86"/>
        <v>0</v>
      </c>
      <c r="M399">
        <f t="shared" si="87"/>
        <v>0</v>
      </c>
      <c r="N399">
        <f t="shared" si="88"/>
        <v>0</v>
      </c>
      <c r="O399">
        <f t="shared" si="89"/>
        <v>1</v>
      </c>
      <c r="P399">
        <f t="shared" ca="1" si="90"/>
        <v>0</v>
      </c>
      <c r="Q399">
        <f t="shared" ca="1" si="91"/>
        <v>0</v>
      </c>
    </row>
    <row r="400" spans="1:17" s="240" customFormat="1" x14ac:dyDescent="0.25">
      <c r="A400">
        <f t="shared" si="82"/>
        <v>399</v>
      </c>
      <c r="B400" s="240" t="s">
        <v>1822</v>
      </c>
      <c r="C400" s="555">
        <v>17</v>
      </c>
      <c r="D400" t="s">
        <v>1472</v>
      </c>
      <c r="E400" t="s">
        <v>1426</v>
      </c>
      <c r="F400" s="494" t="str">
        <f>IF('PLAN PRODUCTION2'!$S$48="","",'PLAN PRODUCTION2'!$S$48)</f>
        <v/>
      </c>
      <c r="G400" s="494" t="str">
        <f>IF('PLAN PRODUCTION2'!$T$48="","",'PLAN PRODUCTION2'!$T$48)</f>
        <v/>
      </c>
      <c r="H400" t="str">
        <f t="shared" ca="1" si="92"/>
        <v>Plan Date Empty</v>
      </c>
      <c r="I400" t="str">
        <f t="shared" ca="1" si="83"/>
        <v/>
      </c>
      <c r="J400" t="str">
        <f t="shared" si="84"/>
        <v/>
      </c>
      <c r="K400" t="str">
        <f t="shared" si="85"/>
        <v/>
      </c>
      <c r="L400">
        <f t="shared" si="86"/>
        <v>0</v>
      </c>
      <c r="M400">
        <f t="shared" si="87"/>
        <v>0</v>
      </c>
      <c r="N400">
        <f t="shared" si="88"/>
        <v>0</v>
      </c>
      <c r="O400">
        <f t="shared" si="89"/>
        <v>1</v>
      </c>
      <c r="P400">
        <f t="shared" ca="1" si="90"/>
        <v>0</v>
      </c>
      <c r="Q400">
        <f t="shared" ca="1" si="91"/>
        <v>0</v>
      </c>
    </row>
    <row r="401" spans="1:17" s="240" customFormat="1" x14ac:dyDescent="0.25">
      <c r="A401">
        <f t="shared" si="82"/>
        <v>400</v>
      </c>
      <c r="B401" s="240" t="s">
        <v>1822</v>
      </c>
      <c r="C401" s="555">
        <v>17</v>
      </c>
      <c r="D401" t="s">
        <v>1473</v>
      </c>
      <c r="E401" t="s">
        <v>1426</v>
      </c>
      <c r="F401" s="494" t="str">
        <f>IF('PLAN PRODUCTION2'!$U$48="","",'PLAN PRODUCTION2'!$U$48)</f>
        <v/>
      </c>
      <c r="G401" s="494" t="str">
        <f>IF('PLAN PRODUCTION2'!$V$48="","",'PLAN PRODUCTION2'!$V$48)</f>
        <v/>
      </c>
      <c r="H401" t="str">
        <f t="shared" ca="1" si="92"/>
        <v>Plan Date Empty</v>
      </c>
      <c r="I401" t="str">
        <f t="shared" ca="1" si="83"/>
        <v/>
      </c>
      <c r="J401" t="str">
        <f t="shared" si="84"/>
        <v/>
      </c>
      <c r="K401" t="str">
        <f t="shared" si="85"/>
        <v/>
      </c>
      <c r="L401">
        <f t="shared" si="86"/>
        <v>0</v>
      </c>
      <c r="M401">
        <f t="shared" si="87"/>
        <v>0</v>
      </c>
      <c r="N401">
        <f t="shared" si="88"/>
        <v>0</v>
      </c>
      <c r="O401">
        <f t="shared" si="89"/>
        <v>1</v>
      </c>
      <c r="P401">
        <f t="shared" ca="1" si="90"/>
        <v>0</v>
      </c>
      <c r="Q401">
        <f t="shared" ca="1" si="91"/>
        <v>0</v>
      </c>
    </row>
    <row r="402" spans="1:17" s="240" customFormat="1" x14ac:dyDescent="0.25">
      <c r="A402">
        <f t="shared" si="82"/>
        <v>401</v>
      </c>
      <c r="B402" s="240" t="s">
        <v>1822</v>
      </c>
      <c r="C402" s="555">
        <v>17</v>
      </c>
      <c r="D402" t="s">
        <v>1474</v>
      </c>
      <c r="E402" t="s">
        <v>1426</v>
      </c>
      <c r="F402" s="494" t="str">
        <f>IF('PLAN PRODUCTION2'!$W$48="","",'PLAN PRODUCTION2'!$W$48)</f>
        <v/>
      </c>
      <c r="G402" s="494" t="str">
        <f>IF('PLAN PRODUCTION2'!$X$48="","",'PLAN PRODUCTION2'!$X$48)</f>
        <v/>
      </c>
      <c r="H402" t="str">
        <f t="shared" ca="1" si="92"/>
        <v>Plan Date Empty</v>
      </c>
      <c r="I402" t="str">
        <f t="shared" ca="1" si="83"/>
        <v/>
      </c>
      <c r="J402" t="str">
        <f t="shared" si="84"/>
        <v/>
      </c>
      <c r="K402" t="str">
        <f t="shared" si="85"/>
        <v/>
      </c>
      <c r="L402">
        <f t="shared" si="86"/>
        <v>0</v>
      </c>
      <c r="M402">
        <f t="shared" si="87"/>
        <v>0</v>
      </c>
      <c r="N402">
        <f t="shared" si="88"/>
        <v>0</v>
      </c>
      <c r="O402">
        <f t="shared" si="89"/>
        <v>1</v>
      </c>
      <c r="P402">
        <f t="shared" ca="1" si="90"/>
        <v>0</v>
      </c>
      <c r="Q402">
        <f t="shared" ca="1" si="91"/>
        <v>0</v>
      </c>
    </row>
    <row r="403" spans="1:17" s="240" customFormat="1" x14ac:dyDescent="0.25">
      <c r="A403">
        <f t="shared" si="82"/>
        <v>402</v>
      </c>
      <c r="B403" s="240" t="s">
        <v>1822</v>
      </c>
      <c r="C403" s="555">
        <v>17</v>
      </c>
      <c r="D403" t="s">
        <v>1475</v>
      </c>
      <c r="E403" t="s">
        <v>1426</v>
      </c>
      <c r="F403" s="494" t="str">
        <f>IF('PLAN PRODUCTION2'!$Y$48="","",'PLAN PRODUCTION2'!$Y$48)</f>
        <v/>
      </c>
      <c r="G403" s="494" t="str">
        <f>IF('PLAN PRODUCTION2'!$Z$48="","",'PLAN PRODUCTION2'!$Z$48)</f>
        <v/>
      </c>
      <c r="H403" t="str">
        <f t="shared" ca="1" si="92"/>
        <v>Plan Date Empty</v>
      </c>
      <c r="I403" t="str">
        <f t="shared" ca="1" si="83"/>
        <v/>
      </c>
      <c r="J403" t="str">
        <f t="shared" si="84"/>
        <v/>
      </c>
      <c r="K403" t="str">
        <f t="shared" si="85"/>
        <v/>
      </c>
      <c r="L403">
        <f t="shared" si="86"/>
        <v>0</v>
      </c>
      <c r="M403">
        <f t="shared" si="87"/>
        <v>0</v>
      </c>
      <c r="N403">
        <f t="shared" si="88"/>
        <v>0</v>
      </c>
      <c r="O403">
        <f t="shared" si="89"/>
        <v>1</v>
      </c>
      <c r="P403">
        <f t="shared" ca="1" si="90"/>
        <v>0</v>
      </c>
      <c r="Q403">
        <f t="shared" ca="1" si="91"/>
        <v>0</v>
      </c>
    </row>
    <row r="404" spans="1:17" s="240" customFormat="1" x14ac:dyDescent="0.25">
      <c r="A404">
        <f t="shared" si="82"/>
        <v>403</v>
      </c>
      <c r="B404" s="240" t="s">
        <v>1822</v>
      </c>
      <c r="C404" s="555">
        <v>17</v>
      </c>
      <c r="D404" t="s">
        <v>1476</v>
      </c>
      <c r="E404" t="s">
        <v>1426</v>
      </c>
      <c r="F404" s="494" t="str">
        <f>IF('PLAN PRODUCTION2'!$AA$48="","",'PLAN PRODUCTION2'!$AA$48)</f>
        <v/>
      </c>
      <c r="G404" s="494" t="str">
        <f>IF('PLAN PRODUCTION2'!$AB$48="","",'PLAN PRODUCTION2'!$AB$48)</f>
        <v/>
      </c>
      <c r="H404" t="str">
        <f t="shared" ca="1" si="92"/>
        <v>Plan Date Empty</v>
      </c>
      <c r="I404" t="str">
        <f t="shared" ca="1" si="83"/>
        <v/>
      </c>
      <c r="J404" t="str">
        <f t="shared" si="84"/>
        <v/>
      </c>
      <c r="K404" t="str">
        <f t="shared" si="85"/>
        <v/>
      </c>
      <c r="L404">
        <f t="shared" si="86"/>
        <v>0</v>
      </c>
      <c r="M404">
        <f t="shared" si="87"/>
        <v>0</v>
      </c>
      <c r="N404">
        <f t="shared" si="88"/>
        <v>0</v>
      </c>
      <c r="O404">
        <f t="shared" si="89"/>
        <v>1</v>
      </c>
      <c r="P404">
        <f t="shared" ca="1" si="90"/>
        <v>0</v>
      </c>
      <c r="Q404">
        <f t="shared" ca="1" si="91"/>
        <v>0</v>
      </c>
    </row>
    <row r="405" spans="1:17" s="240" customFormat="1" x14ac:dyDescent="0.25">
      <c r="A405">
        <f t="shared" si="82"/>
        <v>404</v>
      </c>
      <c r="B405" s="240" t="s">
        <v>1822</v>
      </c>
      <c r="C405" s="555">
        <v>17</v>
      </c>
      <c r="D405" t="s">
        <v>1477</v>
      </c>
      <c r="E405" t="s">
        <v>1422</v>
      </c>
      <c r="F405" s="494" t="str">
        <f>IF('PLAN PRODUCTION2'!$AC$48="","",'PLAN PRODUCTION2'!$AC$48)</f>
        <v/>
      </c>
      <c r="G405" s="494" t="str">
        <f>IF('PLAN PRODUCTION2'!$AD$48="","",'PLAN PRODUCTION2'!$AD$48)</f>
        <v/>
      </c>
      <c r="H405" t="str">
        <f t="shared" ca="1" si="92"/>
        <v>Plan Date Empty</v>
      </c>
      <c r="I405" t="str">
        <f t="shared" ca="1" si="83"/>
        <v/>
      </c>
      <c r="J405" t="str">
        <f t="shared" si="84"/>
        <v/>
      </c>
      <c r="K405" t="str">
        <f t="shared" si="85"/>
        <v/>
      </c>
      <c r="L405">
        <f t="shared" si="86"/>
        <v>0</v>
      </c>
      <c r="M405">
        <f t="shared" si="87"/>
        <v>0</v>
      </c>
      <c r="N405">
        <f t="shared" si="88"/>
        <v>0</v>
      </c>
      <c r="O405">
        <f t="shared" si="89"/>
        <v>1</v>
      </c>
      <c r="P405">
        <f t="shared" ca="1" si="90"/>
        <v>0</v>
      </c>
      <c r="Q405">
        <f t="shared" ca="1" si="91"/>
        <v>0</v>
      </c>
    </row>
    <row r="406" spans="1:17" s="240" customFormat="1" x14ac:dyDescent="0.25">
      <c r="A406">
        <f t="shared" si="82"/>
        <v>405</v>
      </c>
      <c r="B406" s="240" t="s">
        <v>1822</v>
      </c>
      <c r="C406" s="555">
        <v>17</v>
      </c>
      <c r="D406" t="s">
        <v>1478</v>
      </c>
      <c r="E406" t="s">
        <v>1429</v>
      </c>
      <c r="F406" s="494" t="str">
        <f>IF('PLAN PRODUCTION2'!$AE$48="","",'PLAN PRODUCTION2'!$AE$48)</f>
        <v/>
      </c>
      <c r="G406" s="494" t="str">
        <f>IF('PLAN PRODUCTION2'!$AF$48="","",'PLAN PRODUCTION2'!$AF$48)</f>
        <v/>
      </c>
      <c r="H406" t="str">
        <f t="shared" ca="1" si="92"/>
        <v>Plan Date Empty</v>
      </c>
      <c r="I406" t="str">
        <f t="shared" ca="1" si="83"/>
        <v/>
      </c>
      <c r="J406" t="str">
        <f t="shared" si="84"/>
        <v/>
      </c>
      <c r="K406" t="str">
        <f t="shared" si="85"/>
        <v/>
      </c>
      <c r="L406">
        <f t="shared" si="86"/>
        <v>0</v>
      </c>
      <c r="M406">
        <f t="shared" si="87"/>
        <v>0</v>
      </c>
      <c r="N406">
        <f t="shared" si="88"/>
        <v>0</v>
      </c>
      <c r="O406">
        <f t="shared" si="89"/>
        <v>1</v>
      </c>
      <c r="P406">
        <f t="shared" ca="1" si="90"/>
        <v>0</v>
      </c>
      <c r="Q406">
        <f t="shared" ca="1" si="91"/>
        <v>0</v>
      </c>
    </row>
    <row r="407" spans="1:17" s="240" customFormat="1" x14ac:dyDescent="0.25">
      <c r="A407">
        <f t="shared" si="82"/>
        <v>406</v>
      </c>
      <c r="B407" s="240" t="s">
        <v>1822</v>
      </c>
      <c r="C407" s="555">
        <v>17</v>
      </c>
      <c r="D407" t="s">
        <v>1479</v>
      </c>
      <c r="E407" t="s">
        <v>1429</v>
      </c>
      <c r="F407" s="494" t="str">
        <f>IF('PLAN PRODUCTION2'!$AG$48="","",'PLAN PRODUCTION2'!$AG$48)</f>
        <v/>
      </c>
      <c r="G407" s="494" t="str">
        <f>IF('PLAN PRODUCTION2'!$AH$48="","",'PLAN PRODUCTION2'!$AH$48)</f>
        <v/>
      </c>
      <c r="H407" t="str">
        <f t="shared" ca="1" si="92"/>
        <v>Plan Date Empty</v>
      </c>
      <c r="I407" t="str">
        <f t="shared" ca="1" si="83"/>
        <v/>
      </c>
      <c r="J407" t="str">
        <f t="shared" si="84"/>
        <v/>
      </c>
      <c r="K407" t="str">
        <f t="shared" si="85"/>
        <v/>
      </c>
      <c r="L407">
        <f t="shared" si="86"/>
        <v>0</v>
      </c>
      <c r="M407">
        <f t="shared" si="87"/>
        <v>0</v>
      </c>
      <c r="N407">
        <f t="shared" si="88"/>
        <v>0</v>
      </c>
      <c r="O407">
        <f t="shared" si="89"/>
        <v>1</v>
      </c>
      <c r="P407">
        <f t="shared" ca="1" si="90"/>
        <v>0</v>
      </c>
      <c r="Q407">
        <f t="shared" ca="1" si="91"/>
        <v>0</v>
      </c>
    </row>
    <row r="408" spans="1:17" s="240" customFormat="1" x14ac:dyDescent="0.25">
      <c r="A408">
        <f t="shared" si="82"/>
        <v>407</v>
      </c>
      <c r="B408" s="240" t="s">
        <v>1823</v>
      </c>
      <c r="C408" s="555">
        <v>159</v>
      </c>
      <c r="D408" t="s">
        <v>1466</v>
      </c>
      <c r="E408" t="s">
        <v>1420</v>
      </c>
      <c r="F408" s="494" t="str">
        <f>IF('PLAN PRODUCTION2'!$E$49="","",'PLAN PRODUCTION2'!$E$49)</f>
        <v/>
      </c>
      <c r="G408" s="494" t="str">
        <f>IF('PLAN PRODUCTION2'!$F$49="","",'PLAN PRODUCTION2'!$F$49)</f>
        <v/>
      </c>
      <c r="H408" t="str">
        <f t="shared" ca="1" si="92"/>
        <v>Plan Date Empty</v>
      </c>
      <c r="I408" t="str">
        <f t="shared" ca="1" si="83"/>
        <v/>
      </c>
      <c r="J408" t="str">
        <f t="shared" si="84"/>
        <v/>
      </c>
      <c r="K408" t="str">
        <f t="shared" si="85"/>
        <v/>
      </c>
      <c r="L408">
        <f t="shared" si="86"/>
        <v>0</v>
      </c>
      <c r="M408">
        <f t="shared" si="87"/>
        <v>0</v>
      </c>
      <c r="N408">
        <f t="shared" si="88"/>
        <v>0</v>
      </c>
      <c r="O408">
        <f t="shared" si="89"/>
        <v>1</v>
      </c>
      <c r="P408">
        <f t="shared" ca="1" si="90"/>
        <v>0</v>
      </c>
      <c r="Q408">
        <f t="shared" ca="1" si="91"/>
        <v>0</v>
      </c>
    </row>
    <row r="409" spans="1:17" s="240" customFormat="1" x14ac:dyDescent="0.25">
      <c r="A409">
        <f t="shared" si="82"/>
        <v>408</v>
      </c>
      <c r="B409" s="240" t="s">
        <v>1823</v>
      </c>
      <c r="C409" s="555">
        <v>159</v>
      </c>
      <c r="D409" t="s">
        <v>1467</v>
      </c>
      <c r="E409" t="s">
        <v>1420</v>
      </c>
      <c r="F409" s="494" t="str">
        <f>IF('PLAN PRODUCTION2'!$I$49="","",'PLAN PRODUCTION2'!$I$49)</f>
        <v/>
      </c>
      <c r="G409" s="494" t="str">
        <f>IF('PLAN PRODUCTION2'!$J$49="","",'PLAN PRODUCTION2'!$J$49)</f>
        <v/>
      </c>
      <c r="H409" t="str">
        <f t="shared" ca="1" si="92"/>
        <v>Plan Date Empty</v>
      </c>
      <c r="I409" t="str">
        <f t="shared" ca="1" si="83"/>
        <v/>
      </c>
      <c r="J409" t="str">
        <f t="shared" si="84"/>
        <v/>
      </c>
      <c r="K409" t="str">
        <f t="shared" si="85"/>
        <v/>
      </c>
      <c r="L409">
        <f t="shared" si="86"/>
        <v>0</v>
      </c>
      <c r="M409">
        <f t="shared" si="87"/>
        <v>0</v>
      </c>
      <c r="N409">
        <f t="shared" si="88"/>
        <v>0</v>
      </c>
      <c r="O409">
        <f t="shared" si="89"/>
        <v>1</v>
      </c>
      <c r="P409">
        <f t="shared" ca="1" si="90"/>
        <v>0</v>
      </c>
      <c r="Q409">
        <f t="shared" ca="1" si="91"/>
        <v>0</v>
      </c>
    </row>
    <row r="410" spans="1:17" s="240" customFormat="1" x14ac:dyDescent="0.25">
      <c r="A410">
        <f t="shared" si="82"/>
        <v>409</v>
      </c>
      <c r="B410" s="240" t="s">
        <v>1823</v>
      </c>
      <c r="C410" s="555">
        <v>159</v>
      </c>
      <c r="D410" t="s">
        <v>1468</v>
      </c>
      <c r="E410" t="s">
        <v>1420</v>
      </c>
      <c r="F410" s="494" t="str">
        <f>IF('PLAN PRODUCTION2'!$K$49="","",'PLAN PRODUCTION2'!$K$49)</f>
        <v/>
      </c>
      <c r="G410" s="494" t="str">
        <f>IF('PLAN PRODUCTION2'!$L$49="","",'PLAN PRODUCTION2'!$L$49)</f>
        <v/>
      </c>
      <c r="H410" t="str">
        <f t="shared" ca="1" si="92"/>
        <v>Plan Date Empty</v>
      </c>
      <c r="I410" t="str">
        <f t="shared" ca="1" si="83"/>
        <v/>
      </c>
      <c r="J410" t="str">
        <f t="shared" si="84"/>
        <v/>
      </c>
      <c r="K410" t="str">
        <f t="shared" si="85"/>
        <v/>
      </c>
      <c r="L410">
        <f t="shared" si="86"/>
        <v>0</v>
      </c>
      <c r="M410">
        <f t="shared" si="87"/>
        <v>0</v>
      </c>
      <c r="N410">
        <f t="shared" si="88"/>
        <v>0</v>
      </c>
      <c r="O410">
        <f t="shared" si="89"/>
        <v>1</v>
      </c>
      <c r="P410">
        <f t="shared" ca="1" si="90"/>
        <v>0</v>
      </c>
      <c r="Q410">
        <f t="shared" ca="1" si="91"/>
        <v>0</v>
      </c>
    </row>
    <row r="411" spans="1:17" s="240" customFormat="1" x14ac:dyDescent="0.25">
      <c r="A411">
        <f t="shared" si="82"/>
        <v>410</v>
      </c>
      <c r="B411" s="240" t="s">
        <v>1823</v>
      </c>
      <c r="C411" s="555">
        <v>159</v>
      </c>
      <c r="D411" t="s">
        <v>1469</v>
      </c>
      <c r="E411" t="s">
        <v>1422</v>
      </c>
      <c r="F411" s="494" t="str">
        <f>IF('PLAN PRODUCTION2'!$M$49="","",'PLAN PRODUCTION2'!$M$49)</f>
        <v/>
      </c>
      <c r="G411" s="494" t="str">
        <f>IF('PLAN PRODUCTION2'!$N$49="","",'PLAN PRODUCTION2'!$N$49)</f>
        <v/>
      </c>
      <c r="H411" t="str">
        <f t="shared" ca="1" si="92"/>
        <v>Plan Date Empty</v>
      </c>
      <c r="I411" t="str">
        <f t="shared" ca="1" si="83"/>
        <v/>
      </c>
      <c r="J411" t="str">
        <f t="shared" si="84"/>
        <v/>
      </c>
      <c r="K411" t="str">
        <f t="shared" si="85"/>
        <v/>
      </c>
      <c r="L411">
        <f t="shared" si="86"/>
        <v>0</v>
      </c>
      <c r="M411">
        <f t="shared" si="87"/>
        <v>0</v>
      </c>
      <c r="N411">
        <f t="shared" si="88"/>
        <v>0</v>
      </c>
      <c r="O411">
        <f t="shared" si="89"/>
        <v>1</v>
      </c>
      <c r="P411">
        <f t="shared" ca="1" si="90"/>
        <v>0</v>
      </c>
      <c r="Q411">
        <f t="shared" ca="1" si="91"/>
        <v>0</v>
      </c>
    </row>
    <row r="412" spans="1:17" s="240" customFormat="1" x14ac:dyDescent="0.25">
      <c r="A412">
        <f t="shared" si="82"/>
        <v>411</v>
      </c>
      <c r="B412" s="240" t="s">
        <v>1823</v>
      </c>
      <c r="C412" s="555">
        <v>159</v>
      </c>
      <c r="D412" t="s">
        <v>1470</v>
      </c>
      <c r="E412" t="s">
        <v>1422</v>
      </c>
      <c r="F412" s="494" t="str">
        <f>IF('PLAN PRODUCTION2'!$O$49="","",'PLAN PRODUCTION2'!$O$49)</f>
        <v/>
      </c>
      <c r="G412" s="494" t="str">
        <f>IF('PLAN PRODUCTION2'!$P$49="","",'PLAN PRODUCTION2'!$P$49)</f>
        <v/>
      </c>
      <c r="H412" t="str">
        <f t="shared" ca="1" si="92"/>
        <v>Plan Date Empty</v>
      </c>
      <c r="I412" t="str">
        <f t="shared" ca="1" si="83"/>
        <v/>
      </c>
      <c r="J412" t="str">
        <f t="shared" si="84"/>
        <v/>
      </c>
      <c r="K412" t="str">
        <f t="shared" si="85"/>
        <v/>
      </c>
      <c r="L412">
        <f t="shared" si="86"/>
        <v>0</v>
      </c>
      <c r="M412">
        <f t="shared" si="87"/>
        <v>0</v>
      </c>
      <c r="N412">
        <f t="shared" si="88"/>
        <v>0</v>
      </c>
      <c r="O412">
        <f t="shared" si="89"/>
        <v>1</v>
      </c>
      <c r="P412">
        <f t="shared" ca="1" si="90"/>
        <v>0</v>
      </c>
      <c r="Q412">
        <f t="shared" ca="1" si="91"/>
        <v>0</v>
      </c>
    </row>
    <row r="413" spans="1:17" s="240" customFormat="1" x14ac:dyDescent="0.25">
      <c r="A413">
        <f t="shared" si="82"/>
        <v>412</v>
      </c>
      <c r="B413" s="240" t="s">
        <v>1823</v>
      </c>
      <c r="C413" s="555">
        <v>159</v>
      </c>
      <c r="D413" t="s">
        <v>1471</v>
      </c>
      <c r="E413" t="s">
        <v>1424</v>
      </c>
      <c r="F413" s="494" t="str">
        <f>IF('PLAN PRODUCTION2'!$Q$49="","",'PLAN PRODUCTION2'!$Q$49)</f>
        <v/>
      </c>
      <c r="G413" s="494" t="str">
        <f>IF('PLAN PRODUCTION2'!$R$49="","",'PLAN PRODUCTION2'!$R$49)</f>
        <v/>
      </c>
      <c r="H413" t="str">
        <f t="shared" ca="1" si="92"/>
        <v>Plan Date Empty</v>
      </c>
      <c r="I413" t="str">
        <f t="shared" ca="1" si="83"/>
        <v/>
      </c>
      <c r="J413" t="str">
        <f t="shared" si="84"/>
        <v/>
      </c>
      <c r="K413" t="str">
        <f t="shared" si="85"/>
        <v/>
      </c>
      <c r="L413">
        <f t="shared" si="86"/>
        <v>0</v>
      </c>
      <c r="M413">
        <f t="shared" si="87"/>
        <v>0</v>
      </c>
      <c r="N413">
        <f t="shared" si="88"/>
        <v>0</v>
      </c>
      <c r="O413">
        <f t="shared" si="89"/>
        <v>1</v>
      </c>
      <c r="P413">
        <f t="shared" ca="1" si="90"/>
        <v>0</v>
      </c>
      <c r="Q413">
        <f t="shared" ca="1" si="91"/>
        <v>0</v>
      </c>
    </row>
    <row r="414" spans="1:17" s="240" customFormat="1" x14ac:dyDescent="0.25">
      <c r="A414">
        <f t="shared" si="82"/>
        <v>413</v>
      </c>
      <c r="B414" s="240" t="s">
        <v>1823</v>
      </c>
      <c r="C414" s="555">
        <v>159</v>
      </c>
      <c r="D414" t="s">
        <v>1472</v>
      </c>
      <c r="E414" t="s">
        <v>1426</v>
      </c>
      <c r="F414" s="494" t="str">
        <f>IF('PLAN PRODUCTION2'!$S$49="","",'PLAN PRODUCTION2'!$S$49)</f>
        <v/>
      </c>
      <c r="G414" s="494" t="str">
        <f>IF('PLAN PRODUCTION2'!$T$49="","",'PLAN PRODUCTION2'!$T$49)</f>
        <v/>
      </c>
      <c r="H414" t="str">
        <f t="shared" ca="1" si="92"/>
        <v>Plan Date Empty</v>
      </c>
      <c r="I414" t="str">
        <f t="shared" ca="1" si="83"/>
        <v/>
      </c>
      <c r="J414" t="str">
        <f t="shared" si="84"/>
        <v/>
      </c>
      <c r="K414" t="str">
        <f t="shared" si="85"/>
        <v/>
      </c>
      <c r="L414">
        <f t="shared" si="86"/>
        <v>0</v>
      </c>
      <c r="M414">
        <f t="shared" si="87"/>
        <v>0</v>
      </c>
      <c r="N414">
        <f t="shared" si="88"/>
        <v>0</v>
      </c>
      <c r="O414">
        <f t="shared" si="89"/>
        <v>1</v>
      </c>
      <c r="P414">
        <f t="shared" ca="1" si="90"/>
        <v>0</v>
      </c>
      <c r="Q414">
        <f t="shared" ca="1" si="91"/>
        <v>0</v>
      </c>
    </row>
    <row r="415" spans="1:17" s="240" customFormat="1" x14ac:dyDescent="0.25">
      <c r="A415">
        <f t="shared" si="82"/>
        <v>414</v>
      </c>
      <c r="B415" s="240" t="s">
        <v>1823</v>
      </c>
      <c r="C415" s="555">
        <v>159</v>
      </c>
      <c r="D415" t="s">
        <v>1473</v>
      </c>
      <c r="E415" t="s">
        <v>1426</v>
      </c>
      <c r="F415" s="494" t="str">
        <f>IF('PLAN PRODUCTION2'!$U$49="","",'PLAN PRODUCTION2'!$U$49)</f>
        <v/>
      </c>
      <c r="G415" s="494" t="str">
        <f>IF('PLAN PRODUCTION2'!$V$49="","",'PLAN PRODUCTION2'!$V$49)</f>
        <v/>
      </c>
      <c r="H415" t="str">
        <f t="shared" ca="1" si="92"/>
        <v>Plan Date Empty</v>
      </c>
      <c r="I415" t="str">
        <f t="shared" ca="1" si="83"/>
        <v/>
      </c>
      <c r="J415" t="str">
        <f t="shared" si="84"/>
        <v/>
      </c>
      <c r="K415" t="str">
        <f t="shared" si="85"/>
        <v/>
      </c>
      <c r="L415">
        <f t="shared" si="86"/>
        <v>0</v>
      </c>
      <c r="M415">
        <f t="shared" si="87"/>
        <v>0</v>
      </c>
      <c r="N415">
        <f t="shared" si="88"/>
        <v>0</v>
      </c>
      <c r="O415">
        <f t="shared" si="89"/>
        <v>1</v>
      </c>
      <c r="P415">
        <f t="shared" ca="1" si="90"/>
        <v>0</v>
      </c>
      <c r="Q415">
        <f t="shared" ca="1" si="91"/>
        <v>0</v>
      </c>
    </row>
    <row r="416" spans="1:17" s="240" customFormat="1" x14ac:dyDescent="0.25">
      <c r="A416">
        <f t="shared" si="82"/>
        <v>415</v>
      </c>
      <c r="B416" s="240" t="s">
        <v>1823</v>
      </c>
      <c r="C416" s="555">
        <v>159</v>
      </c>
      <c r="D416" t="s">
        <v>1474</v>
      </c>
      <c r="E416" t="s">
        <v>1426</v>
      </c>
      <c r="F416" s="494" t="str">
        <f>IF('PLAN PRODUCTION2'!$W$49="","",'PLAN PRODUCTION2'!$W$49)</f>
        <v/>
      </c>
      <c r="G416" s="494" t="str">
        <f>IF('PLAN PRODUCTION2'!$X$49="","",'PLAN PRODUCTION2'!$X$49)</f>
        <v/>
      </c>
      <c r="H416" t="str">
        <f t="shared" ca="1" si="92"/>
        <v>Plan Date Empty</v>
      </c>
      <c r="I416" t="str">
        <f t="shared" ca="1" si="83"/>
        <v/>
      </c>
      <c r="J416" t="str">
        <f t="shared" si="84"/>
        <v/>
      </c>
      <c r="K416" t="str">
        <f t="shared" si="85"/>
        <v/>
      </c>
      <c r="L416">
        <f t="shared" si="86"/>
        <v>0</v>
      </c>
      <c r="M416">
        <f t="shared" si="87"/>
        <v>0</v>
      </c>
      <c r="N416">
        <f t="shared" si="88"/>
        <v>0</v>
      </c>
      <c r="O416">
        <f t="shared" si="89"/>
        <v>1</v>
      </c>
      <c r="P416">
        <f t="shared" ca="1" si="90"/>
        <v>0</v>
      </c>
      <c r="Q416">
        <f t="shared" ca="1" si="91"/>
        <v>0</v>
      </c>
    </row>
    <row r="417" spans="1:17" s="240" customFormat="1" x14ac:dyDescent="0.25">
      <c r="A417">
        <f t="shared" si="82"/>
        <v>416</v>
      </c>
      <c r="B417" s="240" t="s">
        <v>1823</v>
      </c>
      <c r="C417" s="555">
        <v>159</v>
      </c>
      <c r="D417" t="s">
        <v>1475</v>
      </c>
      <c r="E417" t="s">
        <v>1426</v>
      </c>
      <c r="F417" s="494" t="str">
        <f>IF('PLAN PRODUCTION2'!$Y$49="","",'PLAN PRODUCTION2'!$Y$49)</f>
        <v/>
      </c>
      <c r="G417" s="494" t="str">
        <f>IF('PLAN PRODUCTION2'!$Z$49="","",'PLAN PRODUCTION2'!$Z$49)</f>
        <v/>
      </c>
      <c r="H417" t="str">
        <f t="shared" ca="1" si="92"/>
        <v>Plan Date Empty</v>
      </c>
      <c r="I417" t="str">
        <f t="shared" ca="1" si="83"/>
        <v/>
      </c>
      <c r="J417" t="str">
        <f t="shared" si="84"/>
        <v/>
      </c>
      <c r="K417" t="str">
        <f t="shared" si="85"/>
        <v/>
      </c>
      <c r="L417">
        <f t="shared" si="86"/>
        <v>0</v>
      </c>
      <c r="M417">
        <f t="shared" si="87"/>
        <v>0</v>
      </c>
      <c r="N417">
        <f t="shared" si="88"/>
        <v>0</v>
      </c>
      <c r="O417">
        <f t="shared" si="89"/>
        <v>1</v>
      </c>
      <c r="P417">
        <f t="shared" ca="1" si="90"/>
        <v>0</v>
      </c>
      <c r="Q417">
        <f t="shared" ca="1" si="91"/>
        <v>0</v>
      </c>
    </row>
    <row r="418" spans="1:17" s="240" customFormat="1" x14ac:dyDescent="0.25">
      <c r="A418">
        <f t="shared" si="82"/>
        <v>417</v>
      </c>
      <c r="B418" s="240" t="s">
        <v>1823</v>
      </c>
      <c r="C418" s="555">
        <v>159</v>
      </c>
      <c r="D418" t="s">
        <v>1476</v>
      </c>
      <c r="E418" t="s">
        <v>1426</v>
      </c>
      <c r="F418" s="494" t="str">
        <f>IF('PLAN PRODUCTION2'!$AA$49="","",'PLAN PRODUCTION2'!$AA$49)</f>
        <v/>
      </c>
      <c r="G418" s="494" t="str">
        <f>IF('PLAN PRODUCTION2'!$AB$49="","",'PLAN PRODUCTION2'!$AB$49)</f>
        <v/>
      </c>
      <c r="H418" t="str">
        <f t="shared" ca="1" si="92"/>
        <v>Plan Date Empty</v>
      </c>
      <c r="I418" t="str">
        <f t="shared" ca="1" si="83"/>
        <v/>
      </c>
      <c r="J418" t="str">
        <f t="shared" si="84"/>
        <v/>
      </c>
      <c r="K418" t="str">
        <f t="shared" si="85"/>
        <v/>
      </c>
      <c r="L418">
        <f t="shared" si="86"/>
        <v>0</v>
      </c>
      <c r="M418">
        <f t="shared" si="87"/>
        <v>0</v>
      </c>
      <c r="N418">
        <f t="shared" si="88"/>
        <v>0</v>
      </c>
      <c r="O418">
        <f t="shared" si="89"/>
        <v>1</v>
      </c>
      <c r="P418">
        <f t="shared" ca="1" si="90"/>
        <v>0</v>
      </c>
      <c r="Q418">
        <f t="shared" ca="1" si="91"/>
        <v>0</v>
      </c>
    </row>
    <row r="419" spans="1:17" s="240" customFormat="1" x14ac:dyDescent="0.25">
      <c r="A419">
        <f t="shared" ref="A419:A435" si="93">ROW(B419)-1</f>
        <v>418</v>
      </c>
      <c r="B419" s="240" t="s">
        <v>1823</v>
      </c>
      <c r="C419" s="555">
        <v>159</v>
      </c>
      <c r="D419" t="s">
        <v>1477</v>
      </c>
      <c r="E419" t="s">
        <v>1422</v>
      </c>
      <c r="F419" s="494" t="str">
        <f>IF('PLAN PRODUCTION2'!$AC$49="","",'PLAN PRODUCTION2'!$AC$49)</f>
        <v/>
      </c>
      <c r="G419" s="494" t="str">
        <f>IF('PLAN PRODUCTION2'!$AD$49="","",'PLAN PRODUCTION2'!$AD$49)</f>
        <v/>
      </c>
      <c r="H419" t="str">
        <f t="shared" ca="1" si="92"/>
        <v>Plan Date Empty</v>
      </c>
      <c r="I419" t="str">
        <f t="shared" ca="1" si="83"/>
        <v/>
      </c>
      <c r="J419" t="str">
        <f t="shared" si="84"/>
        <v/>
      </c>
      <c r="K419" t="str">
        <f t="shared" si="85"/>
        <v/>
      </c>
      <c r="L419">
        <f t="shared" si="86"/>
        <v>0</v>
      </c>
      <c r="M419">
        <f t="shared" si="87"/>
        <v>0</v>
      </c>
      <c r="N419">
        <f t="shared" si="88"/>
        <v>0</v>
      </c>
      <c r="O419">
        <f t="shared" si="89"/>
        <v>1</v>
      </c>
      <c r="P419">
        <f t="shared" ca="1" si="90"/>
        <v>0</v>
      </c>
      <c r="Q419">
        <f t="shared" ca="1" si="91"/>
        <v>0</v>
      </c>
    </row>
    <row r="420" spans="1:17" s="240" customFormat="1" x14ac:dyDescent="0.25">
      <c r="A420">
        <f t="shared" si="93"/>
        <v>419</v>
      </c>
      <c r="B420" s="240" t="s">
        <v>1823</v>
      </c>
      <c r="C420" s="555">
        <v>159</v>
      </c>
      <c r="D420" t="s">
        <v>1478</v>
      </c>
      <c r="E420" t="s">
        <v>1429</v>
      </c>
      <c r="F420" s="494" t="str">
        <f>IF('PLAN PRODUCTION2'!$AE$49="","",'PLAN PRODUCTION2'!$AE$49)</f>
        <v/>
      </c>
      <c r="G420" s="494" t="str">
        <f>IF('PLAN PRODUCTION2'!$AF$49="","",'PLAN PRODUCTION2'!$AF$49)</f>
        <v/>
      </c>
      <c r="H420" t="str">
        <f t="shared" ca="1" si="92"/>
        <v>Plan Date Empty</v>
      </c>
      <c r="I420" t="str">
        <f t="shared" ca="1" si="83"/>
        <v/>
      </c>
      <c r="J420" t="str">
        <f t="shared" si="84"/>
        <v/>
      </c>
      <c r="K420" t="str">
        <f t="shared" si="85"/>
        <v/>
      </c>
      <c r="L420">
        <f t="shared" si="86"/>
        <v>0</v>
      </c>
      <c r="M420">
        <f t="shared" si="87"/>
        <v>0</v>
      </c>
      <c r="N420">
        <f t="shared" si="88"/>
        <v>0</v>
      </c>
      <c r="O420">
        <f t="shared" si="89"/>
        <v>1</v>
      </c>
      <c r="P420">
        <f t="shared" ca="1" si="90"/>
        <v>0</v>
      </c>
      <c r="Q420">
        <f t="shared" ca="1" si="91"/>
        <v>0</v>
      </c>
    </row>
    <row r="421" spans="1:17" s="240" customFormat="1" x14ac:dyDescent="0.25">
      <c r="A421">
        <f t="shared" si="93"/>
        <v>420</v>
      </c>
      <c r="B421" s="240" t="s">
        <v>1823</v>
      </c>
      <c r="C421" s="555">
        <v>159</v>
      </c>
      <c r="D421" t="s">
        <v>1479</v>
      </c>
      <c r="E421" t="s">
        <v>1429</v>
      </c>
      <c r="F421" s="494" t="str">
        <f>IF('PLAN PRODUCTION2'!$AG$49="","",'PLAN PRODUCTION2'!$AG$49)</f>
        <v/>
      </c>
      <c r="G421" s="494" t="str">
        <f>IF('PLAN PRODUCTION2'!$AH$49="","",'PLAN PRODUCTION2'!$AH$49)</f>
        <v/>
      </c>
      <c r="H421" t="str">
        <f t="shared" ca="1" si="92"/>
        <v>Plan Date Empty</v>
      </c>
      <c r="I421" t="str">
        <f t="shared" ref="I421:I435" ca="1" si="94">IF(AND(F421&lt;&gt;"",G421&lt;&gt;""),G421-F421,IF(AND(F421&lt;&gt;"",G421="",TODAY()&gt;F421),TODAY()-F421,""))</f>
        <v/>
      </c>
      <c r="J421" t="str">
        <f t="shared" ref="J421:J435" si="95">IF(F421="","",INT(((F421-DATE(YEAR(F421),1,1)+1)+WEEKDAY(DATE(YEAR(F421),1,1),2)-2)/7)+1)</f>
        <v/>
      </c>
      <c r="K421" t="str">
        <f t="shared" ref="K421:K435" si="96">IF(F421="","","Minggu "&amp;J421&amp;" ("&amp;YEAR(F421)&amp;")")</f>
        <v/>
      </c>
      <c r="L421">
        <f t="shared" ref="L421:L435" si="97">IF(G421&lt;&gt;"",1,0)</f>
        <v>0</v>
      </c>
      <c r="M421">
        <f t="shared" ref="M421:M435" si="98">IF(AND(G421&lt;&gt;"",G421&lt;=F421),1,0)</f>
        <v>0</v>
      </c>
      <c r="N421">
        <f t="shared" ref="N421:N435" si="99">IF(AND(G421&lt;&gt;"",G421&gt;F421),1,0)</f>
        <v>0</v>
      </c>
      <c r="O421">
        <f t="shared" ref="O421:O435" si="100">IF(G421="",1,0)</f>
        <v>1</v>
      </c>
      <c r="P421">
        <f t="shared" ref="P421:P435" ca="1" si="101">IF(AND(G421="",F421&lt;&gt;"",TODAY()&gt;F421),1,0)</f>
        <v>0</v>
      </c>
      <c r="Q421">
        <f t="shared" ref="Q421:Q435" ca="1" si="102">IF(I421="",0,I421)</f>
        <v>0</v>
      </c>
    </row>
    <row r="422" spans="1:17" s="240" customFormat="1" x14ac:dyDescent="0.25">
      <c r="A422">
        <f t="shared" si="93"/>
        <v>421</v>
      </c>
      <c r="B422" s="240" t="s">
        <v>1824</v>
      </c>
      <c r="C422"/>
      <c r="D422" t="s">
        <v>1466</v>
      </c>
      <c r="E422" t="s">
        <v>1420</v>
      </c>
      <c r="F422" s="494" t="str">
        <f>IF('PLAN PRODUCTION2'!$E$50="","",'PLAN PRODUCTION2'!$E$50)</f>
        <v/>
      </c>
      <c r="G422" s="494" t="str">
        <f>IF('PLAN PRODUCTION2'!$F$50="","",'PLAN PRODUCTION2'!$F$50)</f>
        <v/>
      </c>
      <c r="H422" t="str">
        <f t="shared" ca="1" si="92"/>
        <v>Plan Date Empty</v>
      </c>
      <c r="I422" t="str">
        <f t="shared" ca="1" si="94"/>
        <v/>
      </c>
      <c r="J422" t="str">
        <f t="shared" si="95"/>
        <v/>
      </c>
      <c r="K422" t="str">
        <f t="shared" si="96"/>
        <v/>
      </c>
      <c r="L422">
        <f t="shared" si="97"/>
        <v>0</v>
      </c>
      <c r="M422">
        <f t="shared" si="98"/>
        <v>0</v>
      </c>
      <c r="N422">
        <f t="shared" si="99"/>
        <v>0</v>
      </c>
      <c r="O422">
        <f t="shared" si="100"/>
        <v>1</v>
      </c>
      <c r="P422">
        <f t="shared" ca="1" si="101"/>
        <v>0</v>
      </c>
      <c r="Q422">
        <f t="shared" ca="1" si="102"/>
        <v>0</v>
      </c>
    </row>
    <row r="423" spans="1:17" s="240" customFormat="1" x14ac:dyDescent="0.25">
      <c r="A423">
        <f t="shared" si="93"/>
        <v>422</v>
      </c>
      <c r="B423" s="240" t="s">
        <v>1824</v>
      </c>
      <c r="C423"/>
      <c r="D423" t="s">
        <v>1467</v>
      </c>
      <c r="E423" t="s">
        <v>1420</v>
      </c>
      <c r="F423" s="494" t="str">
        <f>IF('PLAN PRODUCTION2'!$I$50="","",'PLAN PRODUCTION2'!$I$50)</f>
        <v/>
      </c>
      <c r="G423" s="494" t="str">
        <f>IF('PLAN PRODUCTION2'!$J$50="","",'PLAN PRODUCTION2'!$J$50)</f>
        <v/>
      </c>
      <c r="H423" t="str">
        <f t="shared" ca="1" si="92"/>
        <v>Plan Date Empty</v>
      </c>
      <c r="I423" t="str">
        <f t="shared" ca="1" si="94"/>
        <v/>
      </c>
      <c r="J423" t="str">
        <f t="shared" si="95"/>
        <v/>
      </c>
      <c r="K423" t="str">
        <f t="shared" si="96"/>
        <v/>
      </c>
      <c r="L423">
        <f t="shared" si="97"/>
        <v>0</v>
      </c>
      <c r="M423">
        <f t="shared" si="98"/>
        <v>0</v>
      </c>
      <c r="N423">
        <f t="shared" si="99"/>
        <v>0</v>
      </c>
      <c r="O423">
        <f t="shared" si="100"/>
        <v>1</v>
      </c>
      <c r="P423">
        <f t="shared" ca="1" si="101"/>
        <v>0</v>
      </c>
      <c r="Q423">
        <f t="shared" ca="1" si="102"/>
        <v>0</v>
      </c>
    </row>
    <row r="424" spans="1:17" s="240" customFormat="1" x14ac:dyDescent="0.25">
      <c r="A424">
        <f t="shared" si="93"/>
        <v>423</v>
      </c>
      <c r="B424" s="240" t="s">
        <v>1824</v>
      </c>
      <c r="C424"/>
      <c r="D424" t="s">
        <v>1468</v>
      </c>
      <c r="E424" t="s">
        <v>1420</v>
      </c>
      <c r="F424" s="494" t="str">
        <f>IF('PLAN PRODUCTION2'!$K$50="","",'PLAN PRODUCTION2'!$K$50)</f>
        <v/>
      </c>
      <c r="G424" s="494" t="str">
        <f>IF('PLAN PRODUCTION2'!$L$50="","",'PLAN PRODUCTION2'!$L$50)</f>
        <v/>
      </c>
      <c r="H424" t="str">
        <f t="shared" ca="1" si="92"/>
        <v>Plan Date Empty</v>
      </c>
      <c r="I424" t="str">
        <f t="shared" ca="1" si="94"/>
        <v/>
      </c>
      <c r="J424" t="str">
        <f t="shared" si="95"/>
        <v/>
      </c>
      <c r="K424" t="str">
        <f t="shared" si="96"/>
        <v/>
      </c>
      <c r="L424">
        <f t="shared" si="97"/>
        <v>0</v>
      </c>
      <c r="M424">
        <f t="shared" si="98"/>
        <v>0</v>
      </c>
      <c r="N424">
        <f t="shared" si="99"/>
        <v>0</v>
      </c>
      <c r="O424">
        <f t="shared" si="100"/>
        <v>1</v>
      </c>
      <c r="P424">
        <f t="shared" ca="1" si="101"/>
        <v>0</v>
      </c>
      <c r="Q424">
        <f t="shared" ca="1" si="102"/>
        <v>0</v>
      </c>
    </row>
    <row r="425" spans="1:17" s="240" customFormat="1" x14ac:dyDescent="0.25">
      <c r="A425">
        <f t="shared" si="93"/>
        <v>424</v>
      </c>
      <c r="B425" s="240" t="s">
        <v>1824</v>
      </c>
      <c r="C425"/>
      <c r="D425" t="s">
        <v>1469</v>
      </c>
      <c r="E425" t="s">
        <v>1422</v>
      </c>
      <c r="F425" s="494" t="str">
        <f>IF('PLAN PRODUCTION2'!$M$50="","",'PLAN PRODUCTION2'!$M$50)</f>
        <v/>
      </c>
      <c r="G425" s="494" t="str">
        <f>IF('PLAN PRODUCTION2'!$N$50="","",'PLAN PRODUCTION2'!$N$50)</f>
        <v/>
      </c>
      <c r="H425" t="str">
        <f t="shared" ca="1" si="92"/>
        <v>Plan Date Empty</v>
      </c>
      <c r="I425" t="str">
        <f t="shared" ca="1" si="94"/>
        <v/>
      </c>
      <c r="J425" t="str">
        <f t="shared" si="95"/>
        <v/>
      </c>
      <c r="K425" t="str">
        <f t="shared" si="96"/>
        <v/>
      </c>
      <c r="L425">
        <f t="shared" si="97"/>
        <v>0</v>
      </c>
      <c r="M425">
        <f t="shared" si="98"/>
        <v>0</v>
      </c>
      <c r="N425">
        <f t="shared" si="99"/>
        <v>0</v>
      </c>
      <c r="O425">
        <f t="shared" si="100"/>
        <v>1</v>
      </c>
      <c r="P425">
        <f t="shared" ca="1" si="101"/>
        <v>0</v>
      </c>
      <c r="Q425">
        <f t="shared" ca="1" si="102"/>
        <v>0</v>
      </c>
    </row>
    <row r="426" spans="1:17" x14ac:dyDescent="0.25">
      <c r="A426">
        <f t="shared" si="93"/>
        <v>425</v>
      </c>
      <c r="B426" s="240" t="s">
        <v>1824</v>
      </c>
      <c r="D426" t="s">
        <v>1470</v>
      </c>
      <c r="E426" t="s">
        <v>1422</v>
      </c>
      <c r="F426" s="494" t="str">
        <f>IF('PLAN PRODUCTION2'!$O$50="","",'PLAN PRODUCTION2'!$O$50)</f>
        <v/>
      </c>
      <c r="G426" s="494" t="str">
        <f>IF('PLAN PRODUCTION2'!$P$50="","",'PLAN PRODUCTION2'!$P$50)</f>
        <v/>
      </c>
      <c r="H426" t="str">
        <f t="shared" ca="1" si="92"/>
        <v>Plan Date Empty</v>
      </c>
      <c r="I426" t="str">
        <f t="shared" ca="1" si="94"/>
        <v/>
      </c>
      <c r="J426" t="str">
        <f t="shared" si="95"/>
        <v/>
      </c>
      <c r="K426" t="str">
        <f t="shared" si="96"/>
        <v/>
      </c>
      <c r="L426">
        <f t="shared" si="97"/>
        <v>0</v>
      </c>
      <c r="M426">
        <f t="shared" si="98"/>
        <v>0</v>
      </c>
      <c r="N426">
        <f t="shared" si="99"/>
        <v>0</v>
      </c>
      <c r="O426">
        <f t="shared" si="100"/>
        <v>1</v>
      </c>
      <c r="P426">
        <f t="shared" ca="1" si="101"/>
        <v>0</v>
      </c>
      <c r="Q426">
        <f t="shared" ca="1" si="102"/>
        <v>0</v>
      </c>
    </row>
    <row r="427" spans="1:17" x14ac:dyDescent="0.25">
      <c r="A427">
        <f t="shared" si="93"/>
        <v>426</v>
      </c>
      <c r="B427" s="240" t="s">
        <v>1824</v>
      </c>
      <c r="D427" t="s">
        <v>1471</v>
      </c>
      <c r="E427" t="s">
        <v>1424</v>
      </c>
      <c r="F427" s="494" t="str">
        <f>IF('PLAN PRODUCTION2'!$Q$50="","",'PLAN PRODUCTION2'!$Q$50)</f>
        <v/>
      </c>
      <c r="G427" s="494" t="str">
        <f>IF('PLAN PRODUCTION2'!$R$50="","",'PLAN PRODUCTION2'!$R$50)</f>
        <v/>
      </c>
      <c r="H427" t="str">
        <f t="shared" ca="1" si="92"/>
        <v>Plan Date Empty</v>
      </c>
      <c r="I427" t="str">
        <f t="shared" ca="1" si="94"/>
        <v/>
      </c>
      <c r="J427" t="str">
        <f t="shared" si="95"/>
        <v/>
      </c>
      <c r="K427" t="str">
        <f t="shared" si="96"/>
        <v/>
      </c>
      <c r="L427">
        <f t="shared" si="97"/>
        <v>0</v>
      </c>
      <c r="M427">
        <f t="shared" si="98"/>
        <v>0</v>
      </c>
      <c r="N427">
        <f t="shared" si="99"/>
        <v>0</v>
      </c>
      <c r="O427">
        <f t="shared" si="100"/>
        <v>1</v>
      </c>
      <c r="P427">
        <f t="shared" ca="1" si="101"/>
        <v>0</v>
      </c>
      <c r="Q427">
        <f t="shared" ca="1" si="102"/>
        <v>0</v>
      </c>
    </row>
    <row r="428" spans="1:17" x14ac:dyDescent="0.25">
      <c r="A428">
        <f t="shared" si="93"/>
        <v>427</v>
      </c>
      <c r="B428" s="240" t="s">
        <v>1824</v>
      </c>
      <c r="D428" t="s">
        <v>1472</v>
      </c>
      <c r="E428" t="s">
        <v>1426</v>
      </c>
      <c r="F428" s="494" t="str">
        <f>IF('PLAN PRODUCTION2'!$S$50="","",'PLAN PRODUCTION2'!$S$50)</f>
        <v/>
      </c>
      <c r="G428" s="494" t="str">
        <f>IF('PLAN PRODUCTION2'!$T$50="","",'PLAN PRODUCTION2'!$T$50)</f>
        <v/>
      </c>
      <c r="H428" t="str">
        <f t="shared" ca="1" si="92"/>
        <v>Plan Date Empty</v>
      </c>
      <c r="I428" t="str">
        <f t="shared" ca="1" si="94"/>
        <v/>
      </c>
      <c r="J428" t="str">
        <f t="shared" si="95"/>
        <v/>
      </c>
      <c r="K428" t="str">
        <f t="shared" si="96"/>
        <v/>
      </c>
      <c r="L428">
        <f t="shared" si="97"/>
        <v>0</v>
      </c>
      <c r="M428">
        <f t="shared" si="98"/>
        <v>0</v>
      </c>
      <c r="N428">
        <f t="shared" si="99"/>
        <v>0</v>
      </c>
      <c r="O428">
        <f t="shared" si="100"/>
        <v>1</v>
      </c>
      <c r="P428">
        <f t="shared" ca="1" si="101"/>
        <v>0</v>
      </c>
      <c r="Q428">
        <f t="shared" ca="1" si="102"/>
        <v>0</v>
      </c>
    </row>
    <row r="429" spans="1:17" x14ac:dyDescent="0.25">
      <c r="A429">
        <f t="shared" si="93"/>
        <v>428</v>
      </c>
      <c r="B429" s="240" t="s">
        <v>1824</v>
      </c>
      <c r="D429" t="s">
        <v>1473</v>
      </c>
      <c r="E429" t="s">
        <v>1426</v>
      </c>
      <c r="F429" s="494" t="str">
        <f>IF('PLAN PRODUCTION2'!$U$50="","",'PLAN PRODUCTION2'!$U$50)</f>
        <v/>
      </c>
      <c r="G429" s="494" t="str">
        <f>IF('PLAN PRODUCTION2'!$V$50="","",'PLAN PRODUCTION2'!$V$50)</f>
        <v/>
      </c>
      <c r="H429" t="str">
        <f t="shared" ca="1" si="92"/>
        <v>Plan Date Empty</v>
      </c>
      <c r="I429" t="str">
        <f t="shared" ca="1" si="94"/>
        <v/>
      </c>
      <c r="J429" t="str">
        <f t="shared" si="95"/>
        <v/>
      </c>
      <c r="K429" t="str">
        <f t="shared" si="96"/>
        <v/>
      </c>
      <c r="L429">
        <f t="shared" si="97"/>
        <v>0</v>
      </c>
      <c r="M429">
        <f t="shared" si="98"/>
        <v>0</v>
      </c>
      <c r="N429">
        <f t="shared" si="99"/>
        <v>0</v>
      </c>
      <c r="O429">
        <f t="shared" si="100"/>
        <v>1</v>
      </c>
      <c r="P429">
        <f t="shared" ca="1" si="101"/>
        <v>0</v>
      </c>
      <c r="Q429">
        <f t="shared" ca="1" si="102"/>
        <v>0</v>
      </c>
    </row>
    <row r="430" spans="1:17" x14ac:dyDescent="0.25">
      <c r="A430">
        <f t="shared" si="93"/>
        <v>429</v>
      </c>
      <c r="B430" s="240" t="s">
        <v>1824</v>
      </c>
      <c r="D430" t="s">
        <v>1474</v>
      </c>
      <c r="E430" t="s">
        <v>1426</v>
      </c>
      <c r="F430" s="494" t="str">
        <f>IF('PLAN PRODUCTION2'!$W$50="","",'PLAN PRODUCTION2'!$W$50)</f>
        <v/>
      </c>
      <c r="G430" s="494" t="str">
        <f>IF('PLAN PRODUCTION2'!$X$50="","",'PLAN PRODUCTION2'!$X$50)</f>
        <v/>
      </c>
      <c r="H430" t="str">
        <f t="shared" ca="1" si="92"/>
        <v>Plan Date Empty</v>
      </c>
      <c r="I430" t="str">
        <f t="shared" ca="1" si="94"/>
        <v/>
      </c>
      <c r="J430" t="str">
        <f t="shared" si="95"/>
        <v/>
      </c>
      <c r="K430" t="str">
        <f t="shared" si="96"/>
        <v/>
      </c>
      <c r="L430">
        <f t="shared" si="97"/>
        <v>0</v>
      </c>
      <c r="M430">
        <f t="shared" si="98"/>
        <v>0</v>
      </c>
      <c r="N430">
        <f t="shared" si="99"/>
        <v>0</v>
      </c>
      <c r="O430">
        <f t="shared" si="100"/>
        <v>1</v>
      </c>
      <c r="P430">
        <f t="shared" ca="1" si="101"/>
        <v>0</v>
      </c>
      <c r="Q430">
        <f t="shared" ca="1" si="102"/>
        <v>0</v>
      </c>
    </row>
    <row r="431" spans="1:17" x14ac:dyDescent="0.25">
      <c r="A431">
        <f t="shared" si="93"/>
        <v>430</v>
      </c>
      <c r="B431" s="240" t="s">
        <v>1824</v>
      </c>
      <c r="D431" t="s">
        <v>1475</v>
      </c>
      <c r="E431" t="s">
        <v>1426</v>
      </c>
      <c r="F431" s="494" t="str">
        <f>IF('PLAN PRODUCTION2'!$Y$50="","",'PLAN PRODUCTION2'!$Y$50)</f>
        <v/>
      </c>
      <c r="G431" s="494" t="str">
        <f>IF('PLAN PRODUCTION2'!$Z$50="","",'PLAN PRODUCTION2'!$Z$50)</f>
        <v/>
      </c>
      <c r="H431" t="str">
        <f t="shared" ca="1" si="92"/>
        <v>Plan Date Empty</v>
      </c>
      <c r="I431" t="str">
        <f t="shared" ca="1" si="94"/>
        <v/>
      </c>
      <c r="J431" t="str">
        <f t="shared" si="95"/>
        <v/>
      </c>
      <c r="K431" t="str">
        <f t="shared" si="96"/>
        <v/>
      </c>
      <c r="L431">
        <f t="shared" si="97"/>
        <v>0</v>
      </c>
      <c r="M431">
        <f t="shared" si="98"/>
        <v>0</v>
      </c>
      <c r="N431">
        <f t="shared" si="99"/>
        <v>0</v>
      </c>
      <c r="O431">
        <f t="shared" si="100"/>
        <v>1</v>
      </c>
      <c r="P431">
        <f t="shared" ca="1" si="101"/>
        <v>0</v>
      </c>
      <c r="Q431">
        <f t="shared" ca="1" si="102"/>
        <v>0</v>
      </c>
    </row>
    <row r="432" spans="1:17" x14ac:dyDescent="0.25">
      <c r="A432">
        <f t="shared" si="93"/>
        <v>431</v>
      </c>
      <c r="B432" s="240" t="s">
        <v>1824</v>
      </c>
      <c r="D432" t="s">
        <v>1476</v>
      </c>
      <c r="E432" t="s">
        <v>1426</v>
      </c>
      <c r="F432" s="494" t="str">
        <f>IF('PLAN PRODUCTION2'!$AA$50="","",'PLAN PRODUCTION2'!$AA$50)</f>
        <v/>
      </c>
      <c r="G432" s="494" t="str">
        <f>IF('PLAN PRODUCTION2'!$AB$50="","",'PLAN PRODUCTION2'!$AB$50)</f>
        <v/>
      </c>
      <c r="H432" t="str">
        <f t="shared" ca="1" si="92"/>
        <v>Plan Date Empty</v>
      </c>
      <c r="I432" t="str">
        <f t="shared" ca="1" si="94"/>
        <v/>
      </c>
      <c r="J432" t="str">
        <f t="shared" si="95"/>
        <v/>
      </c>
      <c r="K432" t="str">
        <f t="shared" si="96"/>
        <v/>
      </c>
      <c r="L432">
        <f t="shared" si="97"/>
        <v>0</v>
      </c>
      <c r="M432">
        <f t="shared" si="98"/>
        <v>0</v>
      </c>
      <c r="N432">
        <f t="shared" si="99"/>
        <v>0</v>
      </c>
      <c r="O432">
        <f t="shared" si="100"/>
        <v>1</v>
      </c>
      <c r="P432">
        <f t="shared" ca="1" si="101"/>
        <v>0</v>
      </c>
      <c r="Q432">
        <f t="shared" ca="1" si="102"/>
        <v>0</v>
      </c>
    </row>
    <row r="433" spans="1:17" x14ac:dyDescent="0.25">
      <c r="A433">
        <f t="shared" si="93"/>
        <v>432</v>
      </c>
      <c r="B433" s="240" t="s">
        <v>1824</v>
      </c>
      <c r="D433" t="s">
        <v>1477</v>
      </c>
      <c r="E433" t="s">
        <v>1422</v>
      </c>
      <c r="F433" s="494" t="str">
        <f>IF('PLAN PRODUCTION2'!$AC$50="","",'PLAN PRODUCTION2'!$AC$50)</f>
        <v/>
      </c>
      <c r="G433" s="494" t="str">
        <f>IF('PLAN PRODUCTION2'!$AD$50="","",'PLAN PRODUCTION2'!$AD$50)</f>
        <v/>
      </c>
      <c r="H433" t="str">
        <f t="shared" ca="1" si="92"/>
        <v>Plan Date Empty</v>
      </c>
      <c r="I433" t="str">
        <f t="shared" ca="1" si="94"/>
        <v/>
      </c>
      <c r="J433" t="str">
        <f t="shared" si="95"/>
        <v/>
      </c>
      <c r="K433" t="str">
        <f t="shared" si="96"/>
        <v/>
      </c>
      <c r="L433">
        <f t="shared" si="97"/>
        <v>0</v>
      </c>
      <c r="M433">
        <f t="shared" si="98"/>
        <v>0</v>
      </c>
      <c r="N433">
        <f t="shared" si="99"/>
        <v>0</v>
      </c>
      <c r="O433">
        <f t="shared" si="100"/>
        <v>1</v>
      </c>
      <c r="P433">
        <f t="shared" ca="1" si="101"/>
        <v>0</v>
      </c>
      <c r="Q433">
        <f t="shared" ca="1" si="102"/>
        <v>0</v>
      </c>
    </row>
    <row r="434" spans="1:17" x14ac:dyDescent="0.25">
      <c r="A434">
        <f t="shared" si="93"/>
        <v>433</v>
      </c>
      <c r="B434" s="240" t="s">
        <v>1824</v>
      </c>
      <c r="D434" t="s">
        <v>1478</v>
      </c>
      <c r="E434" t="s">
        <v>1429</v>
      </c>
      <c r="F434" s="494" t="str">
        <f>IF('PLAN PRODUCTION2'!$AE$50="","",'PLAN PRODUCTION2'!$AE$50)</f>
        <v/>
      </c>
      <c r="G434" s="494" t="str">
        <f>IF('PLAN PRODUCTION2'!$AF$50="","",'PLAN PRODUCTION2'!$AF$50)</f>
        <v/>
      </c>
      <c r="H434" t="str">
        <f t="shared" ca="1" si="92"/>
        <v>Plan Date Empty</v>
      </c>
      <c r="I434" t="str">
        <f t="shared" ca="1" si="94"/>
        <v/>
      </c>
      <c r="J434" t="str">
        <f t="shared" si="95"/>
        <v/>
      </c>
      <c r="K434" t="str">
        <f t="shared" si="96"/>
        <v/>
      </c>
      <c r="L434">
        <f t="shared" si="97"/>
        <v>0</v>
      </c>
      <c r="M434">
        <f t="shared" si="98"/>
        <v>0</v>
      </c>
      <c r="N434">
        <f t="shared" si="99"/>
        <v>0</v>
      </c>
      <c r="O434">
        <f t="shared" si="100"/>
        <v>1</v>
      </c>
      <c r="P434">
        <f t="shared" ca="1" si="101"/>
        <v>0</v>
      </c>
      <c r="Q434">
        <f t="shared" ca="1" si="102"/>
        <v>0</v>
      </c>
    </row>
    <row r="435" spans="1:17" x14ac:dyDescent="0.25">
      <c r="A435">
        <f t="shared" si="93"/>
        <v>434</v>
      </c>
      <c r="B435" s="240" t="s">
        <v>1824</v>
      </c>
      <c r="D435" t="s">
        <v>1479</v>
      </c>
      <c r="E435" t="s">
        <v>1429</v>
      </c>
      <c r="F435" s="494" t="str">
        <f>IF('PLAN PRODUCTION2'!$AG$50="","",'PLAN PRODUCTION2'!$AG$50)</f>
        <v/>
      </c>
      <c r="G435" s="494" t="str">
        <f>IF('PLAN PRODUCTION2'!$AH$50="","",'PLAN PRODUCTION2'!$AH$50)</f>
        <v/>
      </c>
      <c r="H435" t="str">
        <f t="shared" ca="1" si="92"/>
        <v>Plan Date Empty</v>
      </c>
      <c r="I435" t="str">
        <f t="shared" ca="1" si="94"/>
        <v/>
      </c>
      <c r="J435" t="str">
        <f t="shared" si="95"/>
        <v/>
      </c>
      <c r="K435" t="str">
        <f t="shared" si="96"/>
        <v/>
      </c>
      <c r="L435">
        <f t="shared" si="97"/>
        <v>0</v>
      </c>
      <c r="M435">
        <f t="shared" si="98"/>
        <v>0</v>
      </c>
      <c r="N435">
        <f t="shared" si="99"/>
        <v>0</v>
      </c>
      <c r="O435">
        <f t="shared" si="100"/>
        <v>1</v>
      </c>
      <c r="P435">
        <f t="shared" ca="1" si="101"/>
        <v>0</v>
      </c>
      <c r="Q435">
        <f t="shared" ca="1" si="102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55241-BC40-46FA-9BD7-AF9FD66FA96B}">
  <sheetPr codeName="Sheet22">
    <pageSetUpPr fitToPage="1"/>
  </sheetPr>
  <dimension ref="A1:AK69"/>
  <sheetViews>
    <sheetView view="pageBreakPreview" topLeftCell="A10" zoomScale="55" zoomScaleNormal="10" zoomScaleSheetLayoutView="55" workbookViewId="0">
      <pane xSplit="3" ySplit="9" topLeftCell="D19" activePane="bottomRight" state="frozen"/>
      <selection activeCell="B10" sqref="B10"/>
      <selection pane="topRight" activeCell="J10" sqref="J10"/>
      <selection pane="bottomLeft" activeCell="B30" sqref="B30"/>
      <selection pane="bottomRight" activeCell="G24" sqref="G24"/>
    </sheetView>
  </sheetViews>
  <sheetFormatPr defaultColWidth="38.08984375" defaultRowHeight="12" customHeight="1" outlineLevelRow="3" x14ac:dyDescent="0.25"/>
  <cols>
    <col min="1" max="1" width="24.26953125" style="32" customWidth="1"/>
    <col min="2" max="2" width="8.54296875" style="32" customWidth="1"/>
    <col min="3" max="3" width="16.90625" style="32" customWidth="1"/>
    <col min="4" max="4" width="11.90625" style="32" customWidth="1"/>
    <col min="5" max="5" width="11.6328125" style="32" bestFit="1" customWidth="1"/>
    <col min="6" max="6" width="11.90625" style="32" customWidth="1"/>
    <col min="7" max="7" width="9.1796875" style="32" customWidth="1"/>
    <col min="8" max="8" width="11.90625" style="32" customWidth="1"/>
    <col min="9" max="9" width="13.36328125" style="32" customWidth="1"/>
    <col min="10" max="36" width="11.90625" style="32" customWidth="1"/>
    <col min="37" max="16384" width="38.08984375" style="562"/>
  </cols>
  <sheetData>
    <row r="1" spans="1:36" ht="12" customHeight="1" thickTop="1" x14ac:dyDescent="0.25">
      <c r="A1" s="30"/>
      <c r="B1" s="31"/>
      <c r="C1" s="31"/>
      <c r="D1" s="31"/>
      <c r="E1" s="31"/>
      <c r="F1" s="576" t="s">
        <v>26</v>
      </c>
      <c r="G1" s="576"/>
      <c r="H1" s="576"/>
      <c r="I1" s="576"/>
      <c r="J1" s="576"/>
      <c r="K1" s="576"/>
      <c r="L1" s="576"/>
      <c r="M1" s="576"/>
      <c r="N1" s="576"/>
      <c r="O1" s="576"/>
      <c r="P1" s="576"/>
      <c r="Q1" s="576"/>
      <c r="R1" s="576"/>
      <c r="S1" s="576"/>
      <c r="T1" s="576"/>
      <c r="U1" s="576"/>
      <c r="V1" s="576"/>
      <c r="W1" s="576"/>
      <c r="X1" s="576"/>
      <c r="Y1" s="576"/>
      <c r="Z1" s="576"/>
      <c r="AA1" s="576"/>
      <c r="AB1" s="576"/>
      <c r="AC1" s="576"/>
      <c r="AD1" s="576"/>
      <c r="AE1" s="576"/>
      <c r="AF1" s="576"/>
      <c r="AG1" s="576"/>
      <c r="AH1" s="576"/>
      <c r="AI1" s="538"/>
      <c r="AJ1" s="578"/>
    </row>
    <row r="2" spans="1:36" s="563" customFormat="1" ht="12" customHeight="1" x14ac:dyDescent="0.25">
      <c r="A2" s="581"/>
      <c r="B2" s="577"/>
      <c r="C2" s="539"/>
      <c r="D2" s="539"/>
      <c r="E2" s="539"/>
      <c r="F2" s="577"/>
      <c r="G2" s="577"/>
      <c r="H2" s="577"/>
      <c r="I2" s="577"/>
      <c r="J2" s="577"/>
      <c r="K2" s="577"/>
      <c r="L2" s="577"/>
      <c r="M2" s="577"/>
      <c r="N2" s="577"/>
      <c r="O2" s="577"/>
      <c r="P2" s="577"/>
      <c r="Q2" s="577"/>
      <c r="R2" s="577"/>
      <c r="S2" s="577"/>
      <c r="T2" s="577"/>
      <c r="U2" s="577"/>
      <c r="V2" s="577"/>
      <c r="W2" s="577"/>
      <c r="X2" s="577"/>
      <c r="Y2" s="577"/>
      <c r="Z2" s="577"/>
      <c r="AA2" s="577"/>
      <c r="AB2" s="577"/>
      <c r="AC2" s="577"/>
      <c r="AD2" s="577"/>
      <c r="AE2" s="577"/>
      <c r="AF2" s="577"/>
      <c r="AG2" s="577"/>
      <c r="AH2" s="577"/>
      <c r="AI2" s="539"/>
      <c r="AJ2" s="579"/>
    </row>
    <row r="3" spans="1:36" s="563" customFormat="1" ht="12" customHeight="1" x14ac:dyDescent="0.25">
      <c r="A3" s="581"/>
      <c r="B3" s="577"/>
      <c r="C3" s="539"/>
      <c r="D3" s="539"/>
      <c r="E3" s="539"/>
      <c r="F3" s="577"/>
      <c r="G3" s="577"/>
      <c r="H3" s="577"/>
      <c r="I3" s="577"/>
      <c r="J3" s="577"/>
      <c r="K3" s="577"/>
      <c r="L3" s="577"/>
      <c r="M3" s="577"/>
      <c r="N3" s="577"/>
      <c r="O3" s="577"/>
      <c r="P3" s="577"/>
      <c r="Q3" s="577"/>
      <c r="R3" s="577"/>
      <c r="S3" s="577"/>
      <c r="T3" s="577"/>
      <c r="U3" s="577"/>
      <c r="V3" s="577"/>
      <c r="W3" s="577"/>
      <c r="X3" s="577"/>
      <c r="Y3" s="577"/>
      <c r="Z3" s="577"/>
      <c r="AA3" s="577"/>
      <c r="AB3" s="577"/>
      <c r="AC3" s="577"/>
      <c r="AD3" s="577"/>
      <c r="AE3" s="577"/>
      <c r="AF3" s="577"/>
      <c r="AG3" s="577"/>
      <c r="AH3" s="577"/>
      <c r="AI3" s="539"/>
      <c r="AJ3" s="579"/>
    </row>
    <row r="4" spans="1:36" s="563" customFormat="1" ht="12" customHeight="1" x14ac:dyDescent="0.25">
      <c r="A4" s="581"/>
      <c r="B4" s="577"/>
      <c r="C4" s="539"/>
      <c r="D4" s="539"/>
      <c r="E4" s="539"/>
      <c r="F4" s="577"/>
      <c r="G4" s="577"/>
      <c r="H4" s="577"/>
      <c r="I4" s="577"/>
      <c r="J4" s="577"/>
      <c r="K4" s="577"/>
      <c r="L4" s="577"/>
      <c r="M4" s="577"/>
      <c r="N4" s="577"/>
      <c r="O4" s="577"/>
      <c r="P4" s="577"/>
      <c r="Q4" s="577"/>
      <c r="R4" s="577"/>
      <c r="S4" s="577"/>
      <c r="T4" s="577"/>
      <c r="U4" s="577"/>
      <c r="V4" s="577"/>
      <c r="W4" s="577"/>
      <c r="X4" s="577"/>
      <c r="Y4" s="577"/>
      <c r="Z4" s="577"/>
      <c r="AA4" s="577"/>
      <c r="AB4" s="577"/>
      <c r="AC4" s="577"/>
      <c r="AD4" s="577"/>
      <c r="AE4" s="577"/>
      <c r="AF4" s="577"/>
      <c r="AG4" s="577"/>
      <c r="AH4" s="577"/>
      <c r="AI4" s="539"/>
      <c r="AJ4" s="579"/>
    </row>
    <row r="5" spans="1:36" s="563" customFormat="1" ht="12" customHeight="1" x14ac:dyDescent="0.25">
      <c r="A5" s="581"/>
      <c r="B5" s="577"/>
      <c r="C5" s="539"/>
      <c r="D5" s="539"/>
      <c r="E5" s="539"/>
      <c r="F5" s="34"/>
      <c r="G5" s="34"/>
      <c r="H5" s="34"/>
      <c r="I5" s="539"/>
      <c r="J5" s="34"/>
      <c r="K5" s="539"/>
      <c r="L5" s="34"/>
      <c r="M5" s="539"/>
      <c r="N5" s="34"/>
      <c r="O5" s="539"/>
      <c r="P5" s="34"/>
      <c r="Q5" s="539"/>
      <c r="R5" s="34"/>
      <c r="S5" s="539"/>
      <c r="T5" s="34"/>
      <c r="U5" s="539"/>
      <c r="V5" s="34"/>
      <c r="W5" s="539"/>
      <c r="X5" s="34"/>
      <c r="Y5" s="539"/>
      <c r="Z5" s="34"/>
      <c r="AA5" s="539"/>
      <c r="AB5" s="34"/>
      <c r="AC5" s="539"/>
      <c r="AD5" s="34"/>
      <c r="AE5" s="539"/>
      <c r="AF5" s="34"/>
      <c r="AG5" s="539"/>
      <c r="AH5" s="34"/>
      <c r="AI5" s="34"/>
      <c r="AJ5" s="579"/>
    </row>
    <row r="6" spans="1:36" s="563" customFormat="1" ht="12" customHeight="1" x14ac:dyDescent="0.25">
      <c r="A6" s="35"/>
      <c r="B6" s="36"/>
      <c r="C6" s="36"/>
      <c r="D6" s="36"/>
      <c r="E6" s="36"/>
      <c r="F6" s="33"/>
      <c r="G6" s="33"/>
      <c r="H6" s="33"/>
      <c r="I6" s="36"/>
      <c r="J6" s="33"/>
      <c r="K6" s="36"/>
      <c r="L6" s="33"/>
      <c r="M6" s="36"/>
      <c r="N6" s="33"/>
      <c r="O6" s="36"/>
      <c r="P6" s="33"/>
      <c r="Q6" s="36"/>
      <c r="R6" s="33"/>
      <c r="S6" s="36"/>
      <c r="T6" s="33"/>
      <c r="U6" s="36"/>
      <c r="V6" s="33"/>
      <c r="W6" s="36"/>
      <c r="X6" s="33"/>
      <c r="Y6" s="36"/>
      <c r="Z6" s="33"/>
      <c r="AA6" s="36"/>
      <c r="AB6" s="33"/>
      <c r="AC6" s="36"/>
      <c r="AD6" s="33"/>
      <c r="AE6" s="36"/>
      <c r="AF6" s="33"/>
      <c r="AG6" s="36"/>
      <c r="AH6" s="33"/>
      <c r="AI6" s="33"/>
      <c r="AJ6" s="580"/>
    </row>
    <row r="7" spans="1:36" s="563" customFormat="1" ht="12" customHeight="1" x14ac:dyDescent="0.25">
      <c r="A7" s="35"/>
      <c r="B7" s="36"/>
      <c r="C7" s="36"/>
      <c r="D7" s="36"/>
      <c r="E7" s="36"/>
      <c r="F7" s="33"/>
      <c r="G7" s="33"/>
      <c r="H7" s="33"/>
      <c r="I7" s="36"/>
      <c r="J7" s="33"/>
      <c r="K7" s="36"/>
      <c r="L7" s="33"/>
      <c r="M7" s="36"/>
      <c r="N7" s="33"/>
      <c r="O7" s="36"/>
      <c r="P7" s="33"/>
      <c r="Q7" s="36"/>
      <c r="R7" s="33"/>
      <c r="S7" s="36"/>
      <c r="T7" s="33"/>
      <c r="U7" s="36"/>
      <c r="V7" s="33"/>
      <c r="W7" s="36"/>
      <c r="X7" s="33"/>
      <c r="Y7" s="36"/>
      <c r="Z7" s="33"/>
      <c r="AA7" s="36"/>
      <c r="AB7" s="33"/>
      <c r="AC7" s="36"/>
      <c r="AD7" s="33"/>
      <c r="AE7" s="36"/>
      <c r="AF7" s="33"/>
      <c r="AG7" s="36"/>
      <c r="AH7" s="33"/>
      <c r="AI7" s="33"/>
      <c r="AJ7" s="37"/>
    </row>
    <row r="8" spans="1:36" s="563" customFormat="1" ht="12" customHeight="1" x14ac:dyDescent="0.25">
      <c r="A8" s="35"/>
      <c r="B8" s="36"/>
      <c r="C8" s="36"/>
      <c r="D8" s="36"/>
      <c r="E8" s="36"/>
      <c r="F8" s="33"/>
      <c r="G8" s="33"/>
      <c r="H8" s="33"/>
      <c r="I8" s="36"/>
      <c r="J8" s="33"/>
      <c r="K8" s="36"/>
      <c r="L8" s="33"/>
      <c r="M8" s="36"/>
      <c r="N8" s="33"/>
      <c r="O8" s="36"/>
      <c r="P8" s="33"/>
      <c r="Q8" s="36"/>
      <c r="R8" s="33"/>
      <c r="S8" s="36"/>
      <c r="T8" s="33"/>
      <c r="U8" s="36"/>
      <c r="V8" s="33"/>
      <c r="W8" s="36"/>
      <c r="X8" s="33"/>
      <c r="Y8" s="36"/>
      <c r="Z8" s="33"/>
      <c r="AA8" s="36"/>
      <c r="AB8" s="33"/>
      <c r="AC8" s="36"/>
      <c r="AD8" s="33"/>
      <c r="AE8" s="36"/>
      <c r="AF8" s="33"/>
      <c r="AG8" s="36"/>
      <c r="AH8" s="33"/>
      <c r="AI8" s="33"/>
      <c r="AJ8" s="37"/>
    </row>
    <row r="9" spans="1:36" ht="12" customHeight="1" x14ac:dyDescent="0.25">
      <c r="A9" s="38"/>
      <c r="AJ9" s="39"/>
    </row>
    <row r="10" spans="1:36" ht="12" customHeight="1" x14ac:dyDescent="0.25">
      <c r="A10" s="38"/>
      <c r="AJ10" s="39"/>
    </row>
    <row r="11" spans="1:36" ht="12" customHeight="1" x14ac:dyDescent="0.25">
      <c r="A11" s="38"/>
      <c r="AJ11" s="39"/>
    </row>
    <row r="12" spans="1:36" ht="12" customHeight="1" thickBot="1" x14ac:dyDescent="0.35">
      <c r="A12" s="540" t="s">
        <v>1517</v>
      </c>
      <c r="B12" s="521"/>
      <c r="C12" s="521"/>
      <c r="AJ12" s="39"/>
    </row>
    <row r="13" spans="1:36" ht="12" customHeight="1" x14ac:dyDescent="0.25">
      <c r="A13" s="582" t="s">
        <v>27</v>
      </c>
      <c r="B13" s="585" t="s">
        <v>28</v>
      </c>
      <c r="C13" s="40"/>
      <c r="D13" s="588" t="s">
        <v>29</v>
      </c>
      <c r="E13" s="589"/>
      <c r="F13" s="590"/>
      <c r="G13" s="594" t="s">
        <v>44</v>
      </c>
      <c r="H13" s="594" t="s">
        <v>45</v>
      </c>
      <c r="I13" s="589" t="s">
        <v>30</v>
      </c>
      <c r="J13" s="590"/>
      <c r="K13" s="589" t="s">
        <v>31</v>
      </c>
      <c r="L13" s="590"/>
      <c r="M13" s="589" t="s">
        <v>32</v>
      </c>
      <c r="N13" s="590"/>
      <c r="O13" s="588" t="s">
        <v>72</v>
      </c>
      <c r="P13" s="590"/>
      <c r="Q13" s="588" t="s">
        <v>33</v>
      </c>
      <c r="R13" s="590"/>
      <c r="S13" s="589" t="s">
        <v>34</v>
      </c>
      <c r="T13" s="590"/>
      <c r="U13" s="589" t="s">
        <v>35</v>
      </c>
      <c r="V13" s="590"/>
      <c r="W13" s="589" t="s">
        <v>36</v>
      </c>
      <c r="X13" s="590"/>
      <c r="Y13" s="589" t="s">
        <v>37</v>
      </c>
      <c r="Z13" s="590"/>
      <c r="AA13" s="589" t="s">
        <v>38</v>
      </c>
      <c r="AB13" s="590"/>
      <c r="AC13" s="589" t="s">
        <v>12</v>
      </c>
      <c r="AD13" s="590"/>
      <c r="AE13" s="589" t="s">
        <v>39</v>
      </c>
      <c r="AF13" s="590"/>
      <c r="AG13" s="589" t="s">
        <v>40</v>
      </c>
      <c r="AH13" s="590"/>
      <c r="AI13" s="536"/>
      <c r="AJ13" s="602" t="s">
        <v>41</v>
      </c>
    </row>
    <row r="14" spans="1:36" ht="12" customHeight="1" x14ac:dyDescent="0.25">
      <c r="A14" s="583"/>
      <c r="B14" s="586"/>
      <c r="C14" s="41"/>
      <c r="D14" s="591"/>
      <c r="E14" s="592"/>
      <c r="F14" s="593"/>
      <c r="G14" s="594"/>
      <c r="H14" s="594"/>
      <c r="I14" s="592"/>
      <c r="J14" s="593"/>
      <c r="K14" s="592"/>
      <c r="L14" s="593"/>
      <c r="M14" s="592"/>
      <c r="N14" s="593"/>
      <c r="O14" s="591"/>
      <c r="P14" s="593"/>
      <c r="Q14" s="591"/>
      <c r="R14" s="593"/>
      <c r="S14" s="592"/>
      <c r="T14" s="593"/>
      <c r="U14" s="592"/>
      <c r="V14" s="593"/>
      <c r="W14" s="592"/>
      <c r="X14" s="593"/>
      <c r="Y14" s="592"/>
      <c r="Z14" s="593"/>
      <c r="AA14" s="592"/>
      <c r="AB14" s="593"/>
      <c r="AC14" s="592"/>
      <c r="AD14" s="593"/>
      <c r="AE14" s="592"/>
      <c r="AF14" s="593"/>
      <c r="AG14" s="592"/>
      <c r="AH14" s="593"/>
      <c r="AI14" s="537"/>
      <c r="AJ14" s="603"/>
    </row>
    <row r="15" spans="1:36" ht="12" customHeight="1" x14ac:dyDescent="0.25">
      <c r="A15" s="583"/>
      <c r="B15" s="586"/>
      <c r="C15" s="586" t="s">
        <v>42</v>
      </c>
      <c r="D15" s="591"/>
      <c r="E15" s="592"/>
      <c r="F15" s="593"/>
      <c r="G15" s="594"/>
      <c r="H15" s="594"/>
      <c r="I15" s="592"/>
      <c r="J15" s="593"/>
      <c r="K15" s="592"/>
      <c r="L15" s="593"/>
      <c r="M15" s="592"/>
      <c r="N15" s="593"/>
      <c r="O15" s="591"/>
      <c r="P15" s="593"/>
      <c r="Q15" s="591"/>
      <c r="R15" s="593"/>
      <c r="S15" s="592"/>
      <c r="T15" s="593"/>
      <c r="U15" s="592"/>
      <c r="V15" s="593"/>
      <c r="W15" s="592"/>
      <c r="X15" s="593"/>
      <c r="Y15" s="592"/>
      <c r="Z15" s="593"/>
      <c r="AA15" s="592"/>
      <c r="AB15" s="593"/>
      <c r="AC15" s="592"/>
      <c r="AD15" s="593"/>
      <c r="AE15" s="592"/>
      <c r="AF15" s="593"/>
      <c r="AG15" s="592"/>
      <c r="AH15" s="593"/>
      <c r="AI15" s="597" t="s">
        <v>43</v>
      </c>
      <c r="AJ15" s="603"/>
    </row>
    <row r="16" spans="1:36" ht="12" customHeight="1" x14ac:dyDescent="0.25">
      <c r="A16" s="583"/>
      <c r="B16" s="586"/>
      <c r="C16" s="586"/>
      <c r="D16" s="591"/>
      <c r="E16" s="592"/>
      <c r="F16" s="593"/>
      <c r="G16" s="594"/>
      <c r="H16" s="594"/>
      <c r="I16" s="595"/>
      <c r="J16" s="596"/>
      <c r="K16" s="595"/>
      <c r="L16" s="596"/>
      <c r="M16" s="595"/>
      <c r="N16" s="596"/>
      <c r="O16" s="605"/>
      <c r="P16" s="596"/>
      <c r="Q16" s="605"/>
      <c r="R16" s="596"/>
      <c r="S16" s="595"/>
      <c r="T16" s="596"/>
      <c r="U16" s="595"/>
      <c r="V16" s="596"/>
      <c r="W16" s="595"/>
      <c r="X16" s="596"/>
      <c r="Y16" s="595"/>
      <c r="Z16" s="596"/>
      <c r="AA16" s="595"/>
      <c r="AB16" s="596"/>
      <c r="AC16" s="595"/>
      <c r="AD16" s="596"/>
      <c r="AE16" s="595"/>
      <c r="AF16" s="596"/>
      <c r="AG16" s="595"/>
      <c r="AH16" s="596"/>
      <c r="AI16" s="597"/>
      <c r="AJ16" s="603"/>
    </row>
    <row r="17" spans="1:37" ht="12" customHeight="1" thickBot="1" x14ac:dyDescent="0.3">
      <c r="A17" s="584"/>
      <c r="B17" s="587"/>
      <c r="C17" s="587"/>
      <c r="D17" s="42" t="s">
        <v>46</v>
      </c>
      <c r="E17" s="42" t="s">
        <v>47</v>
      </c>
      <c r="F17" s="42" t="s">
        <v>48</v>
      </c>
      <c r="G17" s="43"/>
      <c r="H17" s="44" t="s">
        <v>49</v>
      </c>
      <c r="I17" s="42" t="s">
        <v>47</v>
      </c>
      <c r="J17" s="42" t="s">
        <v>48</v>
      </c>
      <c r="K17" s="42" t="s">
        <v>47</v>
      </c>
      <c r="L17" s="42" t="s">
        <v>48</v>
      </c>
      <c r="M17" s="42" t="s">
        <v>47</v>
      </c>
      <c r="N17" s="42" t="s">
        <v>48</v>
      </c>
      <c r="O17" s="42" t="s">
        <v>47</v>
      </c>
      <c r="P17" s="42" t="s">
        <v>48</v>
      </c>
      <c r="Q17" s="42" t="s">
        <v>47</v>
      </c>
      <c r="R17" s="42" t="s">
        <v>48</v>
      </c>
      <c r="S17" s="42" t="s">
        <v>47</v>
      </c>
      <c r="T17" s="42" t="s">
        <v>48</v>
      </c>
      <c r="U17" s="42" t="s">
        <v>47</v>
      </c>
      <c r="V17" s="42" t="s">
        <v>48</v>
      </c>
      <c r="W17" s="42" t="s">
        <v>47</v>
      </c>
      <c r="X17" s="42" t="s">
        <v>48</v>
      </c>
      <c r="Y17" s="42" t="s">
        <v>47</v>
      </c>
      <c r="Z17" s="42" t="s">
        <v>48</v>
      </c>
      <c r="AA17" s="42" t="s">
        <v>47</v>
      </c>
      <c r="AB17" s="42" t="s">
        <v>48</v>
      </c>
      <c r="AC17" s="42" t="s">
        <v>47</v>
      </c>
      <c r="AD17" s="42" t="s">
        <v>48</v>
      </c>
      <c r="AE17" s="42" t="s">
        <v>47</v>
      </c>
      <c r="AF17" s="42" t="s">
        <v>48</v>
      </c>
      <c r="AG17" s="42" t="s">
        <v>47</v>
      </c>
      <c r="AH17" s="42" t="s">
        <v>48</v>
      </c>
      <c r="AI17" s="45" t="s">
        <v>50</v>
      </c>
      <c r="AJ17" s="604"/>
    </row>
    <row r="18" spans="1:37" s="564" customFormat="1" ht="12" customHeight="1" outlineLevel="1" thickTop="1" x14ac:dyDescent="0.25">
      <c r="A18" s="598" t="s">
        <v>51</v>
      </c>
      <c r="B18" s="599"/>
      <c r="C18" s="599"/>
      <c r="D18" s="599"/>
      <c r="E18" s="599"/>
      <c r="F18" s="599"/>
      <c r="G18" s="599"/>
      <c r="H18" s="599"/>
      <c r="I18" s="599"/>
      <c r="J18" s="599"/>
      <c r="K18" s="599"/>
      <c r="L18" s="599"/>
      <c r="M18" s="599"/>
      <c r="N18" s="599"/>
      <c r="O18" s="599"/>
      <c r="P18" s="599"/>
      <c r="Q18" s="599"/>
      <c r="R18" s="599"/>
      <c r="S18" s="599"/>
      <c r="T18" s="599"/>
      <c r="U18" s="599"/>
      <c r="V18" s="599"/>
      <c r="W18" s="599"/>
      <c r="X18" s="599"/>
      <c r="Y18" s="599"/>
      <c r="Z18" s="599"/>
      <c r="AA18" s="599"/>
      <c r="AB18" s="599"/>
      <c r="AC18" s="599"/>
      <c r="AD18" s="599"/>
      <c r="AE18" s="599"/>
      <c r="AF18" s="599"/>
      <c r="AG18" s="599"/>
      <c r="AH18" s="599"/>
      <c r="AI18" s="599"/>
      <c r="AJ18" s="600"/>
      <c r="AK18" s="47"/>
    </row>
    <row r="19" spans="1:37" s="564" customFormat="1" ht="12" customHeight="1" outlineLevel="3" x14ac:dyDescent="0.25">
      <c r="A19" s="54" t="s">
        <v>1809</v>
      </c>
      <c r="B19" s="75">
        <v>162</v>
      </c>
      <c r="C19" s="76">
        <v>45898</v>
      </c>
      <c r="D19" s="77"/>
      <c r="E19" s="77"/>
      <c r="F19" s="77"/>
      <c r="G19" s="78"/>
      <c r="H19" s="78"/>
      <c r="I19" s="77"/>
      <c r="J19" s="77"/>
      <c r="K19" s="77"/>
      <c r="L19" s="77"/>
      <c r="M19" s="77"/>
      <c r="N19" s="77"/>
      <c r="O19" s="77"/>
      <c r="P19" s="77"/>
      <c r="Q19" s="77"/>
      <c r="R19" s="77"/>
      <c r="S19" s="77"/>
      <c r="T19" s="77"/>
      <c r="U19" s="77"/>
      <c r="V19" s="77"/>
      <c r="W19" s="77"/>
      <c r="X19" s="77"/>
      <c r="Y19" s="77"/>
      <c r="Z19" s="77"/>
      <c r="AA19" s="77"/>
      <c r="AB19" s="77"/>
      <c r="AC19" s="77"/>
      <c r="AD19" s="77"/>
      <c r="AE19" s="77"/>
      <c r="AF19" s="77"/>
      <c r="AG19" s="77"/>
      <c r="AH19" s="77"/>
      <c r="AI19" s="79">
        <f>COUNT(AH19,AF19,AD19,AB19,Z19,X19,V19,T19,R19,P19,N19,L19,J19,F19)/COUNTIF($D$17:$AH$17,$AG$17)</f>
        <v>0</v>
      </c>
      <c r="AJ19" s="80"/>
      <c r="AK19" s="47"/>
    </row>
    <row r="20" spans="1:37" s="564" customFormat="1" ht="12" customHeight="1" outlineLevel="3" x14ac:dyDescent="0.25">
      <c r="A20" s="48" t="s">
        <v>52</v>
      </c>
      <c r="B20" s="49">
        <v>88</v>
      </c>
      <c r="C20" s="461">
        <v>45891</v>
      </c>
      <c r="D20" s="50">
        <v>46206</v>
      </c>
      <c r="E20" s="50">
        <v>46209</v>
      </c>
      <c r="F20" s="51">
        <v>46209</v>
      </c>
      <c r="G20" s="72">
        <v>46209</v>
      </c>
      <c r="H20" s="72">
        <v>46209</v>
      </c>
      <c r="I20" s="50">
        <v>46206</v>
      </c>
      <c r="J20" s="51">
        <v>46206</v>
      </c>
      <c r="K20" s="50">
        <v>46209</v>
      </c>
      <c r="L20" s="51">
        <v>46209</v>
      </c>
      <c r="M20" s="50">
        <v>46209</v>
      </c>
      <c r="N20" s="51">
        <v>46209</v>
      </c>
      <c r="O20" s="50">
        <v>46217</v>
      </c>
      <c r="P20" s="51"/>
      <c r="Q20" s="50">
        <v>46216</v>
      </c>
      <c r="R20" s="51">
        <v>46216</v>
      </c>
      <c r="S20" s="50">
        <v>46210</v>
      </c>
      <c r="T20" s="51">
        <v>46210</v>
      </c>
      <c r="U20" s="50">
        <v>46211</v>
      </c>
      <c r="V20" s="51">
        <v>46211</v>
      </c>
      <c r="W20" s="50">
        <v>46212</v>
      </c>
      <c r="X20" s="51">
        <v>46212</v>
      </c>
      <c r="Y20" s="50">
        <v>46218</v>
      </c>
      <c r="Z20" s="51"/>
      <c r="AA20" s="50">
        <v>46223</v>
      </c>
      <c r="AB20" s="51"/>
      <c r="AC20" s="50">
        <v>46225</v>
      </c>
      <c r="AD20" s="51"/>
      <c r="AE20" s="50">
        <v>46226</v>
      </c>
      <c r="AF20" s="51"/>
      <c r="AG20" s="50">
        <v>46230</v>
      </c>
      <c r="AH20" s="51"/>
      <c r="AI20" s="52">
        <f t="shared" ref="AI20:AI22" si="0">COUNT(AH20,AF20,AD20,AB20,Z20,X20,V20,T20,R20,P20,N20,L20,J20,F20)/COUNTIF($D$17:$AH$17,$AG$17)</f>
        <v>0.5714285714285714</v>
      </c>
      <c r="AJ20" s="53"/>
      <c r="AK20" s="47"/>
    </row>
    <row r="21" spans="1:37" s="564" customFormat="1" ht="12" customHeight="1" outlineLevel="3" x14ac:dyDescent="0.25">
      <c r="A21" s="54" t="s">
        <v>53</v>
      </c>
      <c r="B21" s="75">
        <v>72</v>
      </c>
      <c r="C21" s="76">
        <v>46133</v>
      </c>
      <c r="D21" s="77">
        <v>46125</v>
      </c>
      <c r="E21" s="77">
        <v>46125</v>
      </c>
      <c r="F21" s="77">
        <v>46125</v>
      </c>
      <c r="G21" s="78"/>
      <c r="H21" s="78"/>
      <c r="I21" s="77">
        <v>46125</v>
      </c>
      <c r="J21" s="77">
        <v>46125</v>
      </c>
      <c r="K21" s="77">
        <v>46125</v>
      </c>
      <c r="L21" s="77">
        <v>46125</v>
      </c>
      <c r="M21" s="77">
        <v>46128</v>
      </c>
      <c r="N21" s="77">
        <v>46128</v>
      </c>
      <c r="O21" s="77">
        <v>46136</v>
      </c>
      <c r="P21" s="77">
        <v>46136</v>
      </c>
      <c r="Q21" s="77">
        <v>46128</v>
      </c>
      <c r="R21" s="77">
        <v>46128</v>
      </c>
      <c r="S21" s="77">
        <v>46177</v>
      </c>
      <c r="T21" s="77">
        <v>46177</v>
      </c>
      <c r="U21" s="77">
        <v>46177</v>
      </c>
      <c r="V21" s="77">
        <v>46177</v>
      </c>
      <c r="W21" s="77">
        <v>46181</v>
      </c>
      <c r="X21" s="77">
        <v>46181</v>
      </c>
      <c r="Y21" s="77">
        <v>46182</v>
      </c>
      <c r="Z21" s="77">
        <v>46182</v>
      </c>
      <c r="AA21" s="77">
        <v>46183</v>
      </c>
      <c r="AB21" s="77">
        <v>46183</v>
      </c>
      <c r="AC21" s="77">
        <v>46184</v>
      </c>
      <c r="AD21" s="77">
        <v>46184</v>
      </c>
      <c r="AE21" s="77">
        <v>46188</v>
      </c>
      <c r="AF21" s="77">
        <v>46188</v>
      </c>
      <c r="AG21" s="77">
        <v>46190</v>
      </c>
      <c r="AH21" s="77">
        <v>46190</v>
      </c>
      <c r="AI21" s="79">
        <f t="shared" si="0"/>
        <v>1</v>
      </c>
      <c r="AJ21" s="80"/>
      <c r="AK21" s="47"/>
    </row>
    <row r="22" spans="1:37" s="564" customFormat="1" ht="12" customHeight="1" outlineLevel="3" x14ac:dyDescent="0.25">
      <c r="A22" s="55" t="s">
        <v>54</v>
      </c>
      <c r="B22" s="49">
        <v>54</v>
      </c>
      <c r="C22" s="50">
        <v>46133</v>
      </c>
      <c r="D22" s="50">
        <v>46217</v>
      </c>
      <c r="E22" s="50">
        <v>46218</v>
      </c>
      <c r="F22" s="51">
        <v>46218</v>
      </c>
      <c r="G22" s="72"/>
      <c r="H22" s="72"/>
      <c r="I22" s="50"/>
      <c r="J22" s="51"/>
      <c r="K22" s="50"/>
      <c r="L22" s="51"/>
      <c r="M22" s="50"/>
      <c r="N22" s="51"/>
      <c r="O22" s="50"/>
      <c r="P22" s="51"/>
      <c r="Q22" s="50"/>
      <c r="R22" s="51"/>
      <c r="S22" s="50"/>
      <c r="T22" s="51"/>
      <c r="U22" s="50"/>
      <c r="V22" s="51"/>
      <c r="W22" s="50"/>
      <c r="X22" s="51"/>
      <c r="Y22" s="50"/>
      <c r="Z22" s="51"/>
      <c r="AA22" s="50"/>
      <c r="AB22" s="51"/>
      <c r="AC22" s="50"/>
      <c r="AD22" s="51"/>
      <c r="AE22" s="50"/>
      <c r="AF22" s="51"/>
      <c r="AG22" s="50"/>
      <c r="AH22" s="51"/>
      <c r="AI22" s="52">
        <f t="shared" si="0"/>
        <v>7.1428571428571425E-2</v>
      </c>
      <c r="AJ22" s="53"/>
      <c r="AK22" s="47"/>
    </row>
    <row r="23" spans="1:37" s="564" customFormat="1" ht="12" customHeight="1" outlineLevel="3" x14ac:dyDescent="0.25">
      <c r="A23" s="55" t="s">
        <v>1428</v>
      </c>
      <c r="B23" s="49">
        <v>33</v>
      </c>
      <c r="C23" s="50">
        <v>46143</v>
      </c>
      <c r="D23" s="50"/>
      <c r="E23" s="50"/>
      <c r="F23" s="51"/>
      <c r="G23" s="72"/>
      <c r="H23" s="72"/>
      <c r="I23" s="50"/>
      <c r="J23" s="51"/>
      <c r="K23" s="50"/>
      <c r="L23" s="51"/>
      <c r="M23" s="50"/>
      <c r="N23" s="51"/>
      <c r="O23" s="50"/>
      <c r="P23" s="51"/>
      <c r="Q23" s="50"/>
      <c r="R23" s="51"/>
      <c r="S23" s="50"/>
      <c r="T23" s="51"/>
      <c r="U23" s="50"/>
      <c r="V23" s="51"/>
      <c r="W23" s="50"/>
      <c r="X23" s="51"/>
      <c r="Y23" s="50"/>
      <c r="Z23" s="51"/>
      <c r="AA23" s="50"/>
      <c r="AB23" s="51"/>
      <c r="AC23" s="50"/>
      <c r="AD23" s="51"/>
      <c r="AE23" s="50"/>
      <c r="AF23" s="51"/>
      <c r="AG23" s="50"/>
      <c r="AH23" s="51"/>
      <c r="AI23" s="52">
        <f t="shared" ref="AI23:AI24" si="1">COUNT(AH23,AF23,AD23,AB23,Z23,X23,V23,T23,R23,P23,N23,L23,J23,F23)/COUNTIF($D$17:$AH$17,$AG$17)</f>
        <v>0</v>
      </c>
      <c r="AJ23" s="53"/>
      <c r="AK23" s="47"/>
    </row>
    <row r="24" spans="1:37" s="564" customFormat="1" ht="12" customHeight="1" outlineLevel="3" x14ac:dyDescent="0.25">
      <c r="A24" s="55" t="s">
        <v>56</v>
      </c>
      <c r="B24" s="49">
        <v>4</v>
      </c>
      <c r="C24" s="50">
        <v>46153</v>
      </c>
      <c r="D24" s="50">
        <v>46200</v>
      </c>
      <c r="E24" s="50">
        <v>46202</v>
      </c>
      <c r="F24" s="51"/>
      <c r="G24" s="72"/>
      <c r="H24" s="72"/>
      <c r="I24" s="50"/>
      <c r="J24" s="51"/>
      <c r="K24" s="50"/>
      <c r="L24" s="51"/>
      <c r="M24" s="50"/>
      <c r="N24" s="51"/>
      <c r="O24" s="50"/>
      <c r="P24" s="51"/>
      <c r="Q24" s="50"/>
      <c r="R24" s="51"/>
      <c r="S24" s="50"/>
      <c r="T24" s="51"/>
      <c r="U24" s="50"/>
      <c r="V24" s="51"/>
      <c r="W24" s="50"/>
      <c r="X24" s="51"/>
      <c r="Y24" s="50"/>
      <c r="Z24" s="51"/>
      <c r="AA24" s="50"/>
      <c r="AB24" s="51"/>
      <c r="AC24" s="50"/>
      <c r="AD24" s="51"/>
      <c r="AE24" s="50"/>
      <c r="AF24" s="51"/>
      <c r="AG24" s="50"/>
      <c r="AH24" s="51"/>
      <c r="AI24" s="52">
        <f t="shared" si="1"/>
        <v>0</v>
      </c>
      <c r="AJ24" s="53"/>
      <c r="AK24" s="47"/>
    </row>
    <row r="25" spans="1:37" s="564" customFormat="1" ht="12" customHeight="1" outlineLevel="3" x14ac:dyDescent="0.25">
      <c r="A25" s="54" t="s">
        <v>57</v>
      </c>
      <c r="B25" s="75">
        <v>5</v>
      </c>
      <c r="C25" s="76">
        <v>46146</v>
      </c>
      <c r="D25" s="77"/>
      <c r="E25" s="77"/>
      <c r="F25" s="77"/>
      <c r="G25" s="78"/>
      <c r="H25" s="78"/>
      <c r="I25" s="77"/>
      <c r="J25" s="77"/>
      <c r="K25" s="77"/>
      <c r="L25" s="77"/>
      <c r="M25" s="77"/>
      <c r="N25" s="77"/>
      <c r="O25" s="77"/>
      <c r="P25" s="77"/>
      <c r="Q25" s="77"/>
      <c r="R25" s="77"/>
      <c r="S25" s="77"/>
      <c r="T25" s="77"/>
      <c r="U25" s="77"/>
      <c r="V25" s="77"/>
      <c r="W25" s="77"/>
      <c r="X25" s="77"/>
      <c r="Y25" s="77"/>
      <c r="Z25" s="77"/>
      <c r="AA25" s="77"/>
      <c r="AB25" s="77"/>
      <c r="AC25" s="77"/>
      <c r="AD25" s="77"/>
      <c r="AE25" s="77"/>
      <c r="AF25" s="77"/>
      <c r="AG25" s="77"/>
      <c r="AH25" s="77"/>
      <c r="AI25" s="79">
        <v>1</v>
      </c>
      <c r="AJ25" s="80" t="s">
        <v>40</v>
      </c>
      <c r="AK25" s="47"/>
    </row>
    <row r="26" spans="1:37" s="564" customFormat="1" ht="12" customHeight="1" outlineLevel="3" x14ac:dyDescent="0.25">
      <c r="A26" s="55" t="s">
        <v>58</v>
      </c>
      <c r="B26" s="49">
        <v>76</v>
      </c>
      <c r="C26" s="50">
        <v>46165</v>
      </c>
      <c r="D26" s="50">
        <v>46200</v>
      </c>
      <c r="E26" s="50">
        <v>46202</v>
      </c>
      <c r="F26" s="51"/>
      <c r="G26" s="72"/>
      <c r="H26" s="72"/>
      <c r="I26" s="50">
        <v>46184</v>
      </c>
      <c r="J26" s="51"/>
      <c r="K26" s="50">
        <v>46185</v>
      </c>
      <c r="L26" s="51"/>
      <c r="M26" s="50">
        <v>46191</v>
      </c>
      <c r="N26" s="51"/>
      <c r="O26" s="50">
        <v>46200</v>
      </c>
      <c r="P26" s="51"/>
      <c r="Q26" s="50">
        <v>46191</v>
      </c>
      <c r="R26" s="51"/>
      <c r="S26" s="50">
        <v>46192</v>
      </c>
      <c r="T26" s="51"/>
      <c r="U26" s="50">
        <v>46192</v>
      </c>
      <c r="V26" s="51"/>
      <c r="W26" s="50">
        <v>46198</v>
      </c>
      <c r="X26" s="51"/>
      <c r="Y26" s="50">
        <v>46200</v>
      </c>
      <c r="Z26" s="51"/>
      <c r="AA26" s="50">
        <v>46202</v>
      </c>
      <c r="AB26" s="51"/>
      <c r="AC26" s="50">
        <v>46203</v>
      </c>
      <c r="AD26" s="51"/>
      <c r="AE26" s="50">
        <v>46204</v>
      </c>
      <c r="AF26" s="51"/>
      <c r="AG26" s="50">
        <v>46205</v>
      </c>
      <c r="AH26" s="51"/>
      <c r="AI26" s="52">
        <f t="shared" ref="AI26:AI52" si="2">COUNT(AH26,AF26,AD26,AB26,Z26,X26,V26,T26,R26,P26,N26,L26,J26,F26)/COUNTIF($D$17:$AH$17,$AG$17)</f>
        <v>0</v>
      </c>
      <c r="AJ26" s="53"/>
      <c r="AK26" s="47"/>
    </row>
    <row r="27" spans="1:37" s="564" customFormat="1" ht="12" customHeight="1" outlineLevel="3" x14ac:dyDescent="0.25">
      <c r="A27" s="55" t="s">
        <v>1813</v>
      </c>
      <c r="B27" s="49">
        <v>2</v>
      </c>
      <c r="C27" s="50">
        <v>46216</v>
      </c>
      <c r="D27" s="50"/>
      <c r="E27" s="50"/>
      <c r="F27" s="51"/>
      <c r="G27" s="72"/>
      <c r="H27" s="72"/>
      <c r="I27" s="50"/>
      <c r="J27" s="51"/>
      <c r="K27" s="50"/>
      <c r="L27" s="51"/>
      <c r="M27" s="50"/>
      <c r="N27" s="51"/>
      <c r="O27" s="50"/>
      <c r="P27" s="51"/>
      <c r="Q27" s="50"/>
      <c r="R27" s="51"/>
      <c r="S27" s="50"/>
      <c r="T27" s="51"/>
      <c r="U27" s="50"/>
      <c r="V27" s="51"/>
      <c r="W27" s="50"/>
      <c r="X27" s="51"/>
      <c r="Y27" s="50"/>
      <c r="Z27" s="51"/>
      <c r="AA27" s="50"/>
      <c r="AB27" s="51"/>
      <c r="AC27" s="50"/>
      <c r="AD27" s="51"/>
      <c r="AE27" s="50"/>
      <c r="AF27" s="51"/>
      <c r="AG27" s="50"/>
      <c r="AH27" s="51"/>
      <c r="AI27" s="52">
        <f t="shared" si="2"/>
        <v>0</v>
      </c>
      <c r="AJ27" s="53"/>
      <c r="AK27" s="47"/>
    </row>
    <row r="28" spans="1:37" s="564" customFormat="1" ht="12" customHeight="1" outlineLevel="3" x14ac:dyDescent="0.25">
      <c r="A28" s="55" t="s">
        <v>60</v>
      </c>
      <c r="B28" s="49">
        <v>25</v>
      </c>
      <c r="C28" s="50">
        <v>46188</v>
      </c>
      <c r="D28" s="50">
        <v>46200</v>
      </c>
      <c r="E28" s="50">
        <v>46202</v>
      </c>
      <c r="F28" s="51"/>
      <c r="G28" s="72"/>
      <c r="H28" s="72"/>
      <c r="I28" s="50"/>
      <c r="J28" s="51"/>
      <c r="K28" s="50"/>
      <c r="L28" s="51"/>
      <c r="M28" s="50"/>
      <c r="N28" s="51"/>
      <c r="O28" s="50"/>
      <c r="P28" s="51"/>
      <c r="Q28" s="50"/>
      <c r="R28" s="51"/>
      <c r="S28" s="50"/>
      <c r="T28" s="51"/>
      <c r="U28" s="50"/>
      <c r="V28" s="51"/>
      <c r="W28" s="50"/>
      <c r="X28" s="51"/>
      <c r="Y28" s="50"/>
      <c r="Z28" s="51"/>
      <c r="AA28" s="50"/>
      <c r="AB28" s="51"/>
      <c r="AC28" s="50"/>
      <c r="AD28" s="51"/>
      <c r="AE28" s="50"/>
      <c r="AF28" s="51"/>
      <c r="AG28" s="50"/>
      <c r="AH28" s="51"/>
      <c r="AI28" s="52">
        <f t="shared" si="2"/>
        <v>0</v>
      </c>
      <c r="AJ28" s="53"/>
      <c r="AK28" s="47"/>
    </row>
    <row r="29" spans="1:37" s="564" customFormat="1" ht="12" customHeight="1" outlineLevel="3" x14ac:dyDescent="0.25">
      <c r="A29" s="55" t="s">
        <v>61</v>
      </c>
      <c r="B29" s="49">
        <v>74</v>
      </c>
      <c r="C29" s="50">
        <v>46223</v>
      </c>
      <c r="D29" s="50"/>
      <c r="E29" s="50"/>
      <c r="F29" s="51"/>
      <c r="G29" s="72"/>
      <c r="H29" s="72"/>
      <c r="I29" s="50"/>
      <c r="J29" s="51"/>
      <c r="K29" s="50"/>
      <c r="L29" s="51"/>
      <c r="M29" s="50"/>
      <c r="N29" s="51"/>
      <c r="O29" s="50"/>
      <c r="P29" s="51"/>
      <c r="Q29" s="50"/>
      <c r="R29" s="51"/>
      <c r="S29" s="50"/>
      <c r="T29" s="51"/>
      <c r="U29" s="50"/>
      <c r="V29" s="51"/>
      <c r="W29" s="50"/>
      <c r="X29" s="51"/>
      <c r="Y29" s="50"/>
      <c r="Z29" s="51"/>
      <c r="AA29" s="50"/>
      <c r="AB29" s="51"/>
      <c r="AC29" s="50"/>
      <c r="AD29" s="51"/>
      <c r="AE29" s="50"/>
      <c r="AF29" s="51"/>
      <c r="AG29" s="50"/>
      <c r="AH29" s="51"/>
      <c r="AI29" s="52">
        <f t="shared" si="2"/>
        <v>0</v>
      </c>
      <c r="AJ29" s="53"/>
      <c r="AK29" s="47"/>
    </row>
    <row r="30" spans="1:37" s="564" customFormat="1" ht="12" customHeight="1" outlineLevel="3" x14ac:dyDescent="0.25">
      <c r="A30" s="55" t="s">
        <v>62</v>
      </c>
      <c r="B30" s="49">
        <v>18</v>
      </c>
      <c r="C30" s="50">
        <v>46181</v>
      </c>
      <c r="D30" s="50"/>
      <c r="E30" s="50"/>
      <c r="F30" s="51"/>
      <c r="G30" s="72"/>
      <c r="H30" s="72"/>
      <c r="I30" s="50"/>
      <c r="J30" s="51"/>
      <c r="K30" s="50"/>
      <c r="L30" s="51"/>
      <c r="M30" s="50"/>
      <c r="N30" s="51"/>
      <c r="O30" s="50"/>
      <c r="P30" s="51"/>
      <c r="Q30" s="50"/>
      <c r="R30" s="51"/>
      <c r="S30" s="50"/>
      <c r="T30" s="51"/>
      <c r="U30" s="50"/>
      <c r="V30" s="51"/>
      <c r="W30" s="50"/>
      <c r="X30" s="51"/>
      <c r="Y30" s="50"/>
      <c r="Z30" s="51"/>
      <c r="AA30" s="50"/>
      <c r="AB30" s="51"/>
      <c r="AC30" s="50"/>
      <c r="AD30" s="51"/>
      <c r="AE30" s="50"/>
      <c r="AF30" s="51"/>
      <c r="AG30" s="50"/>
      <c r="AH30" s="51"/>
      <c r="AI30" s="52">
        <f t="shared" si="2"/>
        <v>0</v>
      </c>
      <c r="AJ30" s="53"/>
      <c r="AK30" s="47"/>
    </row>
    <row r="31" spans="1:37" s="564" customFormat="1" ht="12" customHeight="1" outlineLevel="3" x14ac:dyDescent="0.25">
      <c r="A31" s="55" t="s">
        <v>63</v>
      </c>
      <c r="B31" s="49">
        <v>11</v>
      </c>
      <c r="C31" s="50">
        <v>46178</v>
      </c>
      <c r="D31" s="50">
        <v>46200</v>
      </c>
      <c r="E31" s="50">
        <v>46202</v>
      </c>
      <c r="F31" s="51"/>
      <c r="G31" s="56"/>
      <c r="H31" s="56"/>
      <c r="I31" s="50">
        <v>46182</v>
      </c>
      <c r="J31" s="51"/>
      <c r="K31" s="50">
        <v>46182</v>
      </c>
      <c r="L31" s="51"/>
      <c r="M31" s="50">
        <v>46183</v>
      </c>
      <c r="N31" s="51"/>
      <c r="O31" s="50">
        <v>46185</v>
      </c>
      <c r="P31" s="51"/>
      <c r="Q31" s="50">
        <v>41070</v>
      </c>
      <c r="R31" s="51"/>
      <c r="S31" s="50">
        <v>46184</v>
      </c>
      <c r="T31" s="51"/>
      <c r="U31" s="50">
        <v>46184</v>
      </c>
      <c r="V31" s="51"/>
      <c r="W31" s="50">
        <v>46188</v>
      </c>
      <c r="X31" s="51"/>
      <c r="Y31" s="50">
        <v>46191</v>
      </c>
      <c r="Z31" s="51"/>
      <c r="AA31" s="50">
        <v>46192</v>
      </c>
      <c r="AB31" s="51"/>
      <c r="AC31" s="50">
        <v>46192</v>
      </c>
      <c r="AD31" s="51"/>
      <c r="AE31" s="50">
        <v>46195</v>
      </c>
      <c r="AF31" s="51"/>
      <c r="AG31" s="50">
        <v>46196</v>
      </c>
      <c r="AH31" s="51"/>
      <c r="AI31" s="52">
        <f t="shared" si="2"/>
        <v>0</v>
      </c>
      <c r="AJ31" s="53"/>
      <c r="AK31" s="47"/>
    </row>
    <row r="32" spans="1:37" s="564" customFormat="1" ht="12" customHeight="1" outlineLevel="3" x14ac:dyDescent="0.25">
      <c r="A32" s="55" t="s">
        <v>64</v>
      </c>
      <c r="B32" s="49">
        <v>8</v>
      </c>
      <c r="C32" s="50">
        <v>46178</v>
      </c>
      <c r="D32" s="50"/>
      <c r="E32" s="50"/>
      <c r="F32" s="51"/>
      <c r="G32" s="56"/>
      <c r="H32" s="56"/>
      <c r="I32" s="50"/>
      <c r="J32" s="51"/>
      <c r="K32" s="50"/>
      <c r="L32" s="51"/>
      <c r="M32" s="50"/>
      <c r="N32" s="51"/>
      <c r="O32" s="50"/>
      <c r="P32" s="51"/>
      <c r="Q32" s="50"/>
      <c r="R32" s="51"/>
      <c r="S32" s="50"/>
      <c r="T32" s="51"/>
      <c r="U32" s="50"/>
      <c r="V32" s="51"/>
      <c r="W32" s="50"/>
      <c r="X32" s="51"/>
      <c r="Y32" s="50"/>
      <c r="Z32" s="51"/>
      <c r="AA32" s="50"/>
      <c r="AB32" s="51"/>
      <c r="AC32" s="50"/>
      <c r="AD32" s="51"/>
      <c r="AE32" s="50"/>
      <c r="AF32" s="51"/>
      <c r="AG32" s="50"/>
      <c r="AH32" s="51"/>
      <c r="AI32" s="52">
        <f t="shared" si="2"/>
        <v>0</v>
      </c>
      <c r="AJ32" s="53"/>
      <c r="AK32" s="47"/>
    </row>
    <row r="33" spans="1:37" s="564" customFormat="1" ht="12" customHeight="1" outlineLevel="3" x14ac:dyDescent="0.25">
      <c r="A33" s="55" t="s">
        <v>65</v>
      </c>
      <c r="B33" s="49">
        <v>7</v>
      </c>
      <c r="C33" s="50">
        <v>46178</v>
      </c>
      <c r="D33" s="50"/>
      <c r="E33" s="50"/>
      <c r="F33" s="51"/>
      <c r="G33" s="56"/>
      <c r="H33" s="56"/>
      <c r="I33" s="50"/>
      <c r="J33" s="51"/>
      <c r="K33" s="50"/>
      <c r="L33" s="51"/>
      <c r="M33" s="50"/>
      <c r="N33" s="51"/>
      <c r="O33" s="50"/>
      <c r="P33" s="51"/>
      <c r="Q33" s="50"/>
      <c r="R33" s="51"/>
      <c r="S33" s="50"/>
      <c r="T33" s="51"/>
      <c r="U33" s="50"/>
      <c r="V33" s="51"/>
      <c r="W33" s="50"/>
      <c r="X33" s="51"/>
      <c r="Y33" s="50"/>
      <c r="Z33" s="51"/>
      <c r="AA33" s="50"/>
      <c r="AB33" s="51"/>
      <c r="AC33" s="50"/>
      <c r="AD33" s="51"/>
      <c r="AE33" s="50"/>
      <c r="AF33" s="51"/>
      <c r="AG33" s="50"/>
      <c r="AH33" s="51"/>
      <c r="AI33" s="52">
        <f t="shared" si="2"/>
        <v>0</v>
      </c>
      <c r="AJ33" s="53"/>
      <c r="AK33" s="47"/>
    </row>
    <row r="34" spans="1:37" s="564" customFormat="1" ht="12" customHeight="1" outlineLevel="3" x14ac:dyDescent="0.25">
      <c r="A34" s="55" t="s">
        <v>66</v>
      </c>
      <c r="B34" s="49">
        <v>4</v>
      </c>
      <c r="C34" s="50">
        <v>46433</v>
      </c>
      <c r="D34" s="50"/>
      <c r="E34" s="50"/>
      <c r="F34" s="51"/>
      <c r="G34" s="56"/>
      <c r="H34" s="56"/>
      <c r="I34" s="50"/>
      <c r="J34" s="51"/>
      <c r="K34" s="50"/>
      <c r="L34" s="51"/>
      <c r="M34" s="50"/>
      <c r="N34" s="51"/>
      <c r="O34" s="50"/>
      <c r="P34" s="51"/>
      <c r="Q34" s="50"/>
      <c r="R34" s="51"/>
      <c r="S34" s="50"/>
      <c r="T34" s="51"/>
      <c r="U34" s="50"/>
      <c r="V34" s="51"/>
      <c r="W34" s="50"/>
      <c r="X34" s="51"/>
      <c r="Y34" s="50"/>
      <c r="Z34" s="51"/>
      <c r="AA34" s="50"/>
      <c r="AB34" s="51"/>
      <c r="AC34" s="50"/>
      <c r="AD34" s="51"/>
      <c r="AE34" s="50"/>
      <c r="AF34" s="51"/>
      <c r="AG34" s="50"/>
      <c r="AH34" s="51"/>
      <c r="AI34" s="52">
        <f t="shared" si="2"/>
        <v>0</v>
      </c>
      <c r="AJ34" s="53"/>
      <c r="AK34" s="47"/>
    </row>
    <row r="35" spans="1:37" s="564" customFormat="1" ht="12" customHeight="1" outlineLevel="3" x14ac:dyDescent="0.25">
      <c r="A35" s="55" t="s">
        <v>67</v>
      </c>
      <c r="B35" s="49">
        <v>26</v>
      </c>
      <c r="C35" s="50">
        <v>46220</v>
      </c>
      <c r="D35" s="50">
        <v>46208</v>
      </c>
      <c r="E35" s="50">
        <v>46209</v>
      </c>
      <c r="F35" s="51"/>
      <c r="G35" s="56"/>
      <c r="H35" s="56"/>
      <c r="I35" s="50">
        <v>46209</v>
      </c>
      <c r="J35" s="51"/>
      <c r="K35" s="50">
        <v>46209</v>
      </c>
      <c r="L35" s="51"/>
      <c r="M35" s="50">
        <v>46210</v>
      </c>
      <c r="N35" s="51"/>
      <c r="O35" s="50">
        <v>46212</v>
      </c>
      <c r="P35" s="51"/>
      <c r="Q35" s="50">
        <v>46210</v>
      </c>
      <c r="R35" s="51"/>
      <c r="S35" s="50">
        <v>46211</v>
      </c>
      <c r="T35" s="51"/>
      <c r="U35" s="50">
        <v>46211</v>
      </c>
      <c r="V35" s="51"/>
      <c r="W35" s="50">
        <v>46212</v>
      </c>
      <c r="X35" s="51"/>
      <c r="Y35" s="50">
        <v>46213</v>
      </c>
      <c r="Z35" s="51"/>
      <c r="AA35" s="50">
        <v>46216</v>
      </c>
      <c r="AB35" s="51"/>
      <c r="AC35" s="50">
        <v>46216</v>
      </c>
      <c r="AD35" s="51"/>
      <c r="AE35" s="50">
        <v>46216</v>
      </c>
      <c r="AF35" s="51"/>
      <c r="AG35" s="50">
        <v>46217</v>
      </c>
      <c r="AH35" s="51"/>
      <c r="AI35" s="52">
        <f t="shared" si="2"/>
        <v>0</v>
      </c>
      <c r="AJ35" s="53"/>
      <c r="AK35" s="47"/>
    </row>
    <row r="36" spans="1:37" s="564" customFormat="1" ht="12" customHeight="1" outlineLevel="3" x14ac:dyDescent="0.25">
      <c r="A36" s="55" t="s">
        <v>1745</v>
      </c>
      <c r="B36" s="49">
        <v>106</v>
      </c>
      <c r="C36" s="50">
        <v>46311</v>
      </c>
      <c r="D36" s="50">
        <v>46262</v>
      </c>
      <c r="E36" s="50">
        <v>46262</v>
      </c>
      <c r="F36" s="51"/>
      <c r="G36" s="56"/>
      <c r="H36" s="56"/>
      <c r="I36" s="50">
        <v>46265</v>
      </c>
      <c r="J36" s="51"/>
      <c r="K36" s="50">
        <v>46266</v>
      </c>
      <c r="L36" s="51"/>
      <c r="M36" s="50">
        <v>46267</v>
      </c>
      <c r="N36" s="51"/>
      <c r="O36" s="50">
        <v>46280</v>
      </c>
      <c r="P36" s="51"/>
      <c r="Q36" s="50">
        <v>46301</v>
      </c>
      <c r="R36" s="51"/>
      <c r="S36" s="50">
        <v>46273</v>
      </c>
      <c r="T36" s="51"/>
      <c r="U36" s="50">
        <v>46274</v>
      </c>
      <c r="V36" s="51"/>
      <c r="W36" s="50">
        <v>46287</v>
      </c>
      <c r="X36" s="51"/>
      <c r="Y36" s="50">
        <v>46323</v>
      </c>
      <c r="Z36" s="51"/>
      <c r="AA36" s="50">
        <v>46301</v>
      </c>
      <c r="AB36" s="51"/>
      <c r="AC36" s="50">
        <v>46303</v>
      </c>
      <c r="AD36" s="51"/>
      <c r="AE36" s="50">
        <v>46308</v>
      </c>
      <c r="AF36" s="51"/>
      <c r="AG36" s="50">
        <v>46311</v>
      </c>
      <c r="AH36" s="51"/>
      <c r="AI36" s="52">
        <f t="shared" si="2"/>
        <v>0</v>
      </c>
      <c r="AJ36" s="53"/>
      <c r="AK36" s="47"/>
    </row>
    <row r="37" spans="1:37" s="564" customFormat="1" ht="12" customHeight="1" outlineLevel="3" x14ac:dyDescent="0.25">
      <c r="A37" s="55" t="s">
        <v>69</v>
      </c>
      <c r="B37" s="49">
        <v>6</v>
      </c>
      <c r="C37" s="50">
        <v>46212</v>
      </c>
      <c r="D37" s="50"/>
      <c r="E37" s="50"/>
      <c r="F37" s="51"/>
      <c r="G37" s="56"/>
      <c r="H37" s="56"/>
      <c r="I37" s="50"/>
      <c r="J37" s="51"/>
      <c r="K37" s="50"/>
      <c r="L37" s="51"/>
      <c r="M37" s="50"/>
      <c r="N37" s="51"/>
      <c r="O37" s="50"/>
      <c r="P37" s="51"/>
      <c r="Q37" s="50"/>
      <c r="R37" s="51"/>
      <c r="S37" s="50"/>
      <c r="T37" s="51"/>
      <c r="U37" s="50"/>
      <c r="V37" s="51"/>
      <c r="W37" s="50"/>
      <c r="X37" s="51"/>
      <c r="Y37" s="50"/>
      <c r="Z37" s="51"/>
      <c r="AA37" s="50"/>
      <c r="AB37" s="51"/>
      <c r="AC37" s="50"/>
      <c r="AD37" s="51"/>
      <c r="AE37" s="50"/>
      <c r="AF37" s="51"/>
      <c r="AG37" s="50"/>
      <c r="AH37" s="51"/>
      <c r="AI37" s="52">
        <f t="shared" si="2"/>
        <v>0</v>
      </c>
      <c r="AJ37" s="53"/>
      <c r="AK37" s="47"/>
    </row>
    <row r="38" spans="1:37" s="564" customFormat="1" ht="12" customHeight="1" outlineLevel="3" x14ac:dyDescent="0.25">
      <c r="A38" s="55" t="s">
        <v>70</v>
      </c>
      <c r="B38" s="49">
        <v>7</v>
      </c>
      <c r="C38" s="50">
        <v>46243</v>
      </c>
      <c r="D38" s="50"/>
      <c r="E38" s="50"/>
      <c r="F38" s="51"/>
      <c r="G38" s="56"/>
      <c r="H38" s="56"/>
      <c r="I38" s="50"/>
      <c r="J38" s="51"/>
      <c r="K38" s="50"/>
      <c r="L38" s="51"/>
      <c r="M38" s="50"/>
      <c r="N38" s="51"/>
      <c r="O38" s="50"/>
      <c r="P38" s="51"/>
      <c r="Q38" s="50"/>
      <c r="R38" s="51"/>
      <c r="S38" s="50"/>
      <c r="T38" s="51"/>
      <c r="U38" s="50"/>
      <c r="V38" s="51"/>
      <c r="W38" s="50"/>
      <c r="X38" s="51"/>
      <c r="Y38" s="50"/>
      <c r="Z38" s="51"/>
      <c r="AA38" s="50"/>
      <c r="AB38" s="51"/>
      <c r="AC38" s="50"/>
      <c r="AD38" s="51"/>
      <c r="AE38" s="50"/>
      <c r="AF38" s="51"/>
      <c r="AG38" s="50"/>
      <c r="AH38" s="51"/>
      <c r="AI38" s="52">
        <f t="shared" si="2"/>
        <v>0</v>
      </c>
      <c r="AJ38" s="53"/>
      <c r="AK38" s="47"/>
    </row>
    <row r="39" spans="1:37" s="564" customFormat="1" ht="12" customHeight="1" outlineLevel="3" x14ac:dyDescent="0.25">
      <c r="A39" s="55" t="s">
        <v>71</v>
      </c>
      <c r="B39" s="49">
        <v>16</v>
      </c>
      <c r="C39" s="50">
        <v>46256</v>
      </c>
      <c r="D39" s="50"/>
      <c r="E39" s="50"/>
      <c r="F39" s="51"/>
      <c r="G39" s="56"/>
      <c r="H39" s="56"/>
      <c r="I39" s="50"/>
      <c r="J39" s="51"/>
      <c r="K39" s="50"/>
      <c r="L39" s="51"/>
      <c r="M39" s="50"/>
      <c r="N39" s="51"/>
      <c r="O39" s="50"/>
      <c r="P39" s="51"/>
      <c r="Q39" s="50"/>
      <c r="R39" s="51"/>
      <c r="S39" s="50"/>
      <c r="T39" s="51"/>
      <c r="U39" s="50"/>
      <c r="V39" s="51"/>
      <c r="W39" s="50"/>
      <c r="X39" s="51"/>
      <c r="Y39" s="50"/>
      <c r="Z39" s="51"/>
      <c r="AA39" s="50"/>
      <c r="AB39" s="51"/>
      <c r="AC39" s="50"/>
      <c r="AD39" s="51"/>
      <c r="AE39" s="50"/>
      <c r="AF39" s="51"/>
      <c r="AG39" s="50"/>
      <c r="AH39" s="51"/>
      <c r="AI39" s="52">
        <f t="shared" si="2"/>
        <v>0</v>
      </c>
      <c r="AJ39" s="53"/>
      <c r="AK39" s="47"/>
    </row>
    <row r="40" spans="1:37" s="564" customFormat="1" ht="12" customHeight="1" outlineLevel="3" x14ac:dyDescent="0.25">
      <c r="A40" s="55" t="s">
        <v>1814</v>
      </c>
      <c r="B40" s="49">
        <v>333</v>
      </c>
      <c r="C40" s="50">
        <v>46331</v>
      </c>
      <c r="D40" s="50"/>
      <c r="E40" s="50"/>
      <c r="F40" s="51"/>
      <c r="G40" s="56"/>
      <c r="H40" s="56"/>
      <c r="I40" s="50"/>
      <c r="J40" s="51"/>
      <c r="K40" s="50"/>
      <c r="L40" s="51"/>
      <c r="M40" s="50"/>
      <c r="N40" s="51"/>
      <c r="O40" s="50"/>
      <c r="P40" s="51"/>
      <c r="Q40" s="50"/>
      <c r="R40" s="51"/>
      <c r="S40" s="50"/>
      <c r="T40" s="51"/>
      <c r="U40" s="50"/>
      <c r="V40" s="51"/>
      <c r="W40" s="50"/>
      <c r="X40" s="51"/>
      <c r="Y40" s="50"/>
      <c r="Z40" s="51"/>
      <c r="AA40" s="50"/>
      <c r="AB40" s="51"/>
      <c r="AC40" s="50"/>
      <c r="AD40" s="51"/>
      <c r="AE40" s="50"/>
      <c r="AF40" s="51"/>
      <c r="AG40" s="50"/>
      <c r="AH40" s="51"/>
      <c r="AI40" s="52">
        <f t="shared" si="2"/>
        <v>0</v>
      </c>
      <c r="AJ40" s="53"/>
      <c r="AK40" s="47"/>
    </row>
    <row r="41" spans="1:37" s="564" customFormat="1" ht="12" customHeight="1" outlineLevel="3" x14ac:dyDescent="0.25">
      <c r="A41" s="55" t="s">
        <v>1815</v>
      </c>
      <c r="B41" s="49">
        <v>3</v>
      </c>
      <c r="C41" s="50">
        <v>46204</v>
      </c>
      <c r="D41" s="50"/>
      <c r="E41" s="50"/>
      <c r="F41" s="51"/>
      <c r="G41" s="56"/>
      <c r="H41" s="56"/>
      <c r="I41" s="50"/>
      <c r="J41" s="51"/>
      <c r="K41" s="50"/>
      <c r="L41" s="51"/>
      <c r="M41" s="50"/>
      <c r="N41" s="51"/>
      <c r="O41" s="50"/>
      <c r="P41" s="51"/>
      <c r="Q41" s="50"/>
      <c r="R41" s="51"/>
      <c r="S41" s="50"/>
      <c r="T41" s="51"/>
      <c r="U41" s="50"/>
      <c r="V41" s="51"/>
      <c r="W41" s="50"/>
      <c r="X41" s="51"/>
      <c r="Y41" s="50"/>
      <c r="Z41" s="51"/>
      <c r="AA41" s="50"/>
      <c r="AB41" s="51"/>
      <c r="AC41" s="50"/>
      <c r="AD41" s="51"/>
      <c r="AE41" s="50"/>
      <c r="AF41" s="51"/>
      <c r="AG41" s="50"/>
      <c r="AH41" s="51"/>
      <c r="AI41" s="52">
        <f t="shared" si="2"/>
        <v>0</v>
      </c>
      <c r="AJ41" s="53"/>
      <c r="AK41" s="47"/>
    </row>
    <row r="42" spans="1:37" s="564" customFormat="1" ht="12" customHeight="1" outlineLevel="3" x14ac:dyDescent="0.25">
      <c r="A42" s="55" t="s">
        <v>1816</v>
      </c>
      <c r="B42" s="49">
        <v>5</v>
      </c>
      <c r="C42" s="50">
        <v>46241</v>
      </c>
      <c r="D42" s="50"/>
      <c r="E42" s="50"/>
      <c r="F42" s="51"/>
      <c r="G42" s="56"/>
      <c r="H42" s="56"/>
      <c r="I42" s="50"/>
      <c r="J42" s="51"/>
      <c r="K42" s="50"/>
      <c r="L42" s="51"/>
      <c r="M42" s="50"/>
      <c r="N42" s="51"/>
      <c r="O42" s="50"/>
      <c r="P42" s="51"/>
      <c r="Q42" s="50"/>
      <c r="R42" s="51"/>
      <c r="S42" s="50"/>
      <c r="T42" s="51"/>
      <c r="U42" s="50"/>
      <c r="V42" s="51"/>
      <c r="W42" s="50"/>
      <c r="X42" s="51"/>
      <c r="Y42" s="50"/>
      <c r="Z42" s="51"/>
      <c r="AA42" s="50"/>
      <c r="AB42" s="51"/>
      <c r="AC42" s="50"/>
      <c r="AD42" s="51"/>
      <c r="AE42" s="50"/>
      <c r="AF42" s="51"/>
      <c r="AG42" s="50"/>
      <c r="AH42" s="51"/>
      <c r="AI42" s="52">
        <f t="shared" si="2"/>
        <v>0</v>
      </c>
      <c r="AJ42" s="53"/>
      <c r="AK42" s="47"/>
    </row>
    <row r="43" spans="1:37" s="564" customFormat="1" ht="12" customHeight="1" outlineLevel="3" x14ac:dyDescent="0.25">
      <c r="A43" s="55" t="s">
        <v>1817</v>
      </c>
      <c r="B43" s="57">
        <v>1</v>
      </c>
      <c r="C43" s="50">
        <v>46272</v>
      </c>
      <c r="D43" s="50"/>
      <c r="E43" s="50"/>
      <c r="F43" s="51"/>
      <c r="G43" s="73"/>
      <c r="H43" s="73"/>
      <c r="I43" s="50"/>
      <c r="J43" s="51"/>
      <c r="K43" s="50"/>
      <c r="L43" s="51"/>
      <c r="M43" s="50"/>
      <c r="N43" s="51"/>
      <c r="O43" s="50"/>
      <c r="P43" s="51"/>
      <c r="Q43" s="50"/>
      <c r="R43" s="51"/>
      <c r="S43" s="50"/>
      <c r="T43" s="51"/>
      <c r="U43" s="50"/>
      <c r="V43" s="51"/>
      <c r="W43" s="50"/>
      <c r="X43" s="51"/>
      <c r="Y43" s="50"/>
      <c r="Z43" s="51"/>
      <c r="AA43" s="50"/>
      <c r="AB43" s="51"/>
      <c r="AC43" s="50"/>
      <c r="AD43" s="51"/>
      <c r="AE43" s="50"/>
      <c r="AF43" s="51"/>
      <c r="AG43" s="50"/>
      <c r="AH43" s="51"/>
      <c r="AI43" s="52">
        <f t="shared" si="2"/>
        <v>0</v>
      </c>
      <c r="AJ43" s="53"/>
      <c r="AK43" s="47"/>
    </row>
    <row r="44" spans="1:37" s="564" customFormat="1" ht="12" customHeight="1" outlineLevel="3" x14ac:dyDescent="0.25">
      <c r="A44" s="55" t="s">
        <v>1818</v>
      </c>
      <c r="B44" s="499">
        <v>19</v>
      </c>
      <c r="C44" s="50">
        <v>46323</v>
      </c>
      <c r="D44" s="50"/>
      <c r="E44" s="50"/>
      <c r="F44" s="51"/>
      <c r="G44" s="73"/>
      <c r="H44" s="73"/>
      <c r="I44" s="50"/>
      <c r="J44" s="51"/>
      <c r="K44" s="50"/>
      <c r="L44" s="51"/>
      <c r="M44" s="50"/>
      <c r="N44" s="51"/>
      <c r="O44" s="50"/>
      <c r="P44" s="51"/>
      <c r="Q44" s="50"/>
      <c r="R44" s="51"/>
      <c r="S44" s="50"/>
      <c r="T44" s="51"/>
      <c r="U44" s="50"/>
      <c r="V44" s="51"/>
      <c r="W44" s="50"/>
      <c r="X44" s="51"/>
      <c r="Y44" s="50"/>
      <c r="Z44" s="51"/>
      <c r="AA44" s="50"/>
      <c r="AB44" s="51"/>
      <c r="AC44" s="50"/>
      <c r="AD44" s="51"/>
      <c r="AE44" s="50"/>
      <c r="AF44" s="51"/>
      <c r="AG44" s="50"/>
      <c r="AH44" s="51"/>
      <c r="AI44" s="52">
        <f t="shared" si="2"/>
        <v>0</v>
      </c>
      <c r="AJ44" s="53"/>
      <c r="AK44" s="47"/>
    </row>
    <row r="45" spans="1:37" s="564" customFormat="1" ht="12" customHeight="1" outlineLevel="3" x14ac:dyDescent="0.25">
      <c r="A45" s="55" t="s">
        <v>1819</v>
      </c>
      <c r="B45" s="57">
        <v>7</v>
      </c>
      <c r="C45" s="50">
        <v>46265</v>
      </c>
      <c r="D45" s="50"/>
      <c r="E45" s="50"/>
      <c r="F45" s="51"/>
      <c r="G45" s="73"/>
      <c r="H45" s="73"/>
      <c r="I45" s="50"/>
      <c r="J45" s="51"/>
      <c r="K45" s="50"/>
      <c r="L45" s="51"/>
      <c r="M45" s="50"/>
      <c r="N45" s="51"/>
      <c r="O45" s="50"/>
      <c r="P45" s="51"/>
      <c r="Q45" s="50"/>
      <c r="R45" s="51"/>
      <c r="S45" s="50"/>
      <c r="T45" s="51"/>
      <c r="U45" s="50"/>
      <c r="V45" s="51"/>
      <c r="W45" s="50"/>
      <c r="X45" s="51"/>
      <c r="Y45" s="50"/>
      <c r="Z45" s="51"/>
      <c r="AA45" s="50"/>
      <c r="AB45" s="51"/>
      <c r="AC45" s="50"/>
      <c r="AD45" s="51"/>
      <c r="AE45" s="50"/>
      <c r="AF45" s="51"/>
      <c r="AG45" s="50"/>
      <c r="AH45" s="51"/>
      <c r="AI45" s="52">
        <f t="shared" si="2"/>
        <v>0</v>
      </c>
      <c r="AJ45" s="53"/>
      <c r="AK45" s="47"/>
    </row>
    <row r="46" spans="1:37" s="564" customFormat="1" ht="12" customHeight="1" outlineLevel="3" x14ac:dyDescent="0.25">
      <c r="A46" s="55" t="s">
        <v>1820</v>
      </c>
      <c r="B46" s="57">
        <v>10</v>
      </c>
      <c r="C46" s="50">
        <v>46386</v>
      </c>
      <c r="D46" s="50"/>
      <c r="E46" s="50"/>
      <c r="F46" s="51"/>
      <c r="G46" s="73"/>
      <c r="H46" s="73"/>
      <c r="I46" s="50"/>
      <c r="J46" s="51"/>
      <c r="K46" s="50"/>
      <c r="L46" s="51"/>
      <c r="M46" s="50"/>
      <c r="N46" s="51"/>
      <c r="O46" s="50"/>
      <c r="P46" s="51"/>
      <c r="Q46" s="50"/>
      <c r="R46" s="51"/>
      <c r="S46" s="50"/>
      <c r="T46" s="51"/>
      <c r="U46" s="50"/>
      <c r="V46" s="51"/>
      <c r="W46" s="50"/>
      <c r="X46" s="51"/>
      <c r="Y46" s="50"/>
      <c r="Z46" s="51"/>
      <c r="AA46" s="50"/>
      <c r="AB46" s="51"/>
      <c r="AC46" s="50"/>
      <c r="AD46" s="51"/>
      <c r="AE46" s="50"/>
      <c r="AF46" s="51"/>
      <c r="AG46" s="50"/>
      <c r="AH46" s="51"/>
      <c r="AI46" s="52">
        <f t="shared" si="2"/>
        <v>0</v>
      </c>
      <c r="AJ46" s="53"/>
      <c r="AK46" s="47"/>
    </row>
    <row r="47" spans="1:37" s="564" customFormat="1" ht="12" customHeight="1" outlineLevel="3" x14ac:dyDescent="0.25">
      <c r="A47" s="55" t="s">
        <v>1821</v>
      </c>
      <c r="B47" s="57">
        <v>18</v>
      </c>
      <c r="C47" s="50">
        <v>46290</v>
      </c>
      <c r="D47" s="50"/>
      <c r="E47" s="50"/>
      <c r="F47" s="51"/>
      <c r="G47" s="73"/>
      <c r="H47" s="73"/>
      <c r="I47" s="50"/>
      <c r="J47" s="51"/>
      <c r="K47" s="50"/>
      <c r="L47" s="51"/>
      <c r="M47" s="50"/>
      <c r="N47" s="51"/>
      <c r="O47" s="50"/>
      <c r="P47" s="51"/>
      <c r="Q47" s="50"/>
      <c r="R47" s="51"/>
      <c r="S47" s="50"/>
      <c r="T47" s="51"/>
      <c r="U47" s="50"/>
      <c r="V47" s="51"/>
      <c r="W47" s="50"/>
      <c r="X47" s="51"/>
      <c r="Y47" s="50"/>
      <c r="Z47" s="51"/>
      <c r="AA47" s="50"/>
      <c r="AB47" s="51"/>
      <c r="AC47" s="50"/>
      <c r="AD47" s="51"/>
      <c r="AE47" s="50"/>
      <c r="AF47" s="51"/>
      <c r="AG47" s="50"/>
      <c r="AH47" s="51"/>
      <c r="AI47" s="52">
        <f t="shared" si="2"/>
        <v>0</v>
      </c>
      <c r="AJ47" s="53"/>
      <c r="AK47" s="47"/>
    </row>
    <row r="48" spans="1:37" s="564" customFormat="1" ht="12" customHeight="1" outlineLevel="3" x14ac:dyDescent="0.25">
      <c r="A48" s="55" t="s">
        <v>1822</v>
      </c>
      <c r="B48" s="57">
        <v>17</v>
      </c>
      <c r="C48" s="50">
        <v>46321</v>
      </c>
      <c r="D48" s="50"/>
      <c r="E48" s="50"/>
      <c r="F48" s="51"/>
      <c r="G48" s="73"/>
      <c r="H48" s="73"/>
      <c r="I48" s="50"/>
      <c r="J48" s="51"/>
      <c r="K48" s="50"/>
      <c r="L48" s="51"/>
      <c r="M48" s="50"/>
      <c r="N48" s="51"/>
      <c r="O48" s="50"/>
      <c r="P48" s="51"/>
      <c r="Q48" s="50"/>
      <c r="R48" s="51"/>
      <c r="S48" s="50"/>
      <c r="T48" s="51"/>
      <c r="U48" s="50"/>
      <c r="V48" s="51"/>
      <c r="W48" s="50"/>
      <c r="X48" s="51"/>
      <c r="Y48" s="50"/>
      <c r="Z48" s="51"/>
      <c r="AA48" s="50"/>
      <c r="AB48" s="51"/>
      <c r="AC48" s="50"/>
      <c r="AD48" s="51"/>
      <c r="AE48" s="50"/>
      <c r="AF48" s="51"/>
      <c r="AG48" s="50"/>
      <c r="AH48" s="51"/>
      <c r="AI48" s="52">
        <f t="shared" si="2"/>
        <v>0</v>
      </c>
      <c r="AJ48" s="53"/>
      <c r="AK48" s="47"/>
    </row>
    <row r="49" spans="1:37" s="564" customFormat="1" ht="12" customHeight="1" outlineLevel="3" x14ac:dyDescent="0.25">
      <c r="A49" s="55" t="s">
        <v>1823</v>
      </c>
      <c r="B49" s="57">
        <v>159</v>
      </c>
      <c r="C49" s="50">
        <v>46356</v>
      </c>
      <c r="D49" s="50"/>
      <c r="E49" s="50"/>
      <c r="F49" s="51"/>
      <c r="G49" s="73"/>
      <c r="H49" s="73"/>
      <c r="I49" s="50"/>
      <c r="J49" s="51"/>
      <c r="K49" s="50"/>
      <c r="L49" s="51"/>
      <c r="M49" s="50"/>
      <c r="N49" s="51"/>
      <c r="O49" s="50"/>
      <c r="P49" s="51"/>
      <c r="Q49" s="50"/>
      <c r="R49" s="51"/>
      <c r="S49" s="50"/>
      <c r="T49" s="51"/>
      <c r="U49" s="50"/>
      <c r="V49" s="51"/>
      <c r="W49" s="50"/>
      <c r="X49" s="51"/>
      <c r="Y49" s="50"/>
      <c r="Z49" s="51"/>
      <c r="AA49" s="50"/>
      <c r="AB49" s="51"/>
      <c r="AC49" s="50"/>
      <c r="AD49" s="51"/>
      <c r="AE49" s="50"/>
      <c r="AF49" s="51"/>
      <c r="AG49" s="50"/>
      <c r="AH49" s="51"/>
      <c r="AI49" s="52">
        <f t="shared" si="2"/>
        <v>0</v>
      </c>
      <c r="AJ49" s="53"/>
      <c r="AK49" s="47"/>
    </row>
    <row r="50" spans="1:37" s="564" customFormat="1" ht="12" customHeight="1" outlineLevel="3" x14ac:dyDescent="0.25">
      <c r="A50" s="55" t="s">
        <v>1824</v>
      </c>
      <c r="B50" s="57"/>
      <c r="C50" s="50"/>
      <c r="D50" s="50"/>
      <c r="E50" s="50"/>
      <c r="F50" s="51"/>
      <c r="G50" s="73"/>
      <c r="H50" s="73"/>
      <c r="I50" s="50"/>
      <c r="J50" s="51"/>
      <c r="K50" s="50"/>
      <c r="L50" s="51"/>
      <c r="M50" s="50"/>
      <c r="N50" s="51"/>
      <c r="O50" s="50"/>
      <c r="P50" s="51"/>
      <c r="Q50" s="50"/>
      <c r="R50" s="51"/>
      <c r="S50" s="50"/>
      <c r="T50" s="51"/>
      <c r="U50" s="50"/>
      <c r="V50" s="51"/>
      <c r="W50" s="50"/>
      <c r="X50" s="51"/>
      <c r="Y50" s="50"/>
      <c r="Z50" s="51"/>
      <c r="AA50" s="50"/>
      <c r="AB50" s="51"/>
      <c r="AC50" s="50"/>
      <c r="AD50" s="51"/>
      <c r="AE50" s="50"/>
      <c r="AF50" s="51"/>
      <c r="AG50" s="50"/>
      <c r="AH50" s="51"/>
      <c r="AI50" s="52">
        <f t="shared" si="2"/>
        <v>0</v>
      </c>
      <c r="AJ50" s="53"/>
      <c r="AK50" s="47"/>
    </row>
    <row r="51" spans="1:37" s="564" customFormat="1" ht="12" customHeight="1" outlineLevel="3" x14ac:dyDescent="0.25">
      <c r="A51" s="55"/>
      <c r="B51" s="57"/>
      <c r="C51" s="50"/>
      <c r="D51" s="50"/>
      <c r="E51" s="50"/>
      <c r="F51" s="51"/>
      <c r="G51" s="73"/>
      <c r="H51" s="73"/>
      <c r="I51" s="50"/>
      <c r="J51" s="51"/>
      <c r="K51" s="50"/>
      <c r="L51" s="51"/>
      <c r="M51" s="50"/>
      <c r="N51" s="51"/>
      <c r="O51" s="50"/>
      <c r="P51" s="51"/>
      <c r="Q51" s="50"/>
      <c r="R51" s="51"/>
      <c r="S51" s="50"/>
      <c r="T51" s="51"/>
      <c r="U51" s="50"/>
      <c r="V51" s="51"/>
      <c r="W51" s="50"/>
      <c r="X51" s="51"/>
      <c r="Y51" s="50"/>
      <c r="Z51" s="51"/>
      <c r="AA51" s="50"/>
      <c r="AB51" s="51"/>
      <c r="AC51" s="50"/>
      <c r="AD51" s="51"/>
      <c r="AE51" s="50"/>
      <c r="AF51" s="51"/>
      <c r="AG51" s="50"/>
      <c r="AH51" s="51"/>
      <c r="AI51" s="52">
        <f t="shared" si="2"/>
        <v>0</v>
      </c>
      <c r="AJ51" s="53"/>
      <c r="AK51" s="47"/>
    </row>
    <row r="52" spans="1:37" s="564" customFormat="1" ht="12" customHeight="1" outlineLevel="3" x14ac:dyDescent="0.25">
      <c r="A52" s="55"/>
      <c r="B52" s="57"/>
      <c r="C52" s="50"/>
      <c r="D52" s="50"/>
      <c r="E52" s="50"/>
      <c r="F52" s="51"/>
      <c r="G52" s="73"/>
      <c r="H52" s="73"/>
      <c r="I52" s="50"/>
      <c r="J52" s="51"/>
      <c r="K52" s="50"/>
      <c r="L52" s="51"/>
      <c r="M52" s="50"/>
      <c r="N52" s="51"/>
      <c r="O52" s="50"/>
      <c r="P52" s="51"/>
      <c r="Q52" s="50"/>
      <c r="R52" s="51"/>
      <c r="S52" s="50"/>
      <c r="T52" s="51"/>
      <c r="U52" s="50"/>
      <c r="V52" s="51"/>
      <c r="W52" s="50"/>
      <c r="X52" s="51"/>
      <c r="Y52" s="50"/>
      <c r="Z52" s="51"/>
      <c r="AA52" s="50"/>
      <c r="AB52" s="51"/>
      <c r="AC52" s="50"/>
      <c r="AD52" s="51"/>
      <c r="AE52" s="50"/>
      <c r="AF52" s="51"/>
      <c r="AG52" s="50"/>
      <c r="AH52" s="51"/>
      <c r="AI52" s="52">
        <f t="shared" si="2"/>
        <v>0</v>
      </c>
      <c r="AJ52" s="53"/>
      <c r="AK52" s="47"/>
    </row>
    <row r="53" spans="1:37" s="564" customFormat="1" ht="12" customHeight="1" outlineLevel="3" x14ac:dyDescent="0.25">
      <c r="A53" s="55"/>
      <c r="B53" s="57"/>
      <c r="C53" s="50"/>
      <c r="D53" s="50"/>
      <c r="E53" s="50"/>
      <c r="F53" s="51"/>
      <c r="G53" s="73"/>
      <c r="H53" s="73"/>
      <c r="I53" s="50"/>
      <c r="J53" s="51"/>
      <c r="K53" s="50"/>
      <c r="L53" s="51"/>
      <c r="M53" s="50"/>
      <c r="N53" s="51"/>
      <c r="O53" s="50"/>
      <c r="P53" s="51"/>
      <c r="Q53" s="50"/>
      <c r="R53" s="51"/>
      <c r="S53" s="50"/>
      <c r="T53" s="51"/>
      <c r="U53" s="50"/>
      <c r="V53" s="51"/>
      <c r="W53" s="50"/>
      <c r="X53" s="51"/>
      <c r="Y53" s="50"/>
      <c r="Z53" s="51"/>
      <c r="AA53" s="50"/>
      <c r="AB53" s="51"/>
      <c r="AC53" s="50"/>
      <c r="AD53" s="51"/>
      <c r="AE53" s="50"/>
      <c r="AF53" s="51"/>
      <c r="AG53" s="50"/>
      <c r="AH53" s="51"/>
      <c r="AI53" s="52"/>
      <c r="AJ53" s="53"/>
      <c r="AK53" s="47"/>
    </row>
    <row r="54" spans="1:37" s="564" customFormat="1" ht="12" customHeight="1" outlineLevel="3" x14ac:dyDescent="0.25">
      <c r="A54" s="55"/>
      <c r="B54" s="57"/>
      <c r="C54" s="50"/>
      <c r="D54" s="50"/>
      <c r="E54" s="50"/>
      <c r="F54" s="51"/>
      <c r="G54" s="73"/>
      <c r="H54" s="73"/>
      <c r="I54" s="50"/>
      <c r="J54" s="51"/>
      <c r="K54" s="50"/>
      <c r="L54" s="51"/>
      <c r="M54" s="50"/>
      <c r="N54" s="51"/>
      <c r="O54" s="50"/>
      <c r="P54" s="51"/>
      <c r="Q54" s="50"/>
      <c r="R54" s="51"/>
      <c r="S54" s="50"/>
      <c r="T54" s="51"/>
      <c r="U54" s="50"/>
      <c r="V54" s="51"/>
      <c r="W54" s="50"/>
      <c r="X54" s="51"/>
      <c r="Y54" s="50"/>
      <c r="Z54" s="51"/>
      <c r="AA54" s="50"/>
      <c r="AB54" s="51"/>
      <c r="AC54" s="50"/>
      <c r="AD54" s="51"/>
      <c r="AE54" s="50"/>
      <c r="AF54" s="51"/>
      <c r="AG54" s="50"/>
      <c r="AH54" s="51"/>
      <c r="AI54" s="52"/>
      <c r="AJ54" s="53"/>
      <c r="AK54" s="47"/>
    </row>
    <row r="55" spans="1:37" s="564" customFormat="1" ht="12" customHeight="1" outlineLevel="3" x14ac:dyDescent="0.25">
      <c r="A55" s="55"/>
      <c r="B55" s="57"/>
      <c r="C55" s="50"/>
      <c r="D55" s="50"/>
      <c r="E55" s="50"/>
      <c r="F55" s="51"/>
      <c r="G55" s="73"/>
      <c r="H55" s="73"/>
      <c r="I55" s="50"/>
      <c r="J55" s="51"/>
      <c r="K55" s="50"/>
      <c r="L55" s="51"/>
      <c r="M55" s="50"/>
      <c r="N55" s="51"/>
      <c r="O55" s="50"/>
      <c r="P55" s="51"/>
      <c r="Q55" s="50"/>
      <c r="R55" s="51"/>
      <c r="S55" s="50"/>
      <c r="T55" s="51"/>
      <c r="U55" s="50"/>
      <c r="V55" s="51"/>
      <c r="W55" s="50"/>
      <c r="X55" s="51"/>
      <c r="Y55" s="50"/>
      <c r="Z55" s="51"/>
      <c r="AA55" s="50"/>
      <c r="AB55" s="51"/>
      <c r="AC55" s="50"/>
      <c r="AD55" s="51"/>
      <c r="AE55" s="50"/>
      <c r="AF55" s="51"/>
      <c r="AG55" s="50"/>
      <c r="AH55" s="51"/>
      <c r="AI55" s="52"/>
      <c r="AJ55" s="53"/>
      <c r="AK55" s="47"/>
    </row>
    <row r="56" spans="1:37" s="564" customFormat="1" ht="12" customHeight="1" outlineLevel="3" x14ac:dyDescent="0.25">
      <c r="A56" s="55"/>
      <c r="B56" s="57"/>
      <c r="C56" s="50"/>
      <c r="D56" s="50"/>
      <c r="E56" s="50"/>
      <c r="F56" s="51"/>
      <c r="G56" s="73"/>
      <c r="H56" s="73"/>
      <c r="I56" s="50"/>
      <c r="J56" s="51"/>
      <c r="K56" s="50"/>
      <c r="L56" s="51"/>
      <c r="M56" s="50"/>
      <c r="N56" s="51"/>
      <c r="O56" s="50"/>
      <c r="P56" s="51"/>
      <c r="Q56" s="50"/>
      <c r="R56" s="51"/>
      <c r="S56" s="50"/>
      <c r="T56" s="51"/>
      <c r="U56" s="50"/>
      <c r="V56" s="51"/>
      <c r="W56" s="50"/>
      <c r="X56" s="51"/>
      <c r="Y56" s="50"/>
      <c r="Z56" s="51"/>
      <c r="AA56" s="50"/>
      <c r="AB56" s="51"/>
      <c r="AC56" s="50"/>
      <c r="AD56" s="51"/>
      <c r="AE56" s="50"/>
      <c r="AF56" s="51"/>
      <c r="AG56" s="50"/>
      <c r="AH56" s="51"/>
      <c r="AI56" s="52"/>
      <c r="AJ56" s="53"/>
      <c r="AK56" s="47"/>
    </row>
    <row r="57" spans="1:37" s="564" customFormat="1" ht="12" customHeight="1" outlineLevel="3" x14ac:dyDescent="0.25">
      <c r="A57" s="58"/>
      <c r="B57" s="59"/>
      <c r="C57" s="60"/>
      <c r="D57" s="60"/>
      <c r="E57" s="60"/>
      <c r="F57" s="61"/>
      <c r="G57" s="74"/>
      <c r="H57" s="74"/>
      <c r="I57" s="60"/>
      <c r="J57" s="61"/>
      <c r="K57" s="60"/>
      <c r="L57" s="61"/>
      <c r="M57" s="60"/>
      <c r="N57" s="61"/>
      <c r="O57" s="60"/>
      <c r="P57" s="61"/>
      <c r="Q57" s="60"/>
      <c r="R57" s="61"/>
      <c r="S57" s="60"/>
      <c r="T57" s="61"/>
      <c r="U57" s="60"/>
      <c r="V57" s="61"/>
      <c r="W57" s="60"/>
      <c r="X57" s="61"/>
      <c r="Y57" s="60"/>
      <c r="Z57" s="61"/>
      <c r="AA57" s="60"/>
      <c r="AB57" s="61"/>
      <c r="AC57" s="60"/>
      <c r="AD57" s="61"/>
      <c r="AE57" s="60"/>
      <c r="AF57" s="61"/>
      <c r="AG57" s="60"/>
      <c r="AH57" s="61"/>
      <c r="AI57" s="62"/>
      <c r="AJ57" s="63"/>
      <c r="AK57" s="47"/>
    </row>
    <row r="58" spans="1:37" s="564" customFormat="1" ht="12" customHeight="1" x14ac:dyDescent="0.25">
      <c r="A58" s="64"/>
      <c r="B58" s="65"/>
      <c r="C58" s="65"/>
      <c r="D58" s="65"/>
      <c r="E58" s="65"/>
      <c r="F58" s="535"/>
      <c r="G58" s="66"/>
      <c r="H58" s="66"/>
      <c r="I58" s="65"/>
      <c r="J58" s="535"/>
      <c r="K58" s="65"/>
      <c r="L58" s="535"/>
      <c r="M58" s="65"/>
      <c r="N58" s="535"/>
      <c r="O58" s="65"/>
      <c r="P58" s="535"/>
      <c r="Q58" s="65"/>
      <c r="R58" s="535"/>
      <c r="S58" s="65"/>
      <c r="T58" s="535"/>
      <c r="U58" s="65"/>
      <c r="V58" s="535"/>
      <c r="W58" s="65"/>
      <c r="X58" s="535"/>
      <c r="Y58" s="65"/>
      <c r="Z58" s="535"/>
      <c r="AA58" s="65"/>
      <c r="AB58" s="535"/>
      <c r="AC58" s="65"/>
      <c r="AD58" s="535"/>
      <c r="AE58" s="65"/>
      <c r="AF58" s="535"/>
      <c r="AG58" s="65"/>
      <c r="AH58" s="535"/>
      <c r="AI58" s="535"/>
      <c r="AJ58" s="67"/>
      <c r="AK58" s="47"/>
    </row>
    <row r="59" spans="1:37" s="564" customFormat="1" ht="12" customHeight="1" x14ac:dyDescent="0.25">
      <c r="A59" s="64"/>
      <c r="B59" s="65"/>
      <c r="C59" s="65"/>
      <c r="D59" s="65"/>
      <c r="E59" s="65"/>
      <c r="F59" s="535"/>
      <c r="G59" s="66"/>
      <c r="H59" s="66"/>
      <c r="I59" s="65"/>
      <c r="J59" s="601"/>
      <c r="K59" s="601"/>
      <c r="L59" s="601"/>
      <c r="M59" s="601"/>
      <c r="N59" s="601"/>
      <c r="O59" s="601"/>
      <c r="P59" s="601"/>
      <c r="Q59" s="601"/>
      <c r="R59" s="601"/>
      <c r="S59" s="601"/>
      <c r="T59" s="601"/>
      <c r="U59" s="601"/>
      <c r="V59" s="601"/>
      <c r="W59" s="601"/>
      <c r="X59" s="535"/>
      <c r="Y59" s="65"/>
      <c r="Z59" s="535"/>
      <c r="AA59" s="65"/>
      <c r="AB59" s="535"/>
      <c r="AC59" s="65"/>
      <c r="AD59" s="535"/>
      <c r="AE59" s="65"/>
      <c r="AF59" s="535"/>
      <c r="AG59" s="65"/>
      <c r="AH59" s="535"/>
      <c r="AI59" s="535"/>
      <c r="AJ59" s="67"/>
      <c r="AK59" s="47"/>
    </row>
    <row r="60" spans="1:37" s="564" customFormat="1" ht="12" customHeight="1" x14ac:dyDescent="0.25">
      <c r="A60" s="64"/>
      <c r="B60" s="65"/>
      <c r="C60" s="65"/>
      <c r="D60" s="65"/>
      <c r="E60" s="65"/>
      <c r="F60" s="535"/>
      <c r="G60" s="66"/>
      <c r="H60" s="66"/>
      <c r="I60" s="65"/>
      <c r="J60" s="601"/>
      <c r="K60" s="601"/>
      <c r="L60" s="601"/>
      <c r="M60" s="601"/>
      <c r="N60" s="601"/>
      <c r="O60" s="601"/>
      <c r="P60" s="601"/>
      <c r="Q60" s="601"/>
      <c r="R60" s="601"/>
      <c r="S60" s="601"/>
      <c r="T60" s="601"/>
      <c r="U60" s="601"/>
      <c r="V60" s="601"/>
      <c r="W60" s="601"/>
      <c r="X60" s="535"/>
      <c r="Y60" s="65"/>
      <c r="Z60" s="535"/>
      <c r="AA60" s="65"/>
      <c r="AB60" s="535"/>
      <c r="AC60" s="65"/>
      <c r="AD60" s="535"/>
      <c r="AE60" s="65"/>
      <c r="AF60" s="535"/>
      <c r="AG60" s="65"/>
      <c r="AH60" s="535"/>
      <c r="AI60" s="535"/>
      <c r="AJ60" s="67"/>
      <c r="AK60" s="47"/>
    </row>
    <row r="61" spans="1:37" s="564" customFormat="1" ht="12" customHeight="1" x14ac:dyDescent="0.25">
      <c r="A61" s="64"/>
      <c r="B61" s="65"/>
      <c r="C61" s="65"/>
      <c r="D61" s="65"/>
      <c r="E61" s="65"/>
      <c r="F61" s="535"/>
      <c r="G61" s="66"/>
      <c r="H61" s="66"/>
      <c r="I61" s="65"/>
      <c r="J61" s="601"/>
      <c r="K61" s="601"/>
      <c r="L61" s="601"/>
      <c r="M61" s="601"/>
      <c r="N61" s="601"/>
      <c r="O61" s="601"/>
      <c r="P61" s="601"/>
      <c r="Q61" s="601"/>
      <c r="R61" s="601"/>
      <c r="S61" s="601"/>
      <c r="T61" s="601"/>
      <c r="U61" s="601"/>
      <c r="V61" s="601"/>
      <c r="W61" s="601"/>
      <c r="X61" s="535"/>
      <c r="Y61" s="65"/>
      <c r="Z61" s="535"/>
      <c r="AA61" s="65"/>
      <c r="AB61" s="535"/>
      <c r="AC61" s="65"/>
      <c r="AD61" s="535"/>
      <c r="AE61" s="65"/>
      <c r="AF61" s="535"/>
      <c r="AG61" s="65"/>
      <c r="AH61" s="535"/>
      <c r="AI61" s="535"/>
      <c r="AJ61" s="67"/>
      <c r="AK61" s="47"/>
    </row>
    <row r="62" spans="1:37" s="564" customFormat="1" ht="12" customHeight="1" x14ac:dyDescent="0.25">
      <c r="A62" s="47"/>
      <c r="B62" s="46"/>
      <c r="C62" s="46"/>
      <c r="D62" s="46"/>
      <c r="E62" s="46"/>
      <c r="F62" s="46"/>
      <c r="G62" s="46"/>
      <c r="H62" s="46"/>
      <c r="I62" s="46"/>
      <c r="J62" s="601"/>
      <c r="K62" s="601"/>
      <c r="L62" s="601"/>
      <c r="M62" s="601"/>
      <c r="N62" s="601"/>
      <c r="O62" s="601"/>
      <c r="P62" s="601"/>
      <c r="Q62" s="601"/>
      <c r="R62" s="601"/>
      <c r="S62" s="601"/>
      <c r="T62" s="601"/>
      <c r="U62" s="601"/>
      <c r="V62" s="601"/>
      <c r="W62" s="601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68"/>
      <c r="AK62" s="47"/>
    </row>
    <row r="63" spans="1:37" ht="12" customHeight="1" thickBot="1" x14ac:dyDescent="0.3">
      <c r="A63" s="69"/>
      <c r="B63" s="70"/>
      <c r="C63" s="70"/>
      <c r="D63" s="70"/>
      <c r="E63" s="70"/>
      <c r="F63" s="70"/>
      <c r="G63" s="70"/>
      <c r="H63" s="70"/>
      <c r="I63" s="70"/>
      <c r="J63" s="70"/>
      <c r="K63" s="70"/>
      <c r="L63" s="70"/>
      <c r="M63" s="70"/>
      <c r="N63" s="70"/>
      <c r="O63" s="70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1"/>
    </row>
    <row r="64" spans="1:37" ht="12" customHeight="1" x14ac:dyDescent="0.25">
      <c r="AJ64" s="39"/>
    </row>
    <row r="65" spans="36:36" ht="12" customHeight="1" x14ac:dyDescent="0.25">
      <c r="AJ65" s="39"/>
    </row>
    <row r="66" spans="36:36" ht="12" customHeight="1" x14ac:dyDescent="0.25">
      <c r="AJ66" s="39"/>
    </row>
    <row r="67" spans="36:36" ht="12" customHeight="1" x14ac:dyDescent="0.25">
      <c r="AJ67" s="39"/>
    </row>
    <row r="68" spans="36:36" ht="12" customHeight="1" x14ac:dyDescent="0.25">
      <c r="AJ68" s="39"/>
    </row>
    <row r="69" spans="36:36" ht="12" customHeight="1" x14ac:dyDescent="0.25">
      <c r="AJ69" s="39"/>
    </row>
  </sheetData>
  <autoFilter ref="D17:AI48" xr:uid="{8EBAB315-272B-44EF-804A-CC80FA28E248}"/>
  <mergeCells count="26">
    <mergeCell ref="A18:AJ18"/>
    <mergeCell ref="J59:W62"/>
    <mergeCell ref="Y13:Z16"/>
    <mergeCell ref="AA13:AB16"/>
    <mergeCell ref="AC13:AD16"/>
    <mergeCell ref="AE13:AF16"/>
    <mergeCell ref="AG13:AH16"/>
    <mergeCell ref="AJ13:AJ17"/>
    <mergeCell ref="M13:N16"/>
    <mergeCell ref="O13:P16"/>
    <mergeCell ref="Q13:R16"/>
    <mergeCell ref="S13:T16"/>
    <mergeCell ref="U13:V16"/>
    <mergeCell ref="W13:X16"/>
    <mergeCell ref="F1:AH4"/>
    <mergeCell ref="AJ1:AJ6"/>
    <mergeCell ref="A2:B5"/>
    <mergeCell ref="A13:A17"/>
    <mergeCell ref="B13:B17"/>
    <mergeCell ref="D13:F16"/>
    <mergeCell ref="G13:G16"/>
    <mergeCell ref="H13:H16"/>
    <mergeCell ref="I13:J16"/>
    <mergeCell ref="K13:L16"/>
    <mergeCell ref="C15:C17"/>
    <mergeCell ref="AI15:AI16"/>
  </mergeCells>
  <dataValidations disablePrompts="1" count="1">
    <dataValidation type="list" allowBlank="1" showInputMessage="1" showErrorMessage="1" sqref="C12" xr:uid="{F5FB41D3-7563-4209-999B-FB915B34D633}">
      <formula1>"Daily,Weekly,Monthly,Quarterly"</formula1>
    </dataValidation>
  </dataValidations>
  <hyperlinks>
    <hyperlink ref="A12" location="Dashboard!A1" display="⬅ Kembali ke Dashboard" xr:uid="{DBD42464-264D-4C27-B34C-25C4A887C42D}"/>
  </hyperlinks>
  <pageMargins left="0" right="0" top="0.75" bottom="0.75" header="0.3" footer="0.3"/>
  <pageSetup paperSize="8" fitToWidth="0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FEDBA-E6BF-4437-A21E-996EA27EF123}">
  <sheetPr codeName="Sheet15"/>
  <dimension ref="A1:H34"/>
  <sheetViews>
    <sheetView workbookViewId="0">
      <selection activeCell="B2" sqref="B2"/>
    </sheetView>
  </sheetViews>
  <sheetFormatPr defaultRowHeight="12.5" x14ac:dyDescent="0.25"/>
  <cols>
    <col min="1" max="1" width="23.81640625" bestFit="1" customWidth="1"/>
    <col min="2" max="2" width="15.81640625" bestFit="1" customWidth="1"/>
    <col min="3" max="3" width="15" bestFit="1" customWidth="1"/>
    <col min="8" max="8" width="9.54296875" bestFit="1" customWidth="1"/>
  </cols>
  <sheetData>
    <row r="1" spans="1:8" x14ac:dyDescent="0.25">
      <c r="A1" t="s">
        <v>1419</v>
      </c>
      <c r="B1" t="s">
        <v>1419</v>
      </c>
      <c r="C1" t="s">
        <v>1419</v>
      </c>
    </row>
    <row r="2" spans="1:8" x14ac:dyDescent="0.25">
      <c r="A2" t="s">
        <v>1809</v>
      </c>
      <c r="B2" t="s">
        <v>1420</v>
      </c>
      <c r="C2" t="s">
        <v>1421</v>
      </c>
      <c r="G2" t="s">
        <v>157</v>
      </c>
      <c r="H2" s="494">
        <v>45898</v>
      </c>
    </row>
    <row r="3" spans="1:8" x14ac:dyDescent="0.25">
      <c r="A3" t="s">
        <v>52</v>
      </c>
      <c r="B3" t="s">
        <v>1422</v>
      </c>
      <c r="C3" t="s">
        <v>1423</v>
      </c>
      <c r="G3" t="s">
        <v>75</v>
      </c>
      <c r="H3" s="494">
        <v>45891</v>
      </c>
    </row>
    <row r="4" spans="1:8" x14ac:dyDescent="0.25">
      <c r="A4" t="s">
        <v>1810</v>
      </c>
      <c r="B4" t="s">
        <v>1424</v>
      </c>
      <c r="C4" t="s">
        <v>1425</v>
      </c>
      <c r="G4" t="s">
        <v>264</v>
      </c>
      <c r="H4" s="494">
        <v>46133</v>
      </c>
    </row>
    <row r="5" spans="1:8" x14ac:dyDescent="0.25">
      <c r="A5" t="s">
        <v>1811</v>
      </c>
      <c r="B5" t="s">
        <v>1426</v>
      </c>
      <c r="C5" t="s">
        <v>1427</v>
      </c>
      <c r="G5" t="s">
        <v>263</v>
      </c>
      <c r="H5" s="494">
        <v>46133</v>
      </c>
    </row>
    <row r="6" spans="1:8" x14ac:dyDescent="0.25">
      <c r="A6" t="s">
        <v>1812</v>
      </c>
      <c r="B6" t="s">
        <v>1429</v>
      </c>
      <c r="C6" t="s">
        <v>1430</v>
      </c>
      <c r="G6" t="s">
        <v>139</v>
      </c>
      <c r="H6" s="494">
        <v>46066</v>
      </c>
    </row>
    <row r="7" spans="1:8" x14ac:dyDescent="0.25">
      <c r="A7" t="s">
        <v>1428</v>
      </c>
      <c r="C7" t="s">
        <v>1431</v>
      </c>
      <c r="G7" t="s">
        <v>1113</v>
      </c>
      <c r="H7" s="494">
        <v>46143</v>
      </c>
    </row>
    <row r="8" spans="1:8" x14ac:dyDescent="0.25">
      <c r="A8" t="s">
        <v>56</v>
      </c>
      <c r="C8" t="s">
        <v>1432</v>
      </c>
      <c r="G8" t="s">
        <v>186</v>
      </c>
      <c r="H8" s="494">
        <v>46153</v>
      </c>
    </row>
    <row r="9" spans="1:8" x14ac:dyDescent="0.25">
      <c r="A9" t="s">
        <v>57</v>
      </c>
      <c r="C9" t="s">
        <v>1433</v>
      </c>
      <c r="G9" t="s">
        <v>1755</v>
      </c>
      <c r="H9" s="494">
        <v>46146</v>
      </c>
    </row>
    <row r="10" spans="1:8" x14ac:dyDescent="0.25">
      <c r="A10" t="s">
        <v>58</v>
      </c>
      <c r="C10" t="s">
        <v>1434</v>
      </c>
      <c r="G10" t="s">
        <v>202</v>
      </c>
      <c r="H10" s="494">
        <v>46165</v>
      </c>
    </row>
    <row r="11" spans="1:8" x14ac:dyDescent="0.25">
      <c r="A11" t="s">
        <v>1813</v>
      </c>
      <c r="C11" t="s">
        <v>1435</v>
      </c>
      <c r="G11" t="s">
        <v>196</v>
      </c>
      <c r="H11" s="494">
        <v>46216</v>
      </c>
    </row>
    <row r="12" spans="1:8" x14ac:dyDescent="0.25">
      <c r="A12" t="s">
        <v>60</v>
      </c>
      <c r="C12" t="s">
        <v>1436</v>
      </c>
      <c r="G12" t="s">
        <v>206</v>
      </c>
      <c r="H12" s="494">
        <v>46188</v>
      </c>
    </row>
    <row r="13" spans="1:8" x14ac:dyDescent="0.25">
      <c r="A13" t="s">
        <v>61</v>
      </c>
      <c r="C13" t="s">
        <v>1437</v>
      </c>
      <c r="G13" t="s">
        <v>1216</v>
      </c>
      <c r="H13" s="494">
        <v>46223</v>
      </c>
    </row>
    <row r="14" spans="1:8" x14ac:dyDescent="0.25">
      <c r="A14" t="s">
        <v>62</v>
      </c>
      <c r="C14" t="s">
        <v>1438</v>
      </c>
      <c r="G14" t="s">
        <v>1746</v>
      </c>
      <c r="H14" s="494"/>
    </row>
    <row r="15" spans="1:8" x14ac:dyDescent="0.25">
      <c r="A15" t="s">
        <v>63</v>
      </c>
      <c r="C15" t="s">
        <v>1439</v>
      </c>
      <c r="G15" t="s">
        <v>210</v>
      </c>
      <c r="H15" s="494">
        <v>46178</v>
      </c>
    </row>
    <row r="16" spans="1:8" x14ac:dyDescent="0.25">
      <c r="A16" t="s">
        <v>64</v>
      </c>
      <c r="C16" t="s">
        <v>1440</v>
      </c>
      <c r="G16" t="s">
        <v>224</v>
      </c>
      <c r="H16" s="494">
        <v>46178</v>
      </c>
    </row>
    <row r="17" spans="1:8" x14ac:dyDescent="0.25">
      <c r="A17" t="s">
        <v>65</v>
      </c>
      <c r="C17" t="s">
        <v>1441</v>
      </c>
      <c r="G17" t="s">
        <v>229</v>
      </c>
      <c r="H17" s="494">
        <v>46178</v>
      </c>
    </row>
    <row r="18" spans="1:8" x14ac:dyDescent="0.25">
      <c r="A18" t="s">
        <v>66</v>
      </c>
      <c r="C18" t="s">
        <v>1442</v>
      </c>
      <c r="G18" t="s">
        <v>1153</v>
      </c>
      <c r="H18" s="494">
        <v>46433</v>
      </c>
    </row>
    <row r="19" spans="1:8" x14ac:dyDescent="0.25">
      <c r="A19" t="s">
        <v>67</v>
      </c>
      <c r="C19" t="s">
        <v>1443</v>
      </c>
      <c r="G19" t="s">
        <v>217</v>
      </c>
      <c r="H19" s="494">
        <v>46220</v>
      </c>
    </row>
    <row r="20" spans="1:8" x14ac:dyDescent="0.25">
      <c r="A20" t="s">
        <v>1745</v>
      </c>
      <c r="C20" t="s">
        <v>1444</v>
      </c>
      <c r="G20" t="s">
        <v>1743</v>
      </c>
      <c r="H20" s="494">
        <v>46311</v>
      </c>
    </row>
    <row r="21" spans="1:8" x14ac:dyDescent="0.25">
      <c r="A21" t="s">
        <v>69</v>
      </c>
      <c r="C21" t="s">
        <v>1445</v>
      </c>
      <c r="G21" t="s">
        <v>1221</v>
      </c>
      <c r="H21" s="494">
        <v>46212</v>
      </c>
    </row>
    <row r="22" spans="1:8" x14ac:dyDescent="0.25">
      <c r="A22" t="s">
        <v>70</v>
      </c>
      <c r="C22" t="s">
        <v>1446</v>
      </c>
      <c r="G22" t="s">
        <v>1249</v>
      </c>
      <c r="H22" s="494">
        <v>46243</v>
      </c>
    </row>
    <row r="23" spans="1:8" x14ac:dyDescent="0.25">
      <c r="A23" t="s">
        <v>71</v>
      </c>
      <c r="G23" t="s">
        <v>1226</v>
      </c>
      <c r="H23" s="494">
        <v>46256</v>
      </c>
    </row>
    <row r="24" spans="1:8" x14ac:dyDescent="0.25">
      <c r="A24" t="s">
        <v>1814</v>
      </c>
      <c r="G24" t="s">
        <v>1234</v>
      </c>
      <c r="H24" s="494">
        <v>46331</v>
      </c>
    </row>
    <row r="25" spans="1:8" x14ac:dyDescent="0.25">
      <c r="A25" t="s">
        <v>1815</v>
      </c>
      <c r="G25" t="s">
        <v>871</v>
      </c>
      <c r="H25" s="494">
        <v>46204</v>
      </c>
    </row>
    <row r="26" spans="1:8" x14ac:dyDescent="0.25">
      <c r="A26" t="s">
        <v>1816</v>
      </c>
      <c r="G26" t="s">
        <v>1764</v>
      </c>
      <c r="H26" s="494">
        <v>46241</v>
      </c>
    </row>
    <row r="27" spans="1:8" x14ac:dyDescent="0.25">
      <c r="A27" t="s">
        <v>1817</v>
      </c>
      <c r="G27" t="s">
        <v>1767</v>
      </c>
      <c r="H27" s="494">
        <v>46272</v>
      </c>
    </row>
    <row r="28" spans="1:8" x14ac:dyDescent="0.25">
      <c r="A28" t="s">
        <v>1818</v>
      </c>
      <c r="G28" t="s">
        <v>1775</v>
      </c>
      <c r="H28" s="494">
        <v>46323</v>
      </c>
    </row>
    <row r="29" spans="1:8" x14ac:dyDescent="0.25">
      <c r="A29" t="s">
        <v>1819</v>
      </c>
      <c r="G29" t="s">
        <v>1219</v>
      </c>
      <c r="H29" s="494">
        <v>46265</v>
      </c>
    </row>
    <row r="30" spans="1:8" x14ac:dyDescent="0.25">
      <c r="A30" t="s">
        <v>1820</v>
      </c>
      <c r="G30" t="s">
        <v>1779</v>
      </c>
      <c r="H30" s="494">
        <v>46386</v>
      </c>
    </row>
    <row r="31" spans="1:8" x14ac:dyDescent="0.25">
      <c r="A31" t="s">
        <v>1821</v>
      </c>
      <c r="G31" t="s">
        <v>1785</v>
      </c>
      <c r="H31" s="494">
        <v>46290</v>
      </c>
    </row>
    <row r="32" spans="1:8" x14ac:dyDescent="0.25">
      <c r="A32" t="s">
        <v>1822</v>
      </c>
      <c r="G32" t="s">
        <v>1791</v>
      </c>
      <c r="H32" s="494">
        <v>46321</v>
      </c>
    </row>
    <row r="33" spans="1:8" x14ac:dyDescent="0.25">
      <c r="A33" t="s">
        <v>1823</v>
      </c>
      <c r="G33" t="s">
        <v>1807</v>
      </c>
      <c r="H33" s="494">
        <v>46356</v>
      </c>
    </row>
    <row r="34" spans="1:8" x14ac:dyDescent="0.25">
      <c r="A34" t="s">
        <v>1824</v>
      </c>
      <c r="G34" t="s">
        <v>1824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E40CF-B094-467B-8A0C-8410208A72B6}">
  <sheetPr codeName="Sheet19"/>
  <dimension ref="A1:L860"/>
  <sheetViews>
    <sheetView topLeftCell="A681" zoomScale="85" zoomScaleNormal="85" workbookViewId="0">
      <selection activeCell="A706" sqref="A706"/>
    </sheetView>
  </sheetViews>
  <sheetFormatPr defaultRowHeight="12.5" x14ac:dyDescent="0.25"/>
  <cols>
    <col min="1" max="1" width="18.81640625" bestFit="1" customWidth="1"/>
    <col min="2" max="2" width="13.36328125" bestFit="1" customWidth="1"/>
    <col min="3" max="3" width="9.81640625" bestFit="1" customWidth="1"/>
    <col min="4" max="4" width="6.1796875" bestFit="1" customWidth="1"/>
    <col min="5" max="5" width="7.26953125" bestFit="1" customWidth="1"/>
    <col min="6" max="6" width="7.81640625" bestFit="1" customWidth="1"/>
    <col min="7" max="7" width="12.26953125" bestFit="1" customWidth="1"/>
    <col min="8" max="8" width="11.7265625" bestFit="1" customWidth="1"/>
    <col min="9" max="9" width="15" customWidth="1"/>
    <col min="10" max="10" width="14.90625" bestFit="1" customWidth="1"/>
    <col min="11" max="11" width="5.6328125" bestFit="1" customWidth="1"/>
    <col min="12" max="12" width="37.08984375" customWidth="1"/>
  </cols>
  <sheetData>
    <row r="1" spans="1:12" ht="13" x14ac:dyDescent="0.3">
      <c r="A1" s="606" t="s">
        <v>1517</v>
      </c>
      <c r="B1" s="606"/>
      <c r="C1" s="606"/>
      <c r="D1" s="606"/>
      <c r="E1" s="606"/>
      <c r="F1" s="606"/>
      <c r="G1" s="606"/>
      <c r="H1" s="606"/>
      <c r="I1" s="606"/>
      <c r="J1" s="606"/>
      <c r="K1" s="606"/>
      <c r="L1" s="606"/>
    </row>
    <row r="2" spans="1:12" ht="39" x14ac:dyDescent="0.25">
      <c r="A2" s="500" t="s">
        <v>1518</v>
      </c>
      <c r="B2" s="500" t="s">
        <v>1519</v>
      </c>
      <c r="C2" s="500" t="s">
        <v>1387</v>
      </c>
      <c r="D2" s="500" t="s">
        <v>1520</v>
      </c>
      <c r="E2" s="500" t="s">
        <v>1521</v>
      </c>
      <c r="F2" s="500" t="s">
        <v>1522</v>
      </c>
      <c r="G2" s="500" t="s">
        <v>1523</v>
      </c>
      <c r="H2" s="500" t="s">
        <v>1524</v>
      </c>
      <c r="I2" s="500" t="s">
        <v>1525</v>
      </c>
      <c r="J2" s="500" t="s">
        <v>1526</v>
      </c>
      <c r="K2" s="500" t="s">
        <v>1527</v>
      </c>
      <c r="L2" s="500" t="s">
        <v>1528</v>
      </c>
    </row>
    <row r="3" spans="1:12" x14ac:dyDescent="0.25">
      <c r="A3" s="501" t="s">
        <v>1529</v>
      </c>
      <c r="B3" s="501" t="s">
        <v>1530</v>
      </c>
      <c r="C3" s="534" t="s">
        <v>89</v>
      </c>
      <c r="D3" s="502">
        <v>150</v>
      </c>
      <c r="E3" s="502">
        <v>15</v>
      </c>
      <c r="F3" s="502">
        <v>15</v>
      </c>
      <c r="G3" s="502">
        <v>35</v>
      </c>
      <c r="H3" s="501">
        <f t="shared" ref="H3:H78" si="0">E3+F3+G3</f>
        <v>65</v>
      </c>
      <c r="I3" s="501">
        <v>15</v>
      </c>
      <c r="J3" s="501">
        <f t="shared" ref="J3:J78" si="1">H3+I3</f>
        <v>80</v>
      </c>
      <c r="K3" s="503">
        <f t="shared" ref="K3:K78" si="2">J3/60</f>
        <v>1.3333333333333333</v>
      </c>
      <c r="L3" s="501" t="s">
        <v>1531</v>
      </c>
    </row>
    <row r="4" spans="1:12" x14ac:dyDescent="0.25">
      <c r="A4" s="501" t="s">
        <v>1529</v>
      </c>
      <c r="B4" s="501" t="s">
        <v>1530</v>
      </c>
      <c r="C4" s="534" t="s">
        <v>89</v>
      </c>
      <c r="D4" s="502">
        <v>300</v>
      </c>
      <c r="E4" s="502">
        <v>15</v>
      </c>
      <c r="F4" s="502">
        <v>20</v>
      </c>
      <c r="G4" s="502">
        <v>35</v>
      </c>
      <c r="H4" s="501">
        <f t="shared" si="0"/>
        <v>70</v>
      </c>
      <c r="I4" s="501">
        <v>15</v>
      </c>
      <c r="J4" s="501">
        <f t="shared" si="1"/>
        <v>85</v>
      </c>
      <c r="K4" s="503">
        <f t="shared" si="2"/>
        <v>1.4166666666666667</v>
      </c>
      <c r="L4" s="501" t="s">
        <v>1531</v>
      </c>
    </row>
    <row r="5" spans="1:12" x14ac:dyDescent="0.25">
      <c r="A5" s="501" t="s">
        <v>1529</v>
      </c>
      <c r="B5" s="501" t="s">
        <v>1530</v>
      </c>
      <c r="C5" s="534" t="s">
        <v>89</v>
      </c>
      <c r="D5" s="502">
        <v>600</v>
      </c>
      <c r="E5" s="504">
        <v>15</v>
      </c>
      <c r="F5" s="504">
        <v>17</v>
      </c>
      <c r="G5" s="504">
        <v>35</v>
      </c>
      <c r="H5" s="505">
        <f t="shared" si="0"/>
        <v>67</v>
      </c>
      <c r="I5" s="505">
        <v>15</v>
      </c>
      <c r="J5" s="505">
        <f t="shared" si="1"/>
        <v>82</v>
      </c>
      <c r="K5" s="503">
        <f t="shared" si="2"/>
        <v>1.3666666666666667</v>
      </c>
      <c r="L5" s="505" t="s">
        <v>1532</v>
      </c>
    </row>
    <row r="6" spans="1:12" x14ac:dyDescent="0.25">
      <c r="A6" s="501" t="s">
        <v>1529</v>
      </c>
      <c r="B6" s="501" t="s">
        <v>1530</v>
      </c>
      <c r="C6" s="534" t="s">
        <v>89</v>
      </c>
      <c r="D6" s="502">
        <v>800</v>
      </c>
      <c r="E6" s="502">
        <v>15</v>
      </c>
      <c r="F6" s="502">
        <v>15</v>
      </c>
      <c r="G6" s="502">
        <v>35</v>
      </c>
      <c r="H6" s="501">
        <f t="shared" si="0"/>
        <v>65</v>
      </c>
      <c r="I6" s="501">
        <v>15</v>
      </c>
      <c r="J6" s="501">
        <f t="shared" si="1"/>
        <v>80</v>
      </c>
      <c r="K6" s="503">
        <f t="shared" si="2"/>
        <v>1.3333333333333333</v>
      </c>
      <c r="L6" s="501" t="s">
        <v>1531</v>
      </c>
    </row>
    <row r="7" spans="1:12" x14ac:dyDescent="0.25">
      <c r="A7" s="501" t="s">
        <v>1529</v>
      </c>
      <c r="B7" s="501" t="s">
        <v>1530</v>
      </c>
      <c r="C7" s="534" t="s">
        <v>89</v>
      </c>
      <c r="D7" s="502">
        <v>900</v>
      </c>
      <c r="E7" s="504">
        <v>15</v>
      </c>
      <c r="F7" s="504">
        <v>16</v>
      </c>
      <c r="G7" s="504">
        <v>35</v>
      </c>
      <c r="H7" s="505">
        <f t="shared" si="0"/>
        <v>66</v>
      </c>
      <c r="I7" s="505">
        <v>15</v>
      </c>
      <c r="J7" s="505">
        <f t="shared" si="1"/>
        <v>81</v>
      </c>
      <c r="K7" s="503">
        <f t="shared" si="2"/>
        <v>1.35</v>
      </c>
      <c r="L7" s="505" t="s">
        <v>1532</v>
      </c>
    </row>
    <row r="8" spans="1:12" x14ac:dyDescent="0.25">
      <c r="A8" s="501" t="s">
        <v>1529</v>
      </c>
      <c r="B8" s="501" t="s">
        <v>1530</v>
      </c>
      <c r="C8" s="534" t="s">
        <v>89</v>
      </c>
      <c r="D8" s="502">
        <v>1500</v>
      </c>
      <c r="E8" s="502">
        <v>15</v>
      </c>
      <c r="F8" s="502">
        <v>20</v>
      </c>
      <c r="G8" s="502">
        <v>35</v>
      </c>
      <c r="H8" s="501">
        <f t="shared" si="0"/>
        <v>70</v>
      </c>
      <c r="I8" s="501">
        <v>15</v>
      </c>
      <c r="J8" s="501">
        <f t="shared" si="1"/>
        <v>85</v>
      </c>
      <c r="K8" s="503">
        <f t="shared" si="2"/>
        <v>1.4166666666666667</v>
      </c>
      <c r="L8" s="501" t="s">
        <v>1531</v>
      </c>
    </row>
    <row r="9" spans="1:12" x14ac:dyDescent="0.25">
      <c r="A9" s="501" t="s">
        <v>1529</v>
      </c>
      <c r="B9" s="501" t="s">
        <v>1530</v>
      </c>
      <c r="C9" s="534" t="s">
        <v>88</v>
      </c>
      <c r="D9" s="502">
        <v>150</v>
      </c>
      <c r="E9" s="502">
        <v>15</v>
      </c>
      <c r="F9" s="502">
        <v>15</v>
      </c>
      <c r="G9" s="502">
        <v>35</v>
      </c>
      <c r="H9" s="501">
        <f t="shared" ref="H9:H20" si="3">E9+F9+G9</f>
        <v>65</v>
      </c>
      <c r="I9" s="501">
        <v>15</v>
      </c>
      <c r="J9" s="501">
        <f t="shared" ref="J9:J20" si="4">H9+I9</f>
        <v>80</v>
      </c>
      <c r="K9" s="503">
        <f t="shared" ref="K9:K20" si="5">J9/60</f>
        <v>1.3333333333333333</v>
      </c>
      <c r="L9" s="501" t="s">
        <v>1531</v>
      </c>
    </row>
    <row r="10" spans="1:12" x14ac:dyDescent="0.25">
      <c r="A10" s="501" t="s">
        <v>1529</v>
      </c>
      <c r="B10" s="501" t="s">
        <v>1530</v>
      </c>
      <c r="C10" s="534" t="s">
        <v>88</v>
      </c>
      <c r="D10" s="502">
        <v>300</v>
      </c>
      <c r="E10" s="502">
        <v>15</v>
      </c>
      <c r="F10" s="502">
        <v>20</v>
      </c>
      <c r="G10" s="502">
        <v>35</v>
      </c>
      <c r="H10" s="501">
        <f t="shared" si="3"/>
        <v>70</v>
      </c>
      <c r="I10" s="501">
        <v>15</v>
      </c>
      <c r="J10" s="501">
        <f t="shared" si="4"/>
        <v>85</v>
      </c>
      <c r="K10" s="503">
        <f t="shared" si="5"/>
        <v>1.4166666666666667</v>
      </c>
      <c r="L10" s="501" t="s">
        <v>1531</v>
      </c>
    </row>
    <row r="11" spans="1:12" x14ac:dyDescent="0.25">
      <c r="A11" s="501" t="s">
        <v>1529</v>
      </c>
      <c r="B11" s="501" t="s">
        <v>1530</v>
      </c>
      <c r="C11" s="534" t="s">
        <v>88</v>
      </c>
      <c r="D11" s="502">
        <v>600</v>
      </c>
      <c r="E11" s="504">
        <v>15</v>
      </c>
      <c r="F11" s="504">
        <v>17</v>
      </c>
      <c r="G11" s="504">
        <v>35</v>
      </c>
      <c r="H11" s="505">
        <f t="shared" si="3"/>
        <v>67</v>
      </c>
      <c r="I11" s="505">
        <v>15</v>
      </c>
      <c r="J11" s="505">
        <f t="shared" si="4"/>
        <v>82</v>
      </c>
      <c r="K11" s="503">
        <f t="shared" si="5"/>
        <v>1.3666666666666667</v>
      </c>
      <c r="L11" s="505" t="s">
        <v>1532</v>
      </c>
    </row>
    <row r="12" spans="1:12" x14ac:dyDescent="0.25">
      <c r="A12" s="501" t="s">
        <v>1529</v>
      </c>
      <c r="B12" s="501" t="s">
        <v>1530</v>
      </c>
      <c r="C12" s="534" t="s">
        <v>88</v>
      </c>
      <c r="D12" s="502">
        <v>800</v>
      </c>
      <c r="E12" s="502">
        <v>15</v>
      </c>
      <c r="F12" s="502">
        <v>15</v>
      </c>
      <c r="G12" s="502">
        <v>35</v>
      </c>
      <c r="H12" s="501">
        <f t="shared" si="3"/>
        <v>65</v>
      </c>
      <c r="I12" s="501">
        <v>15</v>
      </c>
      <c r="J12" s="501">
        <f t="shared" si="4"/>
        <v>80</v>
      </c>
      <c r="K12" s="503">
        <f t="shared" si="5"/>
        <v>1.3333333333333333</v>
      </c>
      <c r="L12" s="501" t="s">
        <v>1531</v>
      </c>
    </row>
    <row r="13" spans="1:12" x14ac:dyDescent="0.25">
      <c r="A13" s="501" t="s">
        <v>1529</v>
      </c>
      <c r="B13" s="501" t="s">
        <v>1530</v>
      </c>
      <c r="C13" s="534" t="s">
        <v>88</v>
      </c>
      <c r="D13" s="502">
        <v>900</v>
      </c>
      <c r="E13" s="504">
        <v>15</v>
      </c>
      <c r="F13" s="504">
        <v>16</v>
      </c>
      <c r="G13" s="504">
        <v>35</v>
      </c>
      <c r="H13" s="505">
        <f t="shared" si="3"/>
        <v>66</v>
      </c>
      <c r="I13" s="505">
        <v>15</v>
      </c>
      <c r="J13" s="505">
        <f t="shared" si="4"/>
        <v>81</v>
      </c>
      <c r="K13" s="503">
        <f t="shared" si="5"/>
        <v>1.35</v>
      </c>
      <c r="L13" s="505" t="s">
        <v>1532</v>
      </c>
    </row>
    <row r="14" spans="1:12" x14ac:dyDescent="0.25">
      <c r="A14" s="501" t="s">
        <v>1529</v>
      </c>
      <c r="B14" s="501" t="s">
        <v>1530</v>
      </c>
      <c r="C14" s="534" t="s">
        <v>88</v>
      </c>
      <c r="D14" s="502">
        <v>1500</v>
      </c>
      <c r="E14" s="502">
        <v>15</v>
      </c>
      <c r="F14" s="502">
        <v>20</v>
      </c>
      <c r="G14" s="502">
        <v>35</v>
      </c>
      <c r="H14" s="501">
        <f t="shared" si="3"/>
        <v>70</v>
      </c>
      <c r="I14" s="501">
        <v>15</v>
      </c>
      <c r="J14" s="501">
        <f t="shared" si="4"/>
        <v>85</v>
      </c>
      <c r="K14" s="503">
        <f t="shared" si="5"/>
        <v>1.4166666666666667</v>
      </c>
      <c r="L14" s="501" t="s">
        <v>1531</v>
      </c>
    </row>
    <row r="15" spans="1:12" x14ac:dyDescent="0.25">
      <c r="A15" s="501" t="s">
        <v>1529</v>
      </c>
      <c r="B15" s="501" t="s">
        <v>1530</v>
      </c>
      <c r="C15" s="534" t="s">
        <v>117</v>
      </c>
      <c r="D15" s="502">
        <v>150</v>
      </c>
      <c r="E15" s="502">
        <v>15</v>
      </c>
      <c r="F15" s="502">
        <v>15</v>
      </c>
      <c r="G15" s="502">
        <v>35</v>
      </c>
      <c r="H15" s="501">
        <f t="shared" si="3"/>
        <v>65</v>
      </c>
      <c r="I15" s="501">
        <v>15</v>
      </c>
      <c r="J15" s="501">
        <f t="shared" si="4"/>
        <v>80</v>
      </c>
      <c r="K15" s="503">
        <f t="shared" si="5"/>
        <v>1.3333333333333333</v>
      </c>
      <c r="L15" s="501" t="s">
        <v>1531</v>
      </c>
    </row>
    <row r="16" spans="1:12" x14ac:dyDescent="0.25">
      <c r="A16" s="501" t="s">
        <v>1529</v>
      </c>
      <c r="B16" s="501" t="s">
        <v>1530</v>
      </c>
      <c r="C16" s="534" t="s">
        <v>117</v>
      </c>
      <c r="D16" s="502">
        <v>300</v>
      </c>
      <c r="E16" s="502">
        <v>15</v>
      </c>
      <c r="F16" s="502">
        <v>20</v>
      </c>
      <c r="G16" s="502">
        <v>35</v>
      </c>
      <c r="H16" s="501">
        <f t="shared" si="3"/>
        <v>70</v>
      </c>
      <c r="I16" s="501">
        <v>15</v>
      </c>
      <c r="J16" s="501">
        <f t="shared" si="4"/>
        <v>85</v>
      </c>
      <c r="K16" s="503">
        <f t="shared" si="5"/>
        <v>1.4166666666666667</v>
      </c>
      <c r="L16" s="501" t="s">
        <v>1531</v>
      </c>
    </row>
    <row r="17" spans="1:12" x14ac:dyDescent="0.25">
      <c r="A17" s="501" t="s">
        <v>1529</v>
      </c>
      <c r="B17" s="501" t="s">
        <v>1530</v>
      </c>
      <c r="C17" s="534" t="s">
        <v>117</v>
      </c>
      <c r="D17" s="502">
        <v>600</v>
      </c>
      <c r="E17" s="504">
        <v>15</v>
      </c>
      <c r="F17" s="504">
        <v>17</v>
      </c>
      <c r="G17" s="504">
        <v>35</v>
      </c>
      <c r="H17" s="505">
        <f t="shared" si="3"/>
        <v>67</v>
      </c>
      <c r="I17" s="505">
        <v>15</v>
      </c>
      <c r="J17" s="505">
        <f t="shared" si="4"/>
        <v>82</v>
      </c>
      <c r="K17" s="503">
        <f t="shared" si="5"/>
        <v>1.3666666666666667</v>
      </c>
      <c r="L17" s="505" t="s">
        <v>1532</v>
      </c>
    </row>
    <row r="18" spans="1:12" x14ac:dyDescent="0.25">
      <c r="A18" s="501" t="s">
        <v>1529</v>
      </c>
      <c r="B18" s="501" t="s">
        <v>1530</v>
      </c>
      <c r="C18" s="534" t="s">
        <v>117</v>
      </c>
      <c r="D18" s="502">
        <v>800</v>
      </c>
      <c r="E18" s="502">
        <v>15</v>
      </c>
      <c r="F18" s="502">
        <v>15</v>
      </c>
      <c r="G18" s="502">
        <v>35</v>
      </c>
      <c r="H18" s="501">
        <f t="shared" si="3"/>
        <v>65</v>
      </c>
      <c r="I18" s="501">
        <v>15</v>
      </c>
      <c r="J18" s="501">
        <f t="shared" si="4"/>
        <v>80</v>
      </c>
      <c r="K18" s="503">
        <f t="shared" si="5"/>
        <v>1.3333333333333333</v>
      </c>
      <c r="L18" s="501" t="s">
        <v>1531</v>
      </c>
    </row>
    <row r="19" spans="1:12" x14ac:dyDescent="0.25">
      <c r="A19" s="501" t="s">
        <v>1529</v>
      </c>
      <c r="B19" s="501" t="s">
        <v>1530</v>
      </c>
      <c r="C19" s="534" t="s">
        <v>117</v>
      </c>
      <c r="D19" s="502">
        <v>900</v>
      </c>
      <c r="E19" s="504">
        <v>15</v>
      </c>
      <c r="F19" s="504">
        <v>16</v>
      </c>
      <c r="G19" s="504">
        <v>35</v>
      </c>
      <c r="H19" s="505">
        <f t="shared" si="3"/>
        <v>66</v>
      </c>
      <c r="I19" s="505">
        <v>15</v>
      </c>
      <c r="J19" s="505">
        <f t="shared" si="4"/>
        <v>81</v>
      </c>
      <c r="K19" s="503">
        <f t="shared" si="5"/>
        <v>1.35</v>
      </c>
      <c r="L19" s="505" t="s">
        <v>1532</v>
      </c>
    </row>
    <row r="20" spans="1:12" x14ac:dyDescent="0.25">
      <c r="A20" s="501" t="s">
        <v>1529</v>
      </c>
      <c r="B20" s="501" t="s">
        <v>1530</v>
      </c>
      <c r="C20" s="534" t="s">
        <v>117</v>
      </c>
      <c r="D20" s="502">
        <v>1500</v>
      </c>
      <c r="E20" s="502">
        <v>15</v>
      </c>
      <c r="F20" s="502">
        <v>20</v>
      </c>
      <c r="G20" s="502">
        <v>35</v>
      </c>
      <c r="H20" s="501">
        <f t="shared" si="3"/>
        <v>70</v>
      </c>
      <c r="I20" s="501">
        <v>15</v>
      </c>
      <c r="J20" s="501">
        <f t="shared" si="4"/>
        <v>85</v>
      </c>
      <c r="K20" s="503">
        <f t="shared" si="5"/>
        <v>1.4166666666666667</v>
      </c>
      <c r="L20" s="501" t="s">
        <v>1531</v>
      </c>
    </row>
    <row r="21" spans="1:12" x14ac:dyDescent="0.25">
      <c r="A21" s="501" t="s">
        <v>1529</v>
      </c>
      <c r="B21" s="501" t="s">
        <v>1530</v>
      </c>
      <c r="C21" s="502" t="s">
        <v>1404</v>
      </c>
      <c r="D21" s="502">
        <v>150</v>
      </c>
      <c r="E21" s="502">
        <v>20</v>
      </c>
      <c r="F21" s="502">
        <v>15</v>
      </c>
      <c r="G21" s="502">
        <v>35</v>
      </c>
      <c r="H21" s="501">
        <f t="shared" si="0"/>
        <v>70</v>
      </c>
      <c r="I21" s="501">
        <v>15</v>
      </c>
      <c r="J21" s="501">
        <f t="shared" si="1"/>
        <v>85</v>
      </c>
      <c r="K21" s="503">
        <f t="shared" si="2"/>
        <v>1.4166666666666667</v>
      </c>
      <c r="L21" s="501" t="s">
        <v>1531</v>
      </c>
    </row>
    <row r="22" spans="1:12" x14ac:dyDescent="0.25">
      <c r="A22" s="501" t="s">
        <v>1529</v>
      </c>
      <c r="B22" s="501" t="s">
        <v>1530</v>
      </c>
      <c r="C22" s="502" t="s">
        <v>1404</v>
      </c>
      <c r="D22" s="502">
        <v>300</v>
      </c>
      <c r="E22" s="502">
        <v>20</v>
      </c>
      <c r="F22" s="502">
        <v>25</v>
      </c>
      <c r="G22" s="502">
        <v>35</v>
      </c>
      <c r="H22" s="501">
        <f t="shared" si="0"/>
        <v>80</v>
      </c>
      <c r="I22" s="501">
        <v>15</v>
      </c>
      <c r="J22" s="501">
        <f t="shared" si="1"/>
        <v>95</v>
      </c>
      <c r="K22" s="503">
        <f t="shared" si="2"/>
        <v>1.5833333333333333</v>
      </c>
      <c r="L22" s="501" t="s">
        <v>1531</v>
      </c>
    </row>
    <row r="23" spans="1:12" x14ac:dyDescent="0.25">
      <c r="A23" s="501" t="s">
        <v>1529</v>
      </c>
      <c r="B23" s="501" t="s">
        <v>1530</v>
      </c>
      <c r="C23" s="502" t="s">
        <v>1404</v>
      </c>
      <c r="D23" s="502">
        <v>600</v>
      </c>
      <c r="E23" s="504">
        <v>20</v>
      </c>
      <c r="F23" s="504">
        <v>19</v>
      </c>
      <c r="G23" s="504">
        <v>35</v>
      </c>
      <c r="H23" s="505">
        <f t="shared" si="0"/>
        <v>74</v>
      </c>
      <c r="I23" s="505">
        <v>15</v>
      </c>
      <c r="J23" s="505">
        <f t="shared" si="1"/>
        <v>89</v>
      </c>
      <c r="K23" s="503">
        <f t="shared" si="2"/>
        <v>1.4833333333333334</v>
      </c>
      <c r="L23" s="505" t="s">
        <v>1532</v>
      </c>
    </row>
    <row r="24" spans="1:12" x14ac:dyDescent="0.25">
      <c r="A24" s="501" t="s">
        <v>1529</v>
      </c>
      <c r="B24" s="501" t="s">
        <v>1530</v>
      </c>
      <c r="C24" s="502" t="s">
        <v>1404</v>
      </c>
      <c r="D24" s="502">
        <v>800</v>
      </c>
      <c r="E24" s="502">
        <v>20</v>
      </c>
      <c r="F24" s="502">
        <v>15</v>
      </c>
      <c r="G24" s="502">
        <v>35</v>
      </c>
      <c r="H24" s="501">
        <f t="shared" si="0"/>
        <v>70</v>
      </c>
      <c r="I24" s="501">
        <v>15</v>
      </c>
      <c r="J24" s="501">
        <f t="shared" si="1"/>
        <v>85</v>
      </c>
      <c r="K24" s="503">
        <f t="shared" si="2"/>
        <v>1.4166666666666667</v>
      </c>
      <c r="L24" s="501" t="s">
        <v>1531</v>
      </c>
    </row>
    <row r="25" spans="1:12" x14ac:dyDescent="0.25">
      <c r="A25" s="501" t="s">
        <v>1529</v>
      </c>
      <c r="B25" s="501" t="s">
        <v>1530</v>
      </c>
      <c r="C25" s="502" t="s">
        <v>1404</v>
      </c>
      <c r="D25" s="502">
        <v>900</v>
      </c>
      <c r="E25" s="504">
        <v>20</v>
      </c>
      <c r="F25" s="504">
        <v>16</v>
      </c>
      <c r="G25" s="504">
        <v>35</v>
      </c>
      <c r="H25" s="505">
        <f t="shared" si="0"/>
        <v>71</v>
      </c>
      <c r="I25" s="505">
        <v>15</v>
      </c>
      <c r="J25" s="505">
        <f t="shared" si="1"/>
        <v>86</v>
      </c>
      <c r="K25" s="503">
        <f t="shared" si="2"/>
        <v>1.4333333333333333</v>
      </c>
      <c r="L25" s="505" t="s">
        <v>1532</v>
      </c>
    </row>
    <row r="26" spans="1:12" x14ac:dyDescent="0.25">
      <c r="A26" s="501" t="s">
        <v>1529</v>
      </c>
      <c r="B26" s="501" t="s">
        <v>1530</v>
      </c>
      <c r="C26" s="502" t="s">
        <v>1404</v>
      </c>
      <c r="D26" s="502">
        <v>1500</v>
      </c>
      <c r="E26" s="502">
        <v>20</v>
      </c>
      <c r="F26" s="502">
        <v>25</v>
      </c>
      <c r="G26" s="502">
        <v>35</v>
      </c>
      <c r="H26" s="501">
        <f t="shared" si="0"/>
        <v>80</v>
      </c>
      <c r="I26" s="501">
        <v>15</v>
      </c>
      <c r="J26" s="501">
        <f t="shared" si="1"/>
        <v>95</v>
      </c>
      <c r="K26" s="503">
        <f t="shared" si="2"/>
        <v>1.5833333333333333</v>
      </c>
      <c r="L26" s="501" t="s">
        <v>1531</v>
      </c>
    </row>
    <row r="27" spans="1:12" x14ac:dyDescent="0.25">
      <c r="A27" s="501" t="s">
        <v>1529</v>
      </c>
      <c r="B27" s="501" t="s">
        <v>1530</v>
      </c>
      <c r="C27" s="502" t="s">
        <v>86</v>
      </c>
      <c r="D27" s="502">
        <v>150</v>
      </c>
      <c r="E27" s="502">
        <v>25</v>
      </c>
      <c r="F27" s="502">
        <v>25</v>
      </c>
      <c r="G27" s="502">
        <v>50</v>
      </c>
      <c r="H27" s="501">
        <f t="shared" si="0"/>
        <v>100</v>
      </c>
      <c r="I27" s="501">
        <v>15</v>
      </c>
      <c r="J27" s="501">
        <f t="shared" si="1"/>
        <v>115</v>
      </c>
      <c r="K27" s="503">
        <f t="shared" si="2"/>
        <v>1.9166666666666667</v>
      </c>
      <c r="L27" s="501" t="s">
        <v>1531</v>
      </c>
    </row>
    <row r="28" spans="1:12" x14ac:dyDescent="0.25">
      <c r="A28" s="501" t="s">
        <v>1529</v>
      </c>
      <c r="B28" s="501" t="s">
        <v>1530</v>
      </c>
      <c r="C28" s="502" t="s">
        <v>86</v>
      </c>
      <c r="D28" s="502">
        <v>300</v>
      </c>
      <c r="E28" s="502">
        <v>25</v>
      </c>
      <c r="F28" s="502">
        <v>30</v>
      </c>
      <c r="G28" s="502">
        <v>50</v>
      </c>
      <c r="H28" s="501">
        <f t="shared" si="0"/>
        <v>105</v>
      </c>
      <c r="I28" s="501">
        <v>15</v>
      </c>
      <c r="J28" s="501">
        <f t="shared" si="1"/>
        <v>120</v>
      </c>
      <c r="K28" s="503">
        <f t="shared" si="2"/>
        <v>2</v>
      </c>
      <c r="L28" s="501" t="s">
        <v>1531</v>
      </c>
    </row>
    <row r="29" spans="1:12" x14ac:dyDescent="0.25">
      <c r="A29" s="501" t="s">
        <v>1529</v>
      </c>
      <c r="B29" s="501" t="s">
        <v>1530</v>
      </c>
      <c r="C29" s="502" t="s">
        <v>86</v>
      </c>
      <c r="D29" s="502">
        <v>600</v>
      </c>
      <c r="E29" s="504">
        <v>25</v>
      </c>
      <c r="F29" s="504">
        <v>27</v>
      </c>
      <c r="G29" s="504">
        <v>50</v>
      </c>
      <c r="H29" s="505">
        <f t="shared" si="0"/>
        <v>102</v>
      </c>
      <c r="I29" s="505">
        <v>15</v>
      </c>
      <c r="J29" s="505">
        <f t="shared" si="1"/>
        <v>117</v>
      </c>
      <c r="K29" s="503">
        <f t="shared" si="2"/>
        <v>1.95</v>
      </c>
      <c r="L29" s="505" t="s">
        <v>1532</v>
      </c>
    </row>
    <row r="30" spans="1:12" x14ac:dyDescent="0.25">
      <c r="A30" s="501" t="s">
        <v>1529</v>
      </c>
      <c r="B30" s="501" t="s">
        <v>1530</v>
      </c>
      <c r="C30" s="502" t="s">
        <v>86</v>
      </c>
      <c r="D30" s="502">
        <v>800</v>
      </c>
      <c r="E30" s="502">
        <v>25</v>
      </c>
      <c r="F30" s="502">
        <v>25</v>
      </c>
      <c r="G30" s="502">
        <v>50</v>
      </c>
      <c r="H30" s="501">
        <f t="shared" si="0"/>
        <v>100</v>
      </c>
      <c r="I30" s="501">
        <v>15</v>
      </c>
      <c r="J30" s="501">
        <f t="shared" si="1"/>
        <v>115</v>
      </c>
      <c r="K30" s="503">
        <f t="shared" si="2"/>
        <v>1.9166666666666667</v>
      </c>
      <c r="L30" s="501" t="s">
        <v>1531</v>
      </c>
    </row>
    <row r="31" spans="1:12" x14ac:dyDescent="0.25">
      <c r="A31" s="501" t="s">
        <v>1529</v>
      </c>
      <c r="B31" s="501" t="s">
        <v>1530</v>
      </c>
      <c r="C31" s="502" t="s">
        <v>86</v>
      </c>
      <c r="D31" s="502">
        <v>900</v>
      </c>
      <c r="E31" s="504">
        <v>26</v>
      </c>
      <c r="F31" s="504">
        <v>26</v>
      </c>
      <c r="G31" s="504">
        <v>50</v>
      </c>
      <c r="H31" s="505">
        <f t="shared" si="0"/>
        <v>102</v>
      </c>
      <c r="I31" s="505">
        <v>15</v>
      </c>
      <c r="J31" s="505">
        <f t="shared" si="1"/>
        <v>117</v>
      </c>
      <c r="K31" s="503">
        <f t="shared" si="2"/>
        <v>1.95</v>
      </c>
      <c r="L31" s="505" t="s">
        <v>1532</v>
      </c>
    </row>
    <row r="32" spans="1:12" x14ac:dyDescent="0.25">
      <c r="A32" s="501" t="s">
        <v>1529</v>
      </c>
      <c r="B32" s="501" t="s">
        <v>1530</v>
      </c>
      <c r="C32" s="502" t="s">
        <v>86</v>
      </c>
      <c r="D32" s="502">
        <v>1500</v>
      </c>
      <c r="E32" s="502">
        <v>30</v>
      </c>
      <c r="F32" s="502">
        <v>30</v>
      </c>
      <c r="G32" s="502">
        <v>50</v>
      </c>
      <c r="H32" s="501">
        <f t="shared" si="0"/>
        <v>110</v>
      </c>
      <c r="I32" s="501">
        <v>15</v>
      </c>
      <c r="J32" s="501">
        <f t="shared" si="1"/>
        <v>125</v>
      </c>
      <c r="K32" s="503">
        <f t="shared" si="2"/>
        <v>2.0833333333333335</v>
      </c>
      <c r="L32" s="501" t="s">
        <v>1531</v>
      </c>
    </row>
    <row r="33" spans="1:12" x14ac:dyDescent="0.25">
      <c r="A33" s="501" t="s">
        <v>1529</v>
      </c>
      <c r="B33" s="501" t="s">
        <v>1530</v>
      </c>
      <c r="C33" s="502" t="s">
        <v>1405</v>
      </c>
      <c r="D33" s="502">
        <v>150</v>
      </c>
      <c r="E33" s="502">
        <v>25</v>
      </c>
      <c r="F33" s="502">
        <v>25</v>
      </c>
      <c r="G33" s="502">
        <v>50</v>
      </c>
      <c r="H33" s="501">
        <f t="shared" si="0"/>
        <v>100</v>
      </c>
      <c r="I33" s="501">
        <v>20</v>
      </c>
      <c r="J33" s="501">
        <f t="shared" si="1"/>
        <v>120</v>
      </c>
      <c r="K33" s="503">
        <f t="shared" si="2"/>
        <v>2</v>
      </c>
      <c r="L33" s="501" t="s">
        <v>1531</v>
      </c>
    </row>
    <row r="34" spans="1:12" x14ac:dyDescent="0.25">
      <c r="A34" s="501" t="s">
        <v>1529</v>
      </c>
      <c r="B34" s="501" t="s">
        <v>1530</v>
      </c>
      <c r="C34" s="502" t="s">
        <v>1405</v>
      </c>
      <c r="D34" s="502">
        <v>300</v>
      </c>
      <c r="E34" s="502">
        <v>25</v>
      </c>
      <c r="F34" s="502">
        <v>30</v>
      </c>
      <c r="G34" s="502">
        <v>50</v>
      </c>
      <c r="H34" s="501">
        <f t="shared" si="0"/>
        <v>105</v>
      </c>
      <c r="I34" s="501">
        <v>20</v>
      </c>
      <c r="J34" s="501">
        <f t="shared" si="1"/>
        <v>125</v>
      </c>
      <c r="K34" s="503">
        <f t="shared" si="2"/>
        <v>2.0833333333333335</v>
      </c>
      <c r="L34" s="501" t="s">
        <v>1531</v>
      </c>
    </row>
    <row r="35" spans="1:12" x14ac:dyDescent="0.25">
      <c r="A35" s="501" t="s">
        <v>1529</v>
      </c>
      <c r="B35" s="501" t="s">
        <v>1530</v>
      </c>
      <c r="C35" s="502" t="s">
        <v>1405</v>
      </c>
      <c r="D35" s="502">
        <v>600</v>
      </c>
      <c r="E35" s="504">
        <v>25</v>
      </c>
      <c r="F35" s="504">
        <v>27</v>
      </c>
      <c r="G35" s="504">
        <v>50</v>
      </c>
      <c r="H35" s="505">
        <f t="shared" si="0"/>
        <v>102</v>
      </c>
      <c r="I35" s="505">
        <v>20</v>
      </c>
      <c r="J35" s="505">
        <f t="shared" si="1"/>
        <v>122</v>
      </c>
      <c r="K35" s="503">
        <f t="shared" si="2"/>
        <v>2.0333333333333332</v>
      </c>
      <c r="L35" s="505" t="s">
        <v>1532</v>
      </c>
    </row>
    <row r="36" spans="1:12" x14ac:dyDescent="0.25">
      <c r="A36" s="501" t="s">
        <v>1529</v>
      </c>
      <c r="B36" s="501" t="s">
        <v>1530</v>
      </c>
      <c r="C36" s="502" t="s">
        <v>1405</v>
      </c>
      <c r="D36" s="502">
        <v>800</v>
      </c>
      <c r="E36" s="502">
        <v>25</v>
      </c>
      <c r="F36" s="502">
        <v>25</v>
      </c>
      <c r="G36" s="502">
        <v>50</v>
      </c>
      <c r="H36" s="501">
        <f t="shared" si="0"/>
        <v>100</v>
      </c>
      <c r="I36" s="501">
        <v>20</v>
      </c>
      <c r="J36" s="501">
        <f t="shared" si="1"/>
        <v>120</v>
      </c>
      <c r="K36" s="503">
        <f t="shared" si="2"/>
        <v>2</v>
      </c>
      <c r="L36" s="501" t="s">
        <v>1531</v>
      </c>
    </row>
    <row r="37" spans="1:12" x14ac:dyDescent="0.25">
      <c r="A37" s="501" t="s">
        <v>1529</v>
      </c>
      <c r="B37" s="501" t="s">
        <v>1530</v>
      </c>
      <c r="C37" s="502" t="s">
        <v>1405</v>
      </c>
      <c r="D37" s="502">
        <v>900</v>
      </c>
      <c r="E37" s="504">
        <v>26</v>
      </c>
      <c r="F37" s="504">
        <v>26</v>
      </c>
      <c r="G37" s="504">
        <v>50</v>
      </c>
      <c r="H37" s="505">
        <f t="shared" si="0"/>
        <v>102</v>
      </c>
      <c r="I37" s="505">
        <v>20</v>
      </c>
      <c r="J37" s="505">
        <f t="shared" si="1"/>
        <v>122</v>
      </c>
      <c r="K37" s="503">
        <f t="shared" si="2"/>
        <v>2.0333333333333332</v>
      </c>
      <c r="L37" s="505" t="s">
        <v>1532</v>
      </c>
    </row>
    <row r="38" spans="1:12" x14ac:dyDescent="0.25">
      <c r="A38" s="501" t="s">
        <v>1529</v>
      </c>
      <c r="B38" s="501" t="s">
        <v>1530</v>
      </c>
      <c r="C38" s="502" t="s">
        <v>1405</v>
      </c>
      <c r="D38" s="502">
        <v>1500</v>
      </c>
      <c r="E38" s="502">
        <v>30</v>
      </c>
      <c r="F38" s="502">
        <v>30</v>
      </c>
      <c r="G38" s="502">
        <v>50</v>
      </c>
      <c r="H38" s="501">
        <f t="shared" si="0"/>
        <v>110</v>
      </c>
      <c r="I38" s="501">
        <v>20</v>
      </c>
      <c r="J38" s="501">
        <f t="shared" si="1"/>
        <v>130</v>
      </c>
      <c r="K38" s="503">
        <f t="shared" si="2"/>
        <v>2.1666666666666665</v>
      </c>
      <c r="L38" s="501" t="s">
        <v>1531</v>
      </c>
    </row>
    <row r="39" spans="1:12" x14ac:dyDescent="0.25">
      <c r="A39" s="501" t="s">
        <v>1529</v>
      </c>
      <c r="B39" s="501" t="s">
        <v>1530</v>
      </c>
      <c r="C39" s="502" t="s">
        <v>84</v>
      </c>
      <c r="D39" s="502">
        <v>150</v>
      </c>
      <c r="E39" s="502">
        <v>30</v>
      </c>
      <c r="F39" s="502">
        <v>30</v>
      </c>
      <c r="G39" s="502">
        <v>50</v>
      </c>
      <c r="H39" s="501">
        <f t="shared" si="0"/>
        <v>110</v>
      </c>
      <c r="I39" s="501">
        <v>20</v>
      </c>
      <c r="J39" s="501">
        <f t="shared" si="1"/>
        <v>130</v>
      </c>
      <c r="K39" s="503">
        <f t="shared" si="2"/>
        <v>2.1666666666666665</v>
      </c>
      <c r="L39" s="501" t="s">
        <v>1531</v>
      </c>
    </row>
    <row r="40" spans="1:12" x14ac:dyDescent="0.25">
      <c r="A40" s="501" t="s">
        <v>1529</v>
      </c>
      <c r="B40" s="501" t="s">
        <v>1530</v>
      </c>
      <c r="C40" s="502" t="s">
        <v>84</v>
      </c>
      <c r="D40" s="502">
        <v>300</v>
      </c>
      <c r="E40" s="502">
        <v>30</v>
      </c>
      <c r="F40" s="502">
        <v>40</v>
      </c>
      <c r="G40" s="502">
        <v>50</v>
      </c>
      <c r="H40" s="501">
        <f t="shared" si="0"/>
        <v>120</v>
      </c>
      <c r="I40" s="501">
        <v>20</v>
      </c>
      <c r="J40" s="501">
        <f t="shared" si="1"/>
        <v>140</v>
      </c>
      <c r="K40" s="503">
        <f t="shared" si="2"/>
        <v>2.3333333333333335</v>
      </c>
      <c r="L40" s="501" t="s">
        <v>1531</v>
      </c>
    </row>
    <row r="41" spans="1:12" x14ac:dyDescent="0.25">
      <c r="A41" s="501" t="s">
        <v>1529</v>
      </c>
      <c r="B41" s="501" t="s">
        <v>1530</v>
      </c>
      <c r="C41" s="502" t="s">
        <v>84</v>
      </c>
      <c r="D41" s="502">
        <v>600</v>
      </c>
      <c r="E41" s="504">
        <v>30</v>
      </c>
      <c r="F41" s="504">
        <v>60</v>
      </c>
      <c r="G41" s="504">
        <v>50</v>
      </c>
      <c r="H41" s="505">
        <f t="shared" si="0"/>
        <v>140</v>
      </c>
      <c r="I41" s="505">
        <v>20</v>
      </c>
      <c r="J41" s="505">
        <f t="shared" si="1"/>
        <v>160</v>
      </c>
      <c r="K41" s="503">
        <f t="shared" si="2"/>
        <v>2.6666666666666665</v>
      </c>
      <c r="L41" s="505" t="s">
        <v>1533</v>
      </c>
    </row>
    <row r="42" spans="1:12" x14ac:dyDescent="0.25">
      <c r="A42" s="501" t="s">
        <v>1529</v>
      </c>
      <c r="B42" s="501" t="s">
        <v>1530</v>
      </c>
      <c r="C42" s="502" t="s">
        <v>84</v>
      </c>
      <c r="D42" s="502">
        <v>800</v>
      </c>
      <c r="E42" s="504">
        <v>30</v>
      </c>
      <c r="F42" s="504">
        <v>73</v>
      </c>
      <c r="G42" s="504">
        <v>50</v>
      </c>
      <c r="H42" s="505">
        <f t="shared" si="0"/>
        <v>153</v>
      </c>
      <c r="I42" s="505">
        <v>20</v>
      </c>
      <c r="J42" s="505">
        <f t="shared" si="1"/>
        <v>173</v>
      </c>
      <c r="K42" s="503">
        <f t="shared" si="2"/>
        <v>2.8833333333333333</v>
      </c>
      <c r="L42" s="505" t="s">
        <v>1533</v>
      </c>
    </row>
    <row r="43" spans="1:12" x14ac:dyDescent="0.25">
      <c r="A43" s="501" t="s">
        <v>1529</v>
      </c>
      <c r="B43" s="501" t="s">
        <v>1530</v>
      </c>
      <c r="C43" s="502" t="s">
        <v>84</v>
      </c>
      <c r="D43" s="502">
        <v>900</v>
      </c>
      <c r="E43" s="504">
        <v>30</v>
      </c>
      <c r="F43" s="504">
        <v>80</v>
      </c>
      <c r="G43" s="504">
        <v>50</v>
      </c>
      <c r="H43" s="505">
        <f t="shared" si="0"/>
        <v>160</v>
      </c>
      <c r="I43" s="505">
        <v>20</v>
      </c>
      <c r="J43" s="505">
        <f t="shared" si="1"/>
        <v>180</v>
      </c>
      <c r="K43" s="503">
        <f t="shared" si="2"/>
        <v>3</v>
      </c>
      <c r="L43" s="505" t="s">
        <v>1533</v>
      </c>
    </row>
    <row r="44" spans="1:12" x14ac:dyDescent="0.25">
      <c r="A44" s="501" t="s">
        <v>1529</v>
      </c>
      <c r="B44" s="501" t="s">
        <v>1530</v>
      </c>
      <c r="C44" s="502" t="s">
        <v>84</v>
      </c>
      <c r="D44" s="502">
        <v>1500</v>
      </c>
      <c r="E44" s="504">
        <v>30</v>
      </c>
      <c r="F44" s="504">
        <v>120</v>
      </c>
      <c r="G44" s="504">
        <v>50</v>
      </c>
      <c r="H44" s="505">
        <f t="shared" si="0"/>
        <v>200</v>
      </c>
      <c r="I44" s="505">
        <v>20</v>
      </c>
      <c r="J44" s="505">
        <f t="shared" si="1"/>
        <v>220</v>
      </c>
      <c r="K44" s="503">
        <f t="shared" si="2"/>
        <v>3.6666666666666665</v>
      </c>
      <c r="L44" s="505" t="s">
        <v>1533</v>
      </c>
    </row>
    <row r="45" spans="1:12" x14ac:dyDescent="0.25">
      <c r="A45" s="501" t="s">
        <v>1529</v>
      </c>
      <c r="B45" s="501" t="s">
        <v>1530</v>
      </c>
      <c r="C45" s="502" t="s">
        <v>82</v>
      </c>
      <c r="D45" s="502">
        <v>150</v>
      </c>
      <c r="E45" s="502">
        <v>45</v>
      </c>
      <c r="F45" s="502">
        <v>40</v>
      </c>
      <c r="G45" s="502">
        <v>80</v>
      </c>
      <c r="H45" s="501">
        <f t="shared" si="0"/>
        <v>165</v>
      </c>
      <c r="I45" s="501">
        <v>20</v>
      </c>
      <c r="J45" s="501">
        <f t="shared" si="1"/>
        <v>185</v>
      </c>
      <c r="K45" s="503">
        <f t="shared" si="2"/>
        <v>3.0833333333333335</v>
      </c>
      <c r="L45" s="501" t="s">
        <v>1531</v>
      </c>
    </row>
    <row r="46" spans="1:12" x14ac:dyDescent="0.25">
      <c r="A46" s="501" t="s">
        <v>1529</v>
      </c>
      <c r="B46" s="501" t="s">
        <v>1530</v>
      </c>
      <c r="C46" s="502" t="s">
        <v>82</v>
      </c>
      <c r="D46" s="502">
        <v>300</v>
      </c>
      <c r="E46" s="502">
        <v>45</v>
      </c>
      <c r="F46" s="502">
        <v>55</v>
      </c>
      <c r="G46" s="502">
        <v>80</v>
      </c>
      <c r="H46" s="501">
        <f t="shared" si="0"/>
        <v>180</v>
      </c>
      <c r="I46" s="501">
        <v>20</v>
      </c>
      <c r="J46" s="501">
        <f t="shared" si="1"/>
        <v>200</v>
      </c>
      <c r="K46" s="503">
        <f t="shared" si="2"/>
        <v>3.3333333333333335</v>
      </c>
      <c r="L46" s="501" t="s">
        <v>1531</v>
      </c>
    </row>
    <row r="47" spans="1:12" x14ac:dyDescent="0.25">
      <c r="A47" s="501" t="s">
        <v>1529</v>
      </c>
      <c r="B47" s="501" t="s">
        <v>1530</v>
      </c>
      <c r="C47" s="502" t="s">
        <v>82</v>
      </c>
      <c r="D47" s="502">
        <v>600</v>
      </c>
      <c r="E47" s="504">
        <v>45</v>
      </c>
      <c r="F47" s="504">
        <v>85</v>
      </c>
      <c r="G47" s="504">
        <v>80</v>
      </c>
      <c r="H47" s="505">
        <f t="shared" si="0"/>
        <v>210</v>
      </c>
      <c r="I47" s="505">
        <v>20</v>
      </c>
      <c r="J47" s="505">
        <f t="shared" si="1"/>
        <v>230</v>
      </c>
      <c r="K47" s="503">
        <f t="shared" si="2"/>
        <v>3.8333333333333335</v>
      </c>
      <c r="L47" s="505" t="s">
        <v>1533</v>
      </c>
    </row>
    <row r="48" spans="1:12" x14ac:dyDescent="0.25">
      <c r="A48" s="501" t="s">
        <v>1529</v>
      </c>
      <c r="B48" s="501" t="s">
        <v>1530</v>
      </c>
      <c r="C48" s="502" t="s">
        <v>82</v>
      </c>
      <c r="D48" s="502">
        <v>800</v>
      </c>
      <c r="E48" s="504">
        <v>45</v>
      </c>
      <c r="F48" s="504">
        <v>105</v>
      </c>
      <c r="G48" s="504">
        <v>80</v>
      </c>
      <c r="H48" s="505">
        <f t="shared" si="0"/>
        <v>230</v>
      </c>
      <c r="I48" s="505">
        <v>20</v>
      </c>
      <c r="J48" s="505">
        <f t="shared" si="1"/>
        <v>250</v>
      </c>
      <c r="K48" s="503">
        <f t="shared" si="2"/>
        <v>4.166666666666667</v>
      </c>
      <c r="L48" s="505" t="s">
        <v>1533</v>
      </c>
    </row>
    <row r="49" spans="1:12" x14ac:dyDescent="0.25">
      <c r="A49" s="501" t="s">
        <v>1529</v>
      </c>
      <c r="B49" s="501" t="s">
        <v>1530</v>
      </c>
      <c r="C49" s="502" t="s">
        <v>82</v>
      </c>
      <c r="D49" s="502">
        <v>900</v>
      </c>
      <c r="E49" s="504">
        <v>45</v>
      </c>
      <c r="F49" s="504">
        <v>115</v>
      </c>
      <c r="G49" s="504">
        <v>80</v>
      </c>
      <c r="H49" s="505">
        <f t="shared" si="0"/>
        <v>240</v>
      </c>
      <c r="I49" s="505">
        <v>20</v>
      </c>
      <c r="J49" s="505">
        <f t="shared" si="1"/>
        <v>260</v>
      </c>
      <c r="K49" s="503">
        <f t="shared" si="2"/>
        <v>4.333333333333333</v>
      </c>
      <c r="L49" s="505" t="s">
        <v>1533</v>
      </c>
    </row>
    <row r="50" spans="1:12" x14ac:dyDescent="0.25">
      <c r="A50" s="501" t="s">
        <v>1529</v>
      </c>
      <c r="B50" s="501" t="s">
        <v>1530</v>
      </c>
      <c r="C50" s="502" t="s">
        <v>82</v>
      </c>
      <c r="D50" s="502">
        <v>1500</v>
      </c>
      <c r="E50" s="504">
        <v>45</v>
      </c>
      <c r="F50" s="504">
        <v>175</v>
      </c>
      <c r="G50" s="504">
        <v>80</v>
      </c>
      <c r="H50" s="505">
        <f t="shared" si="0"/>
        <v>300</v>
      </c>
      <c r="I50" s="505">
        <v>20</v>
      </c>
      <c r="J50" s="505">
        <f t="shared" si="1"/>
        <v>320</v>
      </c>
      <c r="K50" s="503">
        <f t="shared" si="2"/>
        <v>5.333333333333333</v>
      </c>
      <c r="L50" s="505" t="s">
        <v>1533</v>
      </c>
    </row>
    <row r="51" spans="1:12" x14ac:dyDescent="0.25">
      <c r="A51" s="501" t="s">
        <v>1529</v>
      </c>
      <c r="B51" s="501" t="s">
        <v>1530</v>
      </c>
      <c r="C51" s="502" t="s">
        <v>120</v>
      </c>
      <c r="D51" s="502">
        <v>150</v>
      </c>
      <c r="E51" s="502">
        <v>55</v>
      </c>
      <c r="F51" s="502">
        <v>45</v>
      </c>
      <c r="G51" s="502">
        <v>100</v>
      </c>
      <c r="H51" s="501">
        <f t="shared" si="0"/>
        <v>200</v>
      </c>
      <c r="I51" s="501">
        <v>20</v>
      </c>
      <c r="J51" s="501">
        <f t="shared" si="1"/>
        <v>220</v>
      </c>
      <c r="K51" s="503">
        <f t="shared" si="2"/>
        <v>3.6666666666666665</v>
      </c>
      <c r="L51" s="501" t="s">
        <v>1531</v>
      </c>
    </row>
    <row r="52" spans="1:12" x14ac:dyDescent="0.25">
      <c r="A52" s="501" t="s">
        <v>1529</v>
      </c>
      <c r="B52" s="501" t="s">
        <v>1530</v>
      </c>
      <c r="C52" s="502" t="s">
        <v>120</v>
      </c>
      <c r="D52" s="502">
        <v>300</v>
      </c>
      <c r="E52" s="502">
        <v>55</v>
      </c>
      <c r="F52" s="502">
        <v>70</v>
      </c>
      <c r="G52" s="502">
        <v>100</v>
      </c>
      <c r="H52" s="501">
        <f t="shared" si="0"/>
        <v>225</v>
      </c>
      <c r="I52" s="501">
        <v>20</v>
      </c>
      <c r="J52" s="501">
        <f t="shared" si="1"/>
        <v>245</v>
      </c>
      <c r="K52" s="503">
        <f t="shared" si="2"/>
        <v>4.083333333333333</v>
      </c>
      <c r="L52" s="501" t="s">
        <v>1531</v>
      </c>
    </row>
    <row r="53" spans="1:12" x14ac:dyDescent="0.25">
      <c r="A53" s="501" t="s">
        <v>1529</v>
      </c>
      <c r="B53" s="501" t="s">
        <v>1530</v>
      </c>
      <c r="C53" s="502" t="s">
        <v>120</v>
      </c>
      <c r="D53" s="502">
        <v>600</v>
      </c>
      <c r="E53" s="504">
        <v>55</v>
      </c>
      <c r="F53" s="504">
        <v>120</v>
      </c>
      <c r="G53" s="504">
        <v>100</v>
      </c>
      <c r="H53" s="505">
        <f t="shared" si="0"/>
        <v>275</v>
      </c>
      <c r="I53" s="505">
        <v>20</v>
      </c>
      <c r="J53" s="505">
        <f t="shared" si="1"/>
        <v>295</v>
      </c>
      <c r="K53" s="503">
        <f t="shared" si="2"/>
        <v>4.916666666666667</v>
      </c>
      <c r="L53" s="505" t="s">
        <v>1533</v>
      </c>
    </row>
    <row r="54" spans="1:12" x14ac:dyDescent="0.25">
      <c r="A54" s="501" t="s">
        <v>1529</v>
      </c>
      <c r="B54" s="501" t="s">
        <v>1530</v>
      </c>
      <c r="C54" s="502" t="s">
        <v>120</v>
      </c>
      <c r="D54" s="502">
        <v>800</v>
      </c>
      <c r="E54" s="504">
        <v>55</v>
      </c>
      <c r="F54" s="504">
        <v>153</v>
      </c>
      <c r="G54" s="504">
        <v>100</v>
      </c>
      <c r="H54" s="505">
        <f t="shared" si="0"/>
        <v>308</v>
      </c>
      <c r="I54" s="505">
        <v>20</v>
      </c>
      <c r="J54" s="505">
        <f t="shared" si="1"/>
        <v>328</v>
      </c>
      <c r="K54" s="503">
        <f t="shared" si="2"/>
        <v>5.4666666666666668</v>
      </c>
      <c r="L54" s="505" t="s">
        <v>1533</v>
      </c>
    </row>
    <row r="55" spans="1:12" x14ac:dyDescent="0.25">
      <c r="A55" s="501" t="s">
        <v>1529</v>
      </c>
      <c r="B55" s="501" t="s">
        <v>1530</v>
      </c>
      <c r="C55" s="502" t="s">
        <v>120</v>
      </c>
      <c r="D55" s="502">
        <v>900</v>
      </c>
      <c r="E55" s="504">
        <v>55</v>
      </c>
      <c r="F55" s="504">
        <v>170</v>
      </c>
      <c r="G55" s="504">
        <v>100</v>
      </c>
      <c r="H55" s="505">
        <f t="shared" si="0"/>
        <v>325</v>
      </c>
      <c r="I55" s="505">
        <v>20</v>
      </c>
      <c r="J55" s="505">
        <f t="shared" si="1"/>
        <v>345</v>
      </c>
      <c r="K55" s="503">
        <f t="shared" si="2"/>
        <v>5.75</v>
      </c>
      <c r="L55" s="505" t="s">
        <v>1533</v>
      </c>
    </row>
    <row r="56" spans="1:12" x14ac:dyDescent="0.25">
      <c r="A56" s="501" t="s">
        <v>1529</v>
      </c>
      <c r="B56" s="501" t="s">
        <v>1530</v>
      </c>
      <c r="C56" s="502" t="s">
        <v>120</v>
      </c>
      <c r="D56" s="502">
        <v>1500</v>
      </c>
      <c r="E56" s="504">
        <v>55</v>
      </c>
      <c r="F56" s="504">
        <v>270</v>
      </c>
      <c r="G56" s="504">
        <v>100</v>
      </c>
      <c r="H56" s="505">
        <f t="shared" si="0"/>
        <v>425</v>
      </c>
      <c r="I56" s="505">
        <v>20</v>
      </c>
      <c r="J56" s="505">
        <f t="shared" si="1"/>
        <v>445</v>
      </c>
      <c r="K56" s="503">
        <f t="shared" si="2"/>
        <v>7.416666666666667</v>
      </c>
      <c r="L56" s="505" t="s">
        <v>1533</v>
      </c>
    </row>
    <row r="57" spans="1:12" x14ac:dyDescent="0.25">
      <c r="A57" s="501" t="s">
        <v>1529</v>
      </c>
      <c r="B57" s="501" t="s">
        <v>1530</v>
      </c>
      <c r="C57" s="502" t="s">
        <v>80</v>
      </c>
      <c r="D57" s="502">
        <v>150</v>
      </c>
      <c r="E57" s="502">
        <v>90</v>
      </c>
      <c r="F57" s="502">
        <v>50</v>
      </c>
      <c r="G57" s="502">
        <v>130</v>
      </c>
      <c r="H57" s="501">
        <f t="shared" si="0"/>
        <v>270</v>
      </c>
      <c r="I57" s="501">
        <v>20</v>
      </c>
      <c r="J57" s="501">
        <f t="shared" si="1"/>
        <v>290</v>
      </c>
      <c r="K57" s="503">
        <f t="shared" si="2"/>
        <v>4.833333333333333</v>
      </c>
      <c r="L57" s="501" t="s">
        <v>1531</v>
      </c>
    </row>
    <row r="58" spans="1:12" x14ac:dyDescent="0.25">
      <c r="A58" s="501" t="s">
        <v>1529</v>
      </c>
      <c r="B58" s="501" t="s">
        <v>1530</v>
      </c>
      <c r="C58" s="502" t="s">
        <v>80</v>
      </c>
      <c r="D58" s="502">
        <v>300</v>
      </c>
      <c r="E58" s="502">
        <v>115</v>
      </c>
      <c r="F58" s="502">
        <v>80</v>
      </c>
      <c r="G58" s="502">
        <v>130</v>
      </c>
      <c r="H58" s="501">
        <f t="shared" si="0"/>
        <v>325</v>
      </c>
      <c r="I58" s="501">
        <v>20</v>
      </c>
      <c r="J58" s="501">
        <f t="shared" si="1"/>
        <v>345</v>
      </c>
      <c r="K58" s="503">
        <f t="shared" si="2"/>
        <v>5.75</v>
      </c>
      <c r="L58" s="501" t="s">
        <v>1531</v>
      </c>
    </row>
    <row r="59" spans="1:12" x14ac:dyDescent="0.25">
      <c r="A59" s="501" t="s">
        <v>1529</v>
      </c>
      <c r="B59" s="501" t="s">
        <v>1530</v>
      </c>
      <c r="C59" s="502" t="s">
        <v>80</v>
      </c>
      <c r="D59" s="502">
        <v>600</v>
      </c>
      <c r="E59" s="504">
        <v>165</v>
      </c>
      <c r="F59" s="504">
        <v>140</v>
      </c>
      <c r="G59" s="504">
        <v>130</v>
      </c>
      <c r="H59" s="505">
        <f t="shared" si="0"/>
        <v>435</v>
      </c>
      <c r="I59" s="505">
        <v>20</v>
      </c>
      <c r="J59" s="505">
        <f t="shared" si="1"/>
        <v>455</v>
      </c>
      <c r="K59" s="503">
        <f t="shared" si="2"/>
        <v>7.583333333333333</v>
      </c>
      <c r="L59" s="505" t="s">
        <v>1533</v>
      </c>
    </row>
    <row r="60" spans="1:12" x14ac:dyDescent="0.25">
      <c r="A60" s="501" t="s">
        <v>1529</v>
      </c>
      <c r="B60" s="501" t="s">
        <v>1530</v>
      </c>
      <c r="C60" s="502" t="s">
        <v>80</v>
      </c>
      <c r="D60" s="502">
        <v>800</v>
      </c>
      <c r="E60" s="504">
        <v>198</v>
      </c>
      <c r="F60" s="504">
        <v>180</v>
      </c>
      <c r="G60" s="504">
        <v>130</v>
      </c>
      <c r="H60" s="505">
        <f t="shared" si="0"/>
        <v>508</v>
      </c>
      <c r="I60" s="505">
        <v>20</v>
      </c>
      <c r="J60" s="505">
        <f t="shared" si="1"/>
        <v>528</v>
      </c>
      <c r="K60" s="503">
        <f t="shared" si="2"/>
        <v>8.8000000000000007</v>
      </c>
      <c r="L60" s="505" t="s">
        <v>1533</v>
      </c>
    </row>
    <row r="61" spans="1:12" x14ac:dyDescent="0.25">
      <c r="A61" s="501" t="s">
        <v>1529</v>
      </c>
      <c r="B61" s="501" t="s">
        <v>1530</v>
      </c>
      <c r="C61" s="502" t="s">
        <v>80</v>
      </c>
      <c r="D61" s="502">
        <v>900</v>
      </c>
      <c r="E61" s="504">
        <v>215</v>
      </c>
      <c r="F61" s="504">
        <v>200</v>
      </c>
      <c r="G61" s="504">
        <v>130</v>
      </c>
      <c r="H61" s="505">
        <f t="shared" si="0"/>
        <v>545</v>
      </c>
      <c r="I61" s="505">
        <v>20</v>
      </c>
      <c r="J61" s="505">
        <f t="shared" si="1"/>
        <v>565</v>
      </c>
      <c r="K61" s="503">
        <f t="shared" si="2"/>
        <v>9.4166666666666661</v>
      </c>
      <c r="L61" s="505" t="s">
        <v>1533</v>
      </c>
    </row>
    <row r="62" spans="1:12" x14ac:dyDescent="0.25">
      <c r="A62" s="501" t="s">
        <v>1529</v>
      </c>
      <c r="B62" s="501" t="s">
        <v>1530</v>
      </c>
      <c r="C62" s="502" t="s">
        <v>80</v>
      </c>
      <c r="D62" s="502">
        <v>1500</v>
      </c>
      <c r="E62" s="504">
        <v>315</v>
      </c>
      <c r="F62" s="504">
        <v>320</v>
      </c>
      <c r="G62" s="504">
        <v>130</v>
      </c>
      <c r="H62" s="505">
        <f t="shared" si="0"/>
        <v>765</v>
      </c>
      <c r="I62" s="505">
        <v>20</v>
      </c>
      <c r="J62" s="505">
        <f t="shared" si="1"/>
        <v>785</v>
      </c>
      <c r="K62" s="503">
        <f t="shared" si="2"/>
        <v>13.083333333333334</v>
      </c>
      <c r="L62" s="505" t="s">
        <v>1533</v>
      </c>
    </row>
    <row r="63" spans="1:12" x14ac:dyDescent="0.25">
      <c r="A63" s="501" t="s">
        <v>1529</v>
      </c>
      <c r="B63" s="501" t="s">
        <v>1530</v>
      </c>
      <c r="C63" s="502" t="s">
        <v>119</v>
      </c>
      <c r="D63" s="502">
        <v>150</v>
      </c>
      <c r="E63" s="502">
        <v>115</v>
      </c>
      <c r="F63" s="502">
        <v>60</v>
      </c>
      <c r="G63" s="502">
        <v>150</v>
      </c>
      <c r="H63" s="501">
        <f t="shared" si="0"/>
        <v>325</v>
      </c>
      <c r="I63" s="501">
        <v>20</v>
      </c>
      <c r="J63" s="501">
        <f t="shared" si="1"/>
        <v>345</v>
      </c>
      <c r="K63" s="503">
        <f t="shared" si="2"/>
        <v>5.75</v>
      </c>
      <c r="L63" s="501" t="s">
        <v>1531</v>
      </c>
    </row>
    <row r="64" spans="1:12" x14ac:dyDescent="0.25">
      <c r="A64" s="501" t="s">
        <v>1529</v>
      </c>
      <c r="B64" s="501" t="s">
        <v>1530</v>
      </c>
      <c r="C64" s="502" t="s">
        <v>119</v>
      </c>
      <c r="D64" s="502">
        <v>300</v>
      </c>
      <c r="E64" s="502">
        <v>125</v>
      </c>
      <c r="F64" s="502">
        <v>95</v>
      </c>
      <c r="G64" s="502">
        <v>150</v>
      </c>
      <c r="H64" s="501">
        <f t="shared" si="0"/>
        <v>370</v>
      </c>
      <c r="I64" s="501">
        <v>20</v>
      </c>
      <c r="J64" s="501">
        <f t="shared" si="1"/>
        <v>390</v>
      </c>
      <c r="K64" s="503">
        <f t="shared" si="2"/>
        <v>6.5</v>
      </c>
      <c r="L64" s="501" t="s">
        <v>1531</v>
      </c>
    </row>
    <row r="65" spans="1:12" x14ac:dyDescent="0.25">
      <c r="A65" s="501" t="s">
        <v>1529</v>
      </c>
      <c r="B65" s="501" t="s">
        <v>1530</v>
      </c>
      <c r="C65" s="502" t="s">
        <v>119</v>
      </c>
      <c r="D65" s="502">
        <v>600</v>
      </c>
      <c r="E65" s="504">
        <v>145</v>
      </c>
      <c r="F65" s="504">
        <v>165</v>
      </c>
      <c r="G65" s="504">
        <v>150</v>
      </c>
      <c r="H65" s="505">
        <f t="shared" si="0"/>
        <v>460</v>
      </c>
      <c r="I65" s="505">
        <v>20</v>
      </c>
      <c r="J65" s="505">
        <f t="shared" si="1"/>
        <v>480</v>
      </c>
      <c r="K65" s="503">
        <f t="shared" si="2"/>
        <v>8</v>
      </c>
      <c r="L65" s="505" t="s">
        <v>1533</v>
      </c>
    </row>
    <row r="66" spans="1:12" x14ac:dyDescent="0.25">
      <c r="A66" s="501" t="s">
        <v>1529</v>
      </c>
      <c r="B66" s="501" t="s">
        <v>1530</v>
      </c>
      <c r="C66" s="502" t="s">
        <v>119</v>
      </c>
      <c r="D66" s="502">
        <v>800</v>
      </c>
      <c r="E66" s="504">
        <v>158</v>
      </c>
      <c r="F66" s="504">
        <v>212</v>
      </c>
      <c r="G66" s="504">
        <v>150</v>
      </c>
      <c r="H66" s="505">
        <f t="shared" si="0"/>
        <v>520</v>
      </c>
      <c r="I66" s="505">
        <v>20</v>
      </c>
      <c r="J66" s="505">
        <f t="shared" si="1"/>
        <v>540</v>
      </c>
      <c r="K66" s="503">
        <f t="shared" si="2"/>
        <v>9</v>
      </c>
      <c r="L66" s="505" t="s">
        <v>1533</v>
      </c>
    </row>
    <row r="67" spans="1:12" x14ac:dyDescent="0.25">
      <c r="A67" s="501" t="s">
        <v>1529</v>
      </c>
      <c r="B67" s="501" t="s">
        <v>1530</v>
      </c>
      <c r="C67" s="502" t="s">
        <v>119</v>
      </c>
      <c r="D67" s="502">
        <v>900</v>
      </c>
      <c r="E67" s="504">
        <v>165</v>
      </c>
      <c r="F67" s="504">
        <v>235</v>
      </c>
      <c r="G67" s="504">
        <v>150</v>
      </c>
      <c r="H67" s="505">
        <f t="shared" si="0"/>
        <v>550</v>
      </c>
      <c r="I67" s="505">
        <v>20</v>
      </c>
      <c r="J67" s="505">
        <f t="shared" si="1"/>
        <v>570</v>
      </c>
      <c r="K67" s="503">
        <f t="shared" si="2"/>
        <v>9.5</v>
      </c>
      <c r="L67" s="505" t="s">
        <v>1533</v>
      </c>
    </row>
    <row r="68" spans="1:12" x14ac:dyDescent="0.25">
      <c r="A68" s="501" t="s">
        <v>1529</v>
      </c>
      <c r="B68" s="501" t="s">
        <v>1530</v>
      </c>
      <c r="C68" s="502" t="s">
        <v>119</v>
      </c>
      <c r="D68" s="502">
        <v>1500</v>
      </c>
      <c r="E68" s="504">
        <v>205</v>
      </c>
      <c r="F68" s="504">
        <v>375</v>
      </c>
      <c r="G68" s="504">
        <v>150</v>
      </c>
      <c r="H68" s="505">
        <f t="shared" si="0"/>
        <v>730</v>
      </c>
      <c r="I68" s="505">
        <v>20</v>
      </c>
      <c r="J68" s="505">
        <f t="shared" si="1"/>
        <v>750</v>
      </c>
      <c r="K68" s="503">
        <f t="shared" si="2"/>
        <v>12.5</v>
      </c>
      <c r="L68" s="505" t="s">
        <v>1533</v>
      </c>
    </row>
    <row r="69" spans="1:12" x14ac:dyDescent="0.25">
      <c r="A69" s="501" t="s">
        <v>1529</v>
      </c>
      <c r="B69" s="501" t="s">
        <v>1530</v>
      </c>
      <c r="C69" s="502" t="s">
        <v>179</v>
      </c>
      <c r="D69" s="502">
        <v>150</v>
      </c>
      <c r="E69" s="502">
        <v>140</v>
      </c>
      <c r="F69" s="502">
        <v>75</v>
      </c>
      <c r="G69" s="502">
        <v>180</v>
      </c>
      <c r="H69" s="501">
        <f t="shared" si="0"/>
        <v>395</v>
      </c>
      <c r="I69" s="501">
        <v>25</v>
      </c>
      <c r="J69" s="501">
        <f t="shared" si="1"/>
        <v>420</v>
      </c>
      <c r="K69" s="503">
        <f t="shared" si="2"/>
        <v>7</v>
      </c>
      <c r="L69" s="501" t="s">
        <v>1531</v>
      </c>
    </row>
    <row r="70" spans="1:12" x14ac:dyDescent="0.25">
      <c r="A70" s="501" t="s">
        <v>1529</v>
      </c>
      <c r="B70" s="501" t="s">
        <v>1530</v>
      </c>
      <c r="C70" s="502" t="s">
        <v>179</v>
      </c>
      <c r="D70" s="502">
        <v>300</v>
      </c>
      <c r="E70" s="502">
        <v>155</v>
      </c>
      <c r="F70" s="502">
        <v>110</v>
      </c>
      <c r="G70" s="502">
        <v>180</v>
      </c>
      <c r="H70" s="501">
        <f t="shared" si="0"/>
        <v>445</v>
      </c>
      <c r="I70" s="501">
        <v>25</v>
      </c>
      <c r="J70" s="501">
        <f t="shared" si="1"/>
        <v>470</v>
      </c>
      <c r="K70" s="503">
        <f t="shared" si="2"/>
        <v>7.833333333333333</v>
      </c>
      <c r="L70" s="501" t="s">
        <v>1531</v>
      </c>
    </row>
    <row r="71" spans="1:12" x14ac:dyDescent="0.25">
      <c r="A71" s="501" t="s">
        <v>1529</v>
      </c>
      <c r="B71" s="501" t="s">
        <v>1530</v>
      </c>
      <c r="C71" s="502" t="s">
        <v>179</v>
      </c>
      <c r="D71" s="502">
        <v>600</v>
      </c>
      <c r="E71" s="504">
        <v>185</v>
      </c>
      <c r="F71" s="504">
        <v>180</v>
      </c>
      <c r="G71" s="504">
        <v>180</v>
      </c>
      <c r="H71" s="505">
        <f t="shared" si="0"/>
        <v>545</v>
      </c>
      <c r="I71" s="505">
        <v>25</v>
      </c>
      <c r="J71" s="505">
        <f t="shared" si="1"/>
        <v>570</v>
      </c>
      <c r="K71" s="503">
        <f t="shared" si="2"/>
        <v>9.5</v>
      </c>
      <c r="L71" s="505" t="s">
        <v>1533</v>
      </c>
    </row>
    <row r="72" spans="1:12" x14ac:dyDescent="0.25">
      <c r="A72" s="501" t="s">
        <v>1529</v>
      </c>
      <c r="B72" s="501" t="s">
        <v>1530</v>
      </c>
      <c r="C72" s="502" t="s">
        <v>179</v>
      </c>
      <c r="D72" s="502">
        <v>800</v>
      </c>
      <c r="E72" s="504">
        <v>205</v>
      </c>
      <c r="F72" s="504">
        <v>227</v>
      </c>
      <c r="G72" s="504">
        <v>180</v>
      </c>
      <c r="H72" s="505">
        <f t="shared" si="0"/>
        <v>612</v>
      </c>
      <c r="I72" s="505">
        <v>25</v>
      </c>
      <c r="J72" s="505">
        <f t="shared" si="1"/>
        <v>637</v>
      </c>
      <c r="K72" s="503">
        <f t="shared" si="2"/>
        <v>10.616666666666667</v>
      </c>
      <c r="L72" s="505" t="s">
        <v>1533</v>
      </c>
    </row>
    <row r="73" spans="1:12" x14ac:dyDescent="0.25">
      <c r="A73" s="501" t="s">
        <v>1529</v>
      </c>
      <c r="B73" s="501" t="s">
        <v>1530</v>
      </c>
      <c r="C73" s="502" t="s">
        <v>179</v>
      </c>
      <c r="D73" s="502">
        <v>900</v>
      </c>
      <c r="E73" s="504">
        <v>215</v>
      </c>
      <c r="F73" s="504">
        <v>250</v>
      </c>
      <c r="G73" s="504">
        <v>180</v>
      </c>
      <c r="H73" s="505">
        <f t="shared" si="0"/>
        <v>645</v>
      </c>
      <c r="I73" s="505">
        <v>25</v>
      </c>
      <c r="J73" s="505">
        <f t="shared" si="1"/>
        <v>670</v>
      </c>
      <c r="K73" s="503">
        <f t="shared" si="2"/>
        <v>11.166666666666666</v>
      </c>
      <c r="L73" s="505" t="s">
        <v>1533</v>
      </c>
    </row>
    <row r="74" spans="1:12" x14ac:dyDescent="0.25">
      <c r="A74" s="501" t="s">
        <v>1529</v>
      </c>
      <c r="B74" s="501" t="s">
        <v>1530</v>
      </c>
      <c r="C74" s="502" t="s">
        <v>179</v>
      </c>
      <c r="D74" s="502">
        <v>1500</v>
      </c>
      <c r="E74" s="504">
        <v>275</v>
      </c>
      <c r="F74" s="504">
        <v>390</v>
      </c>
      <c r="G74" s="504">
        <v>180</v>
      </c>
      <c r="H74" s="505">
        <f t="shared" si="0"/>
        <v>845</v>
      </c>
      <c r="I74" s="505">
        <v>25</v>
      </c>
      <c r="J74" s="505">
        <f t="shared" si="1"/>
        <v>870</v>
      </c>
      <c r="K74" s="503">
        <f t="shared" si="2"/>
        <v>14.5</v>
      </c>
      <c r="L74" s="505" t="s">
        <v>1533</v>
      </c>
    </row>
    <row r="75" spans="1:12" x14ac:dyDescent="0.25">
      <c r="A75" s="501" t="s">
        <v>1529</v>
      </c>
      <c r="B75" s="501" t="s">
        <v>1530</v>
      </c>
      <c r="C75" s="502" t="s">
        <v>118</v>
      </c>
      <c r="D75" s="502">
        <v>150</v>
      </c>
      <c r="E75" s="502">
        <v>150</v>
      </c>
      <c r="F75" s="502">
        <v>80</v>
      </c>
      <c r="G75" s="502">
        <v>225</v>
      </c>
      <c r="H75" s="501">
        <f t="shared" si="0"/>
        <v>455</v>
      </c>
      <c r="I75" s="501">
        <v>25</v>
      </c>
      <c r="J75" s="501">
        <f t="shared" si="1"/>
        <v>480</v>
      </c>
      <c r="K75" s="503">
        <f t="shared" si="2"/>
        <v>8</v>
      </c>
      <c r="L75" s="501" t="s">
        <v>1531</v>
      </c>
    </row>
    <row r="76" spans="1:12" x14ac:dyDescent="0.25">
      <c r="A76" s="501" t="s">
        <v>1529</v>
      </c>
      <c r="B76" s="501" t="s">
        <v>1530</v>
      </c>
      <c r="C76" s="502" t="s">
        <v>118</v>
      </c>
      <c r="D76" s="502">
        <v>300</v>
      </c>
      <c r="E76" s="502">
        <v>165</v>
      </c>
      <c r="F76" s="502">
        <v>125</v>
      </c>
      <c r="G76" s="502">
        <v>225</v>
      </c>
      <c r="H76" s="501">
        <f t="shared" si="0"/>
        <v>515</v>
      </c>
      <c r="I76" s="501">
        <v>25</v>
      </c>
      <c r="J76" s="501">
        <f t="shared" si="1"/>
        <v>540</v>
      </c>
      <c r="K76" s="503">
        <f t="shared" si="2"/>
        <v>9</v>
      </c>
      <c r="L76" s="501" t="s">
        <v>1531</v>
      </c>
    </row>
    <row r="77" spans="1:12" x14ac:dyDescent="0.25">
      <c r="A77" s="501" t="s">
        <v>1529</v>
      </c>
      <c r="B77" s="501" t="s">
        <v>1530</v>
      </c>
      <c r="C77" s="502" t="s">
        <v>118</v>
      </c>
      <c r="D77" s="502">
        <v>600</v>
      </c>
      <c r="E77" s="504">
        <v>195</v>
      </c>
      <c r="F77" s="504">
        <v>215</v>
      </c>
      <c r="G77" s="504">
        <v>225</v>
      </c>
      <c r="H77" s="505">
        <f t="shared" si="0"/>
        <v>635</v>
      </c>
      <c r="I77" s="505">
        <v>25</v>
      </c>
      <c r="J77" s="505">
        <f t="shared" si="1"/>
        <v>660</v>
      </c>
      <c r="K77" s="503">
        <f t="shared" si="2"/>
        <v>11</v>
      </c>
      <c r="L77" s="505" t="s">
        <v>1533</v>
      </c>
    </row>
    <row r="78" spans="1:12" x14ac:dyDescent="0.25">
      <c r="A78" s="501" t="s">
        <v>1529</v>
      </c>
      <c r="B78" s="501" t="s">
        <v>1530</v>
      </c>
      <c r="C78" s="502" t="s">
        <v>118</v>
      </c>
      <c r="D78" s="502">
        <v>800</v>
      </c>
      <c r="E78" s="504">
        <v>215</v>
      </c>
      <c r="F78" s="504">
        <v>275</v>
      </c>
      <c r="G78" s="504">
        <v>225</v>
      </c>
      <c r="H78" s="505">
        <f t="shared" si="0"/>
        <v>715</v>
      </c>
      <c r="I78" s="505">
        <v>25</v>
      </c>
      <c r="J78" s="505">
        <f t="shared" si="1"/>
        <v>740</v>
      </c>
      <c r="K78" s="503">
        <f t="shared" si="2"/>
        <v>12.333333333333334</v>
      </c>
      <c r="L78" s="505" t="s">
        <v>1533</v>
      </c>
    </row>
    <row r="79" spans="1:12" x14ac:dyDescent="0.25">
      <c r="A79" s="501" t="s">
        <v>1529</v>
      </c>
      <c r="B79" s="501" t="s">
        <v>1530</v>
      </c>
      <c r="C79" s="502" t="s">
        <v>118</v>
      </c>
      <c r="D79" s="502">
        <v>900</v>
      </c>
      <c r="E79" s="504">
        <v>225</v>
      </c>
      <c r="F79" s="504">
        <v>305</v>
      </c>
      <c r="G79" s="504">
        <v>225</v>
      </c>
      <c r="H79" s="505">
        <f t="shared" ref="H79:H142" si="6">E79+F79+G79</f>
        <v>755</v>
      </c>
      <c r="I79" s="505">
        <v>25</v>
      </c>
      <c r="J79" s="505">
        <f t="shared" ref="J79:J142" si="7">H79+I79</f>
        <v>780</v>
      </c>
      <c r="K79" s="503">
        <f t="shared" ref="K79:K142" si="8">J79/60</f>
        <v>13</v>
      </c>
      <c r="L79" s="505" t="s">
        <v>1533</v>
      </c>
    </row>
    <row r="80" spans="1:12" x14ac:dyDescent="0.25">
      <c r="A80" s="501" t="s">
        <v>1529</v>
      </c>
      <c r="B80" s="501" t="s">
        <v>1530</v>
      </c>
      <c r="C80" s="502" t="s">
        <v>118</v>
      </c>
      <c r="D80" s="502">
        <v>1500</v>
      </c>
      <c r="E80" s="504">
        <v>285</v>
      </c>
      <c r="F80" s="504">
        <v>485</v>
      </c>
      <c r="G80" s="504">
        <v>225</v>
      </c>
      <c r="H80" s="505">
        <f t="shared" si="6"/>
        <v>995</v>
      </c>
      <c r="I80" s="505">
        <v>25</v>
      </c>
      <c r="J80" s="505">
        <f t="shared" si="7"/>
        <v>1020</v>
      </c>
      <c r="K80" s="503">
        <f t="shared" si="8"/>
        <v>17</v>
      </c>
      <c r="L80" s="505" t="s">
        <v>1533</v>
      </c>
    </row>
    <row r="81" spans="1:12" x14ac:dyDescent="0.25">
      <c r="A81" s="501" t="s">
        <v>1529</v>
      </c>
      <c r="B81" s="501" t="s">
        <v>1530</v>
      </c>
      <c r="C81" s="502" t="s">
        <v>688</v>
      </c>
      <c r="D81" s="502">
        <v>150</v>
      </c>
      <c r="E81" s="502">
        <v>180</v>
      </c>
      <c r="F81" s="502">
        <v>90</v>
      </c>
      <c r="G81" s="502">
        <v>270</v>
      </c>
      <c r="H81" s="501">
        <f t="shared" si="6"/>
        <v>540</v>
      </c>
      <c r="I81" s="501">
        <v>25</v>
      </c>
      <c r="J81" s="501">
        <f t="shared" si="7"/>
        <v>565</v>
      </c>
      <c r="K81" s="503">
        <f t="shared" si="8"/>
        <v>9.4166666666666661</v>
      </c>
      <c r="L81" s="501" t="s">
        <v>1531</v>
      </c>
    </row>
    <row r="82" spans="1:12" x14ac:dyDescent="0.25">
      <c r="A82" s="501" t="s">
        <v>1529</v>
      </c>
      <c r="B82" s="501" t="s">
        <v>1530</v>
      </c>
      <c r="C82" s="502" t="s">
        <v>688</v>
      </c>
      <c r="D82" s="502">
        <v>300</v>
      </c>
      <c r="E82" s="502">
        <v>210</v>
      </c>
      <c r="F82" s="502">
        <v>145</v>
      </c>
      <c r="G82" s="502">
        <v>270</v>
      </c>
      <c r="H82" s="501">
        <f t="shared" si="6"/>
        <v>625</v>
      </c>
      <c r="I82" s="501">
        <v>25</v>
      </c>
      <c r="J82" s="501">
        <f t="shared" si="7"/>
        <v>650</v>
      </c>
      <c r="K82" s="503">
        <f t="shared" si="8"/>
        <v>10.833333333333334</v>
      </c>
      <c r="L82" s="501" t="s">
        <v>1531</v>
      </c>
    </row>
    <row r="83" spans="1:12" x14ac:dyDescent="0.25">
      <c r="A83" s="501" t="s">
        <v>1529</v>
      </c>
      <c r="B83" s="501" t="s">
        <v>1530</v>
      </c>
      <c r="C83" s="502" t="s">
        <v>688</v>
      </c>
      <c r="D83" s="502">
        <v>600</v>
      </c>
      <c r="E83" s="504">
        <v>270</v>
      </c>
      <c r="F83" s="504">
        <v>255</v>
      </c>
      <c r="G83" s="504">
        <v>270</v>
      </c>
      <c r="H83" s="505">
        <f t="shared" si="6"/>
        <v>795</v>
      </c>
      <c r="I83" s="505">
        <v>25</v>
      </c>
      <c r="J83" s="505">
        <f t="shared" si="7"/>
        <v>820</v>
      </c>
      <c r="K83" s="503">
        <f t="shared" si="8"/>
        <v>13.666666666666666</v>
      </c>
      <c r="L83" s="505" t="s">
        <v>1533</v>
      </c>
    </row>
    <row r="84" spans="1:12" x14ac:dyDescent="0.25">
      <c r="A84" s="501" t="s">
        <v>1529</v>
      </c>
      <c r="B84" s="501" t="s">
        <v>1530</v>
      </c>
      <c r="C84" s="502" t="s">
        <v>688</v>
      </c>
      <c r="D84" s="502">
        <v>800</v>
      </c>
      <c r="E84" s="504">
        <v>310</v>
      </c>
      <c r="F84" s="504">
        <v>328</v>
      </c>
      <c r="G84" s="504">
        <v>270</v>
      </c>
      <c r="H84" s="505">
        <f t="shared" si="6"/>
        <v>908</v>
      </c>
      <c r="I84" s="505">
        <v>25</v>
      </c>
      <c r="J84" s="505">
        <f t="shared" si="7"/>
        <v>933</v>
      </c>
      <c r="K84" s="503">
        <f t="shared" si="8"/>
        <v>15.55</v>
      </c>
      <c r="L84" s="505" t="s">
        <v>1533</v>
      </c>
    </row>
    <row r="85" spans="1:12" x14ac:dyDescent="0.25">
      <c r="A85" s="501" t="s">
        <v>1529</v>
      </c>
      <c r="B85" s="501" t="s">
        <v>1530</v>
      </c>
      <c r="C85" s="502" t="s">
        <v>688</v>
      </c>
      <c r="D85" s="502">
        <v>900</v>
      </c>
      <c r="E85" s="504">
        <v>330</v>
      </c>
      <c r="F85" s="504">
        <v>365</v>
      </c>
      <c r="G85" s="504">
        <v>270</v>
      </c>
      <c r="H85" s="505">
        <f t="shared" si="6"/>
        <v>965</v>
      </c>
      <c r="I85" s="505">
        <v>25</v>
      </c>
      <c r="J85" s="505">
        <f t="shared" si="7"/>
        <v>990</v>
      </c>
      <c r="K85" s="503">
        <f t="shared" si="8"/>
        <v>16.5</v>
      </c>
      <c r="L85" s="505" t="s">
        <v>1533</v>
      </c>
    </row>
    <row r="86" spans="1:12" x14ac:dyDescent="0.25">
      <c r="A86" s="501" t="s">
        <v>1529</v>
      </c>
      <c r="B86" s="501" t="s">
        <v>1530</v>
      </c>
      <c r="C86" s="502" t="s">
        <v>688</v>
      </c>
      <c r="D86" s="502">
        <v>1500</v>
      </c>
      <c r="E86" s="504">
        <v>450</v>
      </c>
      <c r="F86" s="504">
        <v>585</v>
      </c>
      <c r="G86" s="504">
        <v>270</v>
      </c>
      <c r="H86" s="505">
        <f t="shared" si="6"/>
        <v>1305</v>
      </c>
      <c r="I86" s="505">
        <v>25</v>
      </c>
      <c r="J86" s="505">
        <f t="shared" si="7"/>
        <v>1330</v>
      </c>
      <c r="K86" s="503">
        <f t="shared" si="8"/>
        <v>22.166666666666668</v>
      </c>
      <c r="L86" s="505" t="s">
        <v>1533</v>
      </c>
    </row>
    <row r="87" spans="1:12" x14ac:dyDescent="0.25">
      <c r="A87" s="501" t="s">
        <v>1529</v>
      </c>
      <c r="B87" s="501" t="s">
        <v>1530</v>
      </c>
      <c r="C87" s="502" t="s">
        <v>171</v>
      </c>
      <c r="D87" s="502">
        <v>150</v>
      </c>
      <c r="E87" s="502">
        <v>210</v>
      </c>
      <c r="F87" s="502">
        <v>100</v>
      </c>
      <c r="G87" s="502">
        <v>300</v>
      </c>
      <c r="H87" s="501">
        <f t="shared" si="6"/>
        <v>610</v>
      </c>
      <c r="I87" s="501">
        <v>25</v>
      </c>
      <c r="J87" s="501">
        <f t="shared" si="7"/>
        <v>635</v>
      </c>
      <c r="K87" s="503">
        <f t="shared" si="8"/>
        <v>10.583333333333334</v>
      </c>
      <c r="L87" s="501" t="s">
        <v>1531</v>
      </c>
    </row>
    <row r="88" spans="1:12" x14ac:dyDescent="0.25">
      <c r="A88" s="501" t="s">
        <v>1529</v>
      </c>
      <c r="B88" s="501" t="s">
        <v>1530</v>
      </c>
      <c r="C88" s="502" t="s">
        <v>171</v>
      </c>
      <c r="D88" s="502">
        <v>300</v>
      </c>
      <c r="E88" s="502">
        <v>240</v>
      </c>
      <c r="F88" s="502">
        <v>160</v>
      </c>
      <c r="G88" s="502">
        <v>300</v>
      </c>
      <c r="H88" s="501">
        <f t="shared" si="6"/>
        <v>700</v>
      </c>
      <c r="I88" s="501">
        <v>25</v>
      </c>
      <c r="J88" s="501">
        <f t="shared" si="7"/>
        <v>725</v>
      </c>
      <c r="K88" s="503">
        <f t="shared" si="8"/>
        <v>12.083333333333334</v>
      </c>
      <c r="L88" s="501" t="s">
        <v>1531</v>
      </c>
    </row>
    <row r="89" spans="1:12" x14ac:dyDescent="0.25">
      <c r="A89" s="501" t="s">
        <v>1529</v>
      </c>
      <c r="B89" s="501" t="s">
        <v>1530</v>
      </c>
      <c r="C89" s="502" t="s">
        <v>171</v>
      </c>
      <c r="D89" s="502">
        <v>600</v>
      </c>
      <c r="E89" s="504">
        <v>300</v>
      </c>
      <c r="F89" s="504">
        <v>280</v>
      </c>
      <c r="G89" s="504">
        <v>300</v>
      </c>
      <c r="H89" s="505">
        <f t="shared" si="6"/>
        <v>880</v>
      </c>
      <c r="I89" s="505">
        <v>25</v>
      </c>
      <c r="J89" s="505">
        <f t="shared" si="7"/>
        <v>905</v>
      </c>
      <c r="K89" s="503">
        <f t="shared" si="8"/>
        <v>15.083333333333334</v>
      </c>
      <c r="L89" s="505" t="s">
        <v>1533</v>
      </c>
    </row>
    <row r="90" spans="1:12" x14ac:dyDescent="0.25">
      <c r="A90" s="501" t="s">
        <v>1529</v>
      </c>
      <c r="B90" s="501" t="s">
        <v>1530</v>
      </c>
      <c r="C90" s="502" t="s">
        <v>171</v>
      </c>
      <c r="D90" s="502">
        <v>800</v>
      </c>
      <c r="E90" s="504">
        <v>340</v>
      </c>
      <c r="F90" s="504">
        <v>360</v>
      </c>
      <c r="G90" s="504">
        <v>300</v>
      </c>
      <c r="H90" s="505">
        <f t="shared" si="6"/>
        <v>1000</v>
      </c>
      <c r="I90" s="505">
        <v>25</v>
      </c>
      <c r="J90" s="505">
        <f t="shared" si="7"/>
        <v>1025</v>
      </c>
      <c r="K90" s="503">
        <f t="shared" si="8"/>
        <v>17.083333333333332</v>
      </c>
      <c r="L90" s="505" t="s">
        <v>1533</v>
      </c>
    </row>
    <row r="91" spans="1:12" x14ac:dyDescent="0.25">
      <c r="A91" s="501" t="s">
        <v>1529</v>
      </c>
      <c r="B91" s="501" t="s">
        <v>1530</v>
      </c>
      <c r="C91" s="502" t="s">
        <v>171</v>
      </c>
      <c r="D91" s="502">
        <v>900</v>
      </c>
      <c r="E91" s="504">
        <v>360</v>
      </c>
      <c r="F91" s="504">
        <v>400</v>
      </c>
      <c r="G91" s="504">
        <v>300</v>
      </c>
      <c r="H91" s="505">
        <f t="shared" si="6"/>
        <v>1060</v>
      </c>
      <c r="I91" s="505">
        <v>25</v>
      </c>
      <c r="J91" s="505">
        <f t="shared" si="7"/>
        <v>1085</v>
      </c>
      <c r="K91" s="503">
        <f t="shared" si="8"/>
        <v>18.083333333333332</v>
      </c>
      <c r="L91" s="505" t="s">
        <v>1533</v>
      </c>
    </row>
    <row r="92" spans="1:12" x14ac:dyDescent="0.25">
      <c r="A92" s="501" t="s">
        <v>1529</v>
      </c>
      <c r="B92" s="501" t="s">
        <v>1530</v>
      </c>
      <c r="C92" s="502" t="s">
        <v>171</v>
      </c>
      <c r="D92" s="502">
        <v>1500</v>
      </c>
      <c r="E92" s="504">
        <v>480</v>
      </c>
      <c r="F92" s="504">
        <v>640</v>
      </c>
      <c r="G92" s="504">
        <v>300</v>
      </c>
      <c r="H92" s="505">
        <f t="shared" si="6"/>
        <v>1420</v>
      </c>
      <c r="I92" s="505">
        <v>25</v>
      </c>
      <c r="J92" s="505">
        <f t="shared" si="7"/>
        <v>1445</v>
      </c>
      <c r="K92" s="503">
        <f t="shared" si="8"/>
        <v>24.083333333333332</v>
      </c>
      <c r="L92" s="505" t="s">
        <v>1533</v>
      </c>
    </row>
    <row r="93" spans="1:12" x14ac:dyDescent="0.25">
      <c r="A93" s="501" t="s">
        <v>1529</v>
      </c>
      <c r="B93" s="501" t="s">
        <v>1530</v>
      </c>
      <c r="C93" s="502" t="s">
        <v>195</v>
      </c>
      <c r="D93" s="502">
        <v>150</v>
      </c>
      <c r="E93" s="502">
        <v>230</v>
      </c>
      <c r="F93" s="502">
        <v>120</v>
      </c>
      <c r="G93" s="502">
        <v>330</v>
      </c>
      <c r="H93" s="501">
        <f t="shared" si="6"/>
        <v>680</v>
      </c>
      <c r="I93" s="501">
        <v>25</v>
      </c>
      <c r="J93" s="501">
        <f t="shared" si="7"/>
        <v>705</v>
      </c>
      <c r="K93" s="503">
        <f t="shared" si="8"/>
        <v>11.75</v>
      </c>
      <c r="L93" s="501" t="s">
        <v>1531</v>
      </c>
    </row>
    <row r="94" spans="1:12" x14ac:dyDescent="0.25">
      <c r="A94" s="501" t="s">
        <v>1529</v>
      </c>
      <c r="B94" s="501" t="s">
        <v>1530</v>
      </c>
      <c r="C94" s="502" t="s">
        <v>195</v>
      </c>
      <c r="D94" s="502">
        <v>300</v>
      </c>
      <c r="E94" s="502">
        <v>270</v>
      </c>
      <c r="F94" s="502">
        <v>180</v>
      </c>
      <c r="G94" s="502">
        <v>330</v>
      </c>
      <c r="H94" s="501">
        <f t="shared" si="6"/>
        <v>780</v>
      </c>
      <c r="I94" s="501">
        <v>25</v>
      </c>
      <c r="J94" s="501">
        <f t="shared" si="7"/>
        <v>805</v>
      </c>
      <c r="K94" s="503">
        <f t="shared" si="8"/>
        <v>13.416666666666666</v>
      </c>
      <c r="L94" s="501" t="s">
        <v>1531</v>
      </c>
    </row>
    <row r="95" spans="1:12" x14ac:dyDescent="0.25">
      <c r="A95" s="501" t="s">
        <v>1529</v>
      </c>
      <c r="B95" s="501" t="s">
        <v>1530</v>
      </c>
      <c r="C95" s="502" t="s">
        <v>195</v>
      </c>
      <c r="D95" s="502">
        <v>600</v>
      </c>
      <c r="E95" s="504">
        <v>350</v>
      </c>
      <c r="F95" s="504">
        <v>300</v>
      </c>
      <c r="G95" s="504">
        <v>330</v>
      </c>
      <c r="H95" s="505">
        <f t="shared" si="6"/>
        <v>980</v>
      </c>
      <c r="I95" s="505">
        <v>25</v>
      </c>
      <c r="J95" s="505">
        <f t="shared" si="7"/>
        <v>1005</v>
      </c>
      <c r="K95" s="503">
        <f t="shared" si="8"/>
        <v>16.75</v>
      </c>
      <c r="L95" s="505" t="s">
        <v>1533</v>
      </c>
    </row>
    <row r="96" spans="1:12" x14ac:dyDescent="0.25">
      <c r="A96" s="501" t="s">
        <v>1529</v>
      </c>
      <c r="B96" s="501" t="s">
        <v>1530</v>
      </c>
      <c r="C96" s="502" t="s">
        <v>195</v>
      </c>
      <c r="D96" s="502">
        <v>800</v>
      </c>
      <c r="E96" s="504">
        <v>403</v>
      </c>
      <c r="F96" s="504">
        <v>380</v>
      </c>
      <c r="G96" s="504">
        <v>330</v>
      </c>
      <c r="H96" s="505">
        <f t="shared" si="6"/>
        <v>1113</v>
      </c>
      <c r="I96" s="505">
        <v>25</v>
      </c>
      <c r="J96" s="505">
        <f t="shared" si="7"/>
        <v>1138</v>
      </c>
      <c r="K96" s="503">
        <f t="shared" si="8"/>
        <v>18.966666666666665</v>
      </c>
      <c r="L96" s="505" t="s">
        <v>1533</v>
      </c>
    </row>
    <row r="97" spans="1:12" x14ac:dyDescent="0.25">
      <c r="A97" s="501" t="s">
        <v>1529</v>
      </c>
      <c r="B97" s="501" t="s">
        <v>1530</v>
      </c>
      <c r="C97" s="502" t="s">
        <v>195</v>
      </c>
      <c r="D97" s="502">
        <v>900</v>
      </c>
      <c r="E97" s="504">
        <v>430</v>
      </c>
      <c r="F97" s="504">
        <v>420</v>
      </c>
      <c r="G97" s="504">
        <v>330</v>
      </c>
      <c r="H97" s="505">
        <f t="shared" si="6"/>
        <v>1180</v>
      </c>
      <c r="I97" s="505">
        <v>25</v>
      </c>
      <c r="J97" s="505">
        <f t="shared" si="7"/>
        <v>1205</v>
      </c>
      <c r="K97" s="503">
        <f t="shared" si="8"/>
        <v>20.083333333333332</v>
      </c>
      <c r="L97" s="505" t="s">
        <v>1533</v>
      </c>
    </row>
    <row r="98" spans="1:12" x14ac:dyDescent="0.25">
      <c r="A98" s="501" t="s">
        <v>1529</v>
      </c>
      <c r="B98" s="501" t="s">
        <v>1530</v>
      </c>
      <c r="C98" s="502" t="s">
        <v>195</v>
      </c>
      <c r="D98" s="502">
        <v>1500</v>
      </c>
      <c r="E98" s="504">
        <v>590</v>
      </c>
      <c r="F98" s="504">
        <v>660</v>
      </c>
      <c r="G98" s="504">
        <v>330</v>
      </c>
      <c r="H98" s="505">
        <f t="shared" si="6"/>
        <v>1580</v>
      </c>
      <c r="I98" s="505">
        <v>25</v>
      </c>
      <c r="J98" s="505">
        <f t="shared" si="7"/>
        <v>1605</v>
      </c>
      <c r="K98" s="503">
        <f t="shared" si="8"/>
        <v>26.75</v>
      </c>
      <c r="L98" s="505" t="s">
        <v>1533</v>
      </c>
    </row>
    <row r="99" spans="1:12" x14ac:dyDescent="0.25">
      <c r="A99" s="501" t="s">
        <v>1529</v>
      </c>
      <c r="B99" s="501" t="s">
        <v>1530</v>
      </c>
      <c r="C99" s="502" t="s">
        <v>1406</v>
      </c>
      <c r="D99" s="502">
        <v>150</v>
      </c>
      <c r="E99" s="502">
        <v>250</v>
      </c>
      <c r="F99" s="502">
        <v>135</v>
      </c>
      <c r="G99" s="502">
        <v>385</v>
      </c>
      <c r="H99" s="501">
        <f t="shared" si="6"/>
        <v>770</v>
      </c>
      <c r="I99" s="501">
        <v>30</v>
      </c>
      <c r="J99" s="501">
        <f t="shared" si="7"/>
        <v>800</v>
      </c>
      <c r="K99" s="503">
        <f t="shared" si="8"/>
        <v>13.333333333333334</v>
      </c>
      <c r="L99" s="501" t="s">
        <v>1531</v>
      </c>
    </row>
    <row r="100" spans="1:12" x14ac:dyDescent="0.25">
      <c r="A100" s="501" t="s">
        <v>1529</v>
      </c>
      <c r="B100" s="501" t="s">
        <v>1530</v>
      </c>
      <c r="C100" s="502" t="s">
        <v>1406</v>
      </c>
      <c r="D100" s="502">
        <v>300</v>
      </c>
      <c r="E100" s="502">
        <v>300</v>
      </c>
      <c r="F100" s="502">
        <v>210</v>
      </c>
      <c r="G100" s="502">
        <v>385</v>
      </c>
      <c r="H100" s="501">
        <f t="shared" si="6"/>
        <v>895</v>
      </c>
      <c r="I100" s="501">
        <v>30</v>
      </c>
      <c r="J100" s="501">
        <f t="shared" si="7"/>
        <v>925</v>
      </c>
      <c r="K100" s="503">
        <f t="shared" si="8"/>
        <v>15.416666666666666</v>
      </c>
      <c r="L100" s="501" t="s">
        <v>1531</v>
      </c>
    </row>
    <row r="101" spans="1:12" x14ac:dyDescent="0.25">
      <c r="A101" s="501" t="s">
        <v>1529</v>
      </c>
      <c r="B101" s="501" t="s">
        <v>1530</v>
      </c>
      <c r="C101" s="502" t="s">
        <v>1406</v>
      </c>
      <c r="D101" s="502">
        <v>600</v>
      </c>
      <c r="E101" s="504">
        <v>400</v>
      </c>
      <c r="F101" s="504">
        <v>360</v>
      </c>
      <c r="G101" s="504">
        <v>385</v>
      </c>
      <c r="H101" s="505">
        <f t="shared" si="6"/>
        <v>1145</v>
      </c>
      <c r="I101" s="505">
        <v>30</v>
      </c>
      <c r="J101" s="505">
        <f t="shared" si="7"/>
        <v>1175</v>
      </c>
      <c r="K101" s="503">
        <f t="shared" si="8"/>
        <v>19.583333333333332</v>
      </c>
      <c r="L101" s="505" t="s">
        <v>1533</v>
      </c>
    </row>
    <row r="102" spans="1:12" x14ac:dyDescent="0.25">
      <c r="A102" s="501" t="s">
        <v>1529</v>
      </c>
      <c r="B102" s="501" t="s">
        <v>1530</v>
      </c>
      <c r="C102" s="502" t="s">
        <v>1406</v>
      </c>
      <c r="D102" s="502">
        <v>800</v>
      </c>
      <c r="E102" s="504">
        <v>467</v>
      </c>
      <c r="F102" s="504">
        <v>460</v>
      </c>
      <c r="G102" s="504">
        <v>385</v>
      </c>
      <c r="H102" s="505">
        <f t="shared" si="6"/>
        <v>1312</v>
      </c>
      <c r="I102" s="505">
        <v>30</v>
      </c>
      <c r="J102" s="505">
        <f t="shared" si="7"/>
        <v>1342</v>
      </c>
      <c r="K102" s="503">
        <f t="shared" si="8"/>
        <v>22.366666666666667</v>
      </c>
      <c r="L102" s="505" t="s">
        <v>1533</v>
      </c>
    </row>
    <row r="103" spans="1:12" x14ac:dyDescent="0.25">
      <c r="A103" s="501" t="s">
        <v>1529</v>
      </c>
      <c r="B103" s="501" t="s">
        <v>1530</v>
      </c>
      <c r="C103" s="502" t="s">
        <v>1406</v>
      </c>
      <c r="D103" s="502">
        <v>900</v>
      </c>
      <c r="E103" s="504">
        <v>500</v>
      </c>
      <c r="F103" s="504">
        <v>510</v>
      </c>
      <c r="G103" s="504">
        <v>385</v>
      </c>
      <c r="H103" s="505">
        <f t="shared" si="6"/>
        <v>1395</v>
      </c>
      <c r="I103" s="505">
        <v>30</v>
      </c>
      <c r="J103" s="505">
        <f t="shared" si="7"/>
        <v>1425</v>
      </c>
      <c r="K103" s="503">
        <f t="shared" si="8"/>
        <v>23.75</v>
      </c>
      <c r="L103" s="505" t="s">
        <v>1533</v>
      </c>
    </row>
    <row r="104" spans="1:12" x14ac:dyDescent="0.25">
      <c r="A104" s="501" t="s">
        <v>1529</v>
      </c>
      <c r="B104" s="501" t="s">
        <v>1530</v>
      </c>
      <c r="C104" s="502" t="s">
        <v>1406</v>
      </c>
      <c r="D104" s="502">
        <v>1500</v>
      </c>
      <c r="E104" s="504">
        <v>700</v>
      </c>
      <c r="F104" s="504">
        <v>810</v>
      </c>
      <c r="G104" s="504">
        <v>385</v>
      </c>
      <c r="H104" s="505">
        <f t="shared" si="6"/>
        <v>1895</v>
      </c>
      <c r="I104" s="505">
        <v>30</v>
      </c>
      <c r="J104" s="505">
        <f t="shared" si="7"/>
        <v>1925</v>
      </c>
      <c r="K104" s="503">
        <f t="shared" si="8"/>
        <v>32.083333333333336</v>
      </c>
      <c r="L104" s="505" t="s">
        <v>1533</v>
      </c>
    </row>
    <row r="105" spans="1:12" x14ac:dyDescent="0.25">
      <c r="A105" s="501" t="s">
        <v>1529</v>
      </c>
      <c r="B105" s="501" t="s">
        <v>1530</v>
      </c>
      <c r="C105" s="502" t="s">
        <v>1407</v>
      </c>
      <c r="D105" s="502">
        <v>150</v>
      </c>
      <c r="E105" s="502">
        <v>300</v>
      </c>
      <c r="F105" s="502">
        <v>160</v>
      </c>
      <c r="G105" s="502">
        <v>440</v>
      </c>
      <c r="H105" s="501">
        <f t="shared" si="6"/>
        <v>900</v>
      </c>
      <c r="I105" s="501">
        <v>30</v>
      </c>
      <c r="J105" s="501">
        <f t="shared" si="7"/>
        <v>930</v>
      </c>
      <c r="K105" s="503">
        <f t="shared" si="8"/>
        <v>15.5</v>
      </c>
      <c r="L105" s="501" t="s">
        <v>1531</v>
      </c>
    </row>
    <row r="106" spans="1:12" x14ac:dyDescent="0.25">
      <c r="A106" s="501" t="s">
        <v>1529</v>
      </c>
      <c r="B106" s="501" t="s">
        <v>1530</v>
      </c>
      <c r="C106" s="502" t="s">
        <v>1407</v>
      </c>
      <c r="D106" s="502">
        <v>300</v>
      </c>
      <c r="E106" s="502">
        <v>330</v>
      </c>
      <c r="F106" s="502">
        <v>225</v>
      </c>
      <c r="G106" s="502">
        <v>440</v>
      </c>
      <c r="H106" s="501">
        <f t="shared" si="6"/>
        <v>995</v>
      </c>
      <c r="I106" s="501">
        <v>30</v>
      </c>
      <c r="J106" s="501">
        <f t="shared" si="7"/>
        <v>1025</v>
      </c>
      <c r="K106" s="503">
        <f t="shared" si="8"/>
        <v>17.083333333333332</v>
      </c>
      <c r="L106" s="501" t="s">
        <v>1531</v>
      </c>
    </row>
    <row r="107" spans="1:12" x14ac:dyDescent="0.25">
      <c r="A107" s="501" t="s">
        <v>1529</v>
      </c>
      <c r="B107" s="501" t="s">
        <v>1530</v>
      </c>
      <c r="C107" s="502" t="s">
        <v>1407</v>
      </c>
      <c r="D107" s="502">
        <v>600</v>
      </c>
      <c r="E107" s="504">
        <v>390</v>
      </c>
      <c r="F107" s="504">
        <v>355</v>
      </c>
      <c r="G107" s="504">
        <v>440</v>
      </c>
      <c r="H107" s="505">
        <f t="shared" si="6"/>
        <v>1185</v>
      </c>
      <c r="I107" s="505">
        <v>30</v>
      </c>
      <c r="J107" s="505">
        <f t="shared" si="7"/>
        <v>1215</v>
      </c>
      <c r="K107" s="503">
        <f t="shared" si="8"/>
        <v>20.25</v>
      </c>
      <c r="L107" s="505" t="s">
        <v>1533</v>
      </c>
    </row>
    <row r="108" spans="1:12" x14ac:dyDescent="0.25">
      <c r="A108" s="501" t="s">
        <v>1529</v>
      </c>
      <c r="B108" s="501" t="s">
        <v>1530</v>
      </c>
      <c r="C108" s="502" t="s">
        <v>1407</v>
      </c>
      <c r="D108" s="502">
        <v>800</v>
      </c>
      <c r="E108" s="504">
        <v>430</v>
      </c>
      <c r="F108" s="504">
        <v>442</v>
      </c>
      <c r="G108" s="504">
        <v>440</v>
      </c>
      <c r="H108" s="505">
        <f t="shared" si="6"/>
        <v>1312</v>
      </c>
      <c r="I108" s="505">
        <v>30</v>
      </c>
      <c r="J108" s="505">
        <f t="shared" si="7"/>
        <v>1342</v>
      </c>
      <c r="K108" s="503">
        <f t="shared" si="8"/>
        <v>22.366666666666667</v>
      </c>
      <c r="L108" s="505" t="s">
        <v>1533</v>
      </c>
    </row>
    <row r="109" spans="1:12" x14ac:dyDescent="0.25">
      <c r="A109" s="501" t="s">
        <v>1529</v>
      </c>
      <c r="B109" s="501" t="s">
        <v>1530</v>
      </c>
      <c r="C109" s="502" t="s">
        <v>1407</v>
      </c>
      <c r="D109" s="502">
        <v>900</v>
      </c>
      <c r="E109" s="504">
        <v>450</v>
      </c>
      <c r="F109" s="504">
        <v>485</v>
      </c>
      <c r="G109" s="504">
        <v>440</v>
      </c>
      <c r="H109" s="505">
        <f t="shared" si="6"/>
        <v>1375</v>
      </c>
      <c r="I109" s="505">
        <v>30</v>
      </c>
      <c r="J109" s="505">
        <f t="shared" si="7"/>
        <v>1405</v>
      </c>
      <c r="K109" s="503">
        <f t="shared" si="8"/>
        <v>23.416666666666668</v>
      </c>
      <c r="L109" s="505" t="s">
        <v>1533</v>
      </c>
    </row>
    <row r="110" spans="1:12" x14ac:dyDescent="0.25">
      <c r="A110" s="501" t="s">
        <v>1529</v>
      </c>
      <c r="B110" s="501" t="s">
        <v>1530</v>
      </c>
      <c r="C110" s="502" t="s">
        <v>1407</v>
      </c>
      <c r="D110" s="502">
        <v>1500</v>
      </c>
      <c r="E110" s="504">
        <v>570</v>
      </c>
      <c r="F110" s="504">
        <v>745</v>
      </c>
      <c r="G110" s="504">
        <v>440</v>
      </c>
      <c r="H110" s="505">
        <f t="shared" si="6"/>
        <v>1755</v>
      </c>
      <c r="I110" s="505">
        <v>30</v>
      </c>
      <c r="J110" s="505">
        <f t="shared" si="7"/>
        <v>1785</v>
      </c>
      <c r="K110" s="503">
        <f t="shared" si="8"/>
        <v>29.75</v>
      </c>
      <c r="L110" s="505" t="s">
        <v>1533</v>
      </c>
    </row>
    <row r="111" spans="1:12" x14ac:dyDescent="0.25">
      <c r="A111" s="501" t="s">
        <v>1529</v>
      </c>
      <c r="B111" s="501" t="s">
        <v>1530</v>
      </c>
      <c r="C111" s="502" t="s">
        <v>1408</v>
      </c>
      <c r="D111" s="502">
        <v>150</v>
      </c>
      <c r="E111" s="502">
        <v>335</v>
      </c>
      <c r="F111" s="502">
        <v>200</v>
      </c>
      <c r="G111" s="502">
        <v>560</v>
      </c>
      <c r="H111" s="501">
        <f t="shared" si="6"/>
        <v>1095</v>
      </c>
      <c r="I111" s="501">
        <v>30</v>
      </c>
      <c r="J111" s="501">
        <f t="shared" si="7"/>
        <v>1125</v>
      </c>
      <c r="K111" s="503">
        <f t="shared" si="8"/>
        <v>18.75</v>
      </c>
      <c r="L111" s="501" t="s">
        <v>1531</v>
      </c>
    </row>
    <row r="112" spans="1:12" x14ac:dyDescent="0.25">
      <c r="A112" s="501" t="s">
        <v>1529</v>
      </c>
      <c r="B112" s="501" t="s">
        <v>1530</v>
      </c>
      <c r="C112" s="502" t="s">
        <v>1408</v>
      </c>
      <c r="D112" s="502">
        <v>300</v>
      </c>
      <c r="E112" s="502">
        <v>395</v>
      </c>
      <c r="F112" s="502">
        <v>250</v>
      </c>
      <c r="G112" s="502">
        <v>560</v>
      </c>
      <c r="H112" s="501">
        <f t="shared" si="6"/>
        <v>1205</v>
      </c>
      <c r="I112" s="501">
        <v>30</v>
      </c>
      <c r="J112" s="501">
        <f t="shared" si="7"/>
        <v>1235</v>
      </c>
      <c r="K112" s="503">
        <f t="shared" si="8"/>
        <v>20.583333333333332</v>
      </c>
      <c r="L112" s="501" t="s">
        <v>1531</v>
      </c>
    </row>
    <row r="113" spans="1:12" x14ac:dyDescent="0.25">
      <c r="A113" s="501" t="s">
        <v>1529</v>
      </c>
      <c r="B113" s="501" t="s">
        <v>1530</v>
      </c>
      <c r="C113" s="502" t="s">
        <v>1408</v>
      </c>
      <c r="D113" s="502">
        <v>600</v>
      </c>
      <c r="E113" s="504">
        <v>515</v>
      </c>
      <c r="F113" s="504">
        <v>350</v>
      </c>
      <c r="G113" s="504">
        <v>560</v>
      </c>
      <c r="H113" s="505">
        <f t="shared" si="6"/>
        <v>1425</v>
      </c>
      <c r="I113" s="505">
        <v>30</v>
      </c>
      <c r="J113" s="505">
        <f t="shared" si="7"/>
        <v>1455</v>
      </c>
      <c r="K113" s="503">
        <f t="shared" si="8"/>
        <v>24.25</v>
      </c>
      <c r="L113" s="505" t="s">
        <v>1533</v>
      </c>
    </row>
    <row r="114" spans="1:12" x14ac:dyDescent="0.25">
      <c r="A114" s="501" t="s">
        <v>1529</v>
      </c>
      <c r="B114" s="501" t="s">
        <v>1530</v>
      </c>
      <c r="C114" s="502" t="s">
        <v>1408</v>
      </c>
      <c r="D114" s="502">
        <v>800</v>
      </c>
      <c r="E114" s="504">
        <v>595</v>
      </c>
      <c r="F114" s="504">
        <v>417</v>
      </c>
      <c r="G114" s="504">
        <v>560</v>
      </c>
      <c r="H114" s="505">
        <f t="shared" si="6"/>
        <v>1572</v>
      </c>
      <c r="I114" s="505">
        <v>30</v>
      </c>
      <c r="J114" s="505">
        <f t="shared" si="7"/>
        <v>1602</v>
      </c>
      <c r="K114" s="503">
        <f t="shared" si="8"/>
        <v>26.7</v>
      </c>
      <c r="L114" s="505" t="s">
        <v>1533</v>
      </c>
    </row>
    <row r="115" spans="1:12" x14ac:dyDescent="0.25">
      <c r="A115" s="501" t="s">
        <v>1529</v>
      </c>
      <c r="B115" s="501" t="s">
        <v>1530</v>
      </c>
      <c r="C115" s="502" t="s">
        <v>1408</v>
      </c>
      <c r="D115" s="502">
        <v>900</v>
      </c>
      <c r="E115" s="504">
        <v>635</v>
      </c>
      <c r="F115" s="504">
        <v>450</v>
      </c>
      <c r="G115" s="504">
        <v>560</v>
      </c>
      <c r="H115" s="505">
        <f t="shared" si="6"/>
        <v>1645</v>
      </c>
      <c r="I115" s="505">
        <v>30</v>
      </c>
      <c r="J115" s="505">
        <f t="shared" si="7"/>
        <v>1675</v>
      </c>
      <c r="K115" s="503">
        <f t="shared" si="8"/>
        <v>27.916666666666668</v>
      </c>
      <c r="L115" s="505" t="s">
        <v>1533</v>
      </c>
    </row>
    <row r="116" spans="1:12" x14ac:dyDescent="0.25">
      <c r="A116" s="501" t="s">
        <v>1529</v>
      </c>
      <c r="B116" s="501" t="s">
        <v>1530</v>
      </c>
      <c r="C116" s="502" t="s">
        <v>1408</v>
      </c>
      <c r="D116" s="502">
        <v>1500</v>
      </c>
      <c r="E116" s="504">
        <v>875</v>
      </c>
      <c r="F116" s="504">
        <v>650</v>
      </c>
      <c r="G116" s="504">
        <v>560</v>
      </c>
      <c r="H116" s="505">
        <f t="shared" si="6"/>
        <v>2085</v>
      </c>
      <c r="I116" s="505">
        <v>30</v>
      </c>
      <c r="J116" s="505">
        <f t="shared" si="7"/>
        <v>2115</v>
      </c>
      <c r="K116" s="503">
        <f t="shared" si="8"/>
        <v>35.25</v>
      </c>
      <c r="L116" s="505" t="s">
        <v>1533</v>
      </c>
    </row>
    <row r="117" spans="1:12" x14ac:dyDescent="0.25">
      <c r="A117" s="501" t="s">
        <v>1529</v>
      </c>
      <c r="B117" s="501" t="s">
        <v>1530</v>
      </c>
      <c r="C117" s="502" t="s">
        <v>1409</v>
      </c>
      <c r="D117" s="502">
        <v>150</v>
      </c>
      <c r="E117" s="502">
        <v>355</v>
      </c>
      <c r="F117" s="502">
        <v>240</v>
      </c>
      <c r="G117" s="502">
        <v>650</v>
      </c>
      <c r="H117" s="501">
        <f t="shared" si="6"/>
        <v>1245</v>
      </c>
      <c r="I117" s="501">
        <v>30</v>
      </c>
      <c r="J117" s="501">
        <f t="shared" si="7"/>
        <v>1275</v>
      </c>
      <c r="K117" s="503">
        <f t="shared" si="8"/>
        <v>21.25</v>
      </c>
      <c r="L117" s="501" t="s">
        <v>1531</v>
      </c>
    </row>
    <row r="118" spans="1:12" x14ac:dyDescent="0.25">
      <c r="A118" s="501" t="s">
        <v>1529</v>
      </c>
      <c r="B118" s="501" t="s">
        <v>1530</v>
      </c>
      <c r="C118" s="502" t="s">
        <v>1409</v>
      </c>
      <c r="D118" s="502">
        <v>300</v>
      </c>
      <c r="E118" s="502">
        <v>415</v>
      </c>
      <c r="F118" s="502">
        <v>280</v>
      </c>
      <c r="G118" s="502">
        <v>650</v>
      </c>
      <c r="H118" s="501">
        <f t="shared" si="6"/>
        <v>1345</v>
      </c>
      <c r="I118" s="501">
        <v>30</v>
      </c>
      <c r="J118" s="501">
        <f t="shared" si="7"/>
        <v>1375</v>
      </c>
      <c r="K118" s="503">
        <f t="shared" si="8"/>
        <v>22.916666666666668</v>
      </c>
      <c r="L118" s="501" t="s">
        <v>1531</v>
      </c>
    </row>
    <row r="119" spans="1:12" x14ac:dyDescent="0.25">
      <c r="A119" s="501" t="s">
        <v>1529</v>
      </c>
      <c r="B119" s="501" t="s">
        <v>1530</v>
      </c>
      <c r="C119" s="502" t="s">
        <v>1409</v>
      </c>
      <c r="D119" s="502">
        <v>600</v>
      </c>
      <c r="E119" s="504">
        <v>535</v>
      </c>
      <c r="F119" s="504">
        <v>360</v>
      </c>
      <c r="G119" s="504">
        <v>650</v>
      </c>
      <c r="H119" s="505">
        <f t="shared" si="6"/>
        <v>1545</v>
      </c>
      <c r="I119" s="505">
        <v>30</v>
      </c>
      <c r="J119" s="505">
        <f t="shared" si="7"/>
        <v>1575</v>
      </c>
      <c r="K119" s="503">
        <f t="shared" si="8"/>
        <v>26.25</v>
      </c>
      <c r="L119" s="505" t="s">
        <v>1533</v>
      </c>
    </row>
    <row r="120" spans="1:12" x14ac:dyDescent="0.25">
      <c r="A120" s="501" t="s">
        <v>1529</v>
      </c>
      <c r="B120" s="501" t="s">
        <v>1530</v>
      </c>
      <c r="C120" s="502" t="s">
        <v>1409</v>
      </c>
      <c r="D120" s="502">
        <v>800</v>
      </c>
      <c r="E120" s="504">
        <v>615</v>
      </c>
      <c r="F120" s="504">
        <v>413</v>
      </c>
      <c r="G120" s="504">
        <v>650</v>
      </c>
      <c r="H120" s="505">
        <f t="shared" si="6"/>
        <v>1678</v>
      </c>
      <c r="I120" s="505">
        <v>30</v>
      </c>
      <c r="J120" s="505">
        <f t="shared" si="7"/>
        <v>1708</v>
      </c>
      <c r="K120" s="503">
        <f t="shared" si="8"/>
        <v>28.466666666666665</v>
      </c>
      <c r="L120" s="505" t="s">
        <v>1533</v>
      </c>
    </row>
    <row r="121" spans="1:12" x14ac:dyDescent="0.25">
      <c r="A121" s="501" t="s">
        <v>1529</v>
      </c>
      <c r="B121" s="501" t="s">
        <v>1530</v>
      </c>
      <c r="C121" s="502" t="s">
        <v>1409</v>
      </c>
      <c r="D121" s="502">
        <v>900</v>
      </c>
      <c r="E121" s="504">
        <v>655</v>
      </c>
      <c r="F121" s="504">
        <v>440</v>
      </c>
      <c r="G121" s="504">
        <v>650</v>
      </c>
      <c r="H121" s="505">
        <f t="shared" si="6"/>
        <v>1745</v>
      </c>
      <c r="I121" s="505">
        <v>30</v>
      </c>
      <c r="J121" s="505">
        <f t="shared" si="7"/>
        <v>1775</v>
      </c>
      <c r="K121" s="503">
        <f t="shared" si="8"/>
        <v>29.583333333333332</v>
      </c>
      <c r="L121" s="505" t="s">
        <v>1533</v>
      </c>
    </row>
    <row r="122" spans="1:12" x14ac:dyDescent="0.25">
      <c r="A122" s="501" t="s">
        <v>1529</v>
      </c>
      <c r="B122" s="501" t="s">
        <v>1530</v>
      </c>
      <c r="C122" s="502" t="s">
        <v>1409</v>
      </c>
      <c r="D122" s="502">
        <v>1500</v>
      </c>
      <c r="E122" s="504">
        <v>895</v>
      </c>
      <c r="F122" s="504">
        <v>600</v>
      </c>
      <c r="G122" s="504">
        <v>650</v>
      </c>
      <c r="H122" s="505">
        <f t="shared" si="6"/>
        <v>2145</v>
      </c>
      <c r="I122" s="505">
        <v>30</v>
      </c>
      <c r="J122" s="505">
        <f t="shared" si="7"/>
        <v>2175</v>
      </c>
      <c r="K122" s="503">
        <f t="shared" si="8"/>
        <v>36.25</v>
      </c>
      <c r="L122" s="505" t="s">
        <v>1533</v>
      </c>
    </row>
    <row r="123" spans="1:12" x14ac:dyDescent="0.25">
      <c r="A123" s="501" t="s">
        <v>1534</v>
      </c>
      <c r="B123" s="501" t="s">
        <v>1535</v>
      </c>
      <c r="C123" s="502" t="s">
        <v>1403</v>
      </c>
      <c r="D123" s="502">
        <v>150</v>
      </c>
      <c r="E123" s="502">
        <v>20</v>
      </c>
      <c r="F123" s="502">
        <v>20</v>
      </c>
      <c r="G123" s="502">
        <v>20</v>
      </c>
      <c r="H123" s="501">
        <f t="shared" si="6"/>
        <v>60</v>
      </c>
      <c r="I123" s="501">
        <v>15</v>
      </c>
      <c r="J123" s="501">
        <f t="shared" si="7"/>
        <v>75</v>
      </c>
      <c r="K123" s="503">
        <f t="shared" si="8"/>
        <v>1.25</v>
      </c>
      <c r="L123" s="501" t="s">
        <v>1531</v>
      </c>
    </row>
    <row r="124" spans="1:12" x14ac:dyDescent="0.25">
      <c r="A124" s="501" t="s">
        <v>1534</v>
      </c>
      <c r="B124" s="501" t="s">
        <v>1535</v>
      </c>
      <c r="C124" s="502" t="s">
        <v>1403</v>
      </c>
      <c r="D124" s="502">
        <v>300</v>
      </c>
      <c r="E124" s="502">
        <v>20</v>
      </c>
      <c r="F124" s="502">
        <v>35</v>
      </c>
      <c r="G124" s="502">
        <v>35</v>
      </c>
      <c r="H124" s="501">
        <f t="shared" si="6"/>
        <v>90</v>
      </c>
      <c r="I124" s="501">
        <v>15</v>
      </c>
      <c r="J124" s="501">
        <f t="shared" si="7"/>
        <v>105</v>
      </c>
      <c r="K124" s="503">
        <f t="shared" si="8"/>
        <v>1.75</v>
      </c>
      <c r="L124" s="501" t="s">
        <v>1531</v>
      </c>
    </row>
    <row r="125" spans="1:12" x14ac:dyDescent="0.25">
      <c r="A125" s="501" t="s">
        <v>1534</v>
      </c>
      <c r="B125" s="501" t="s">
        <v>1535</v>
      </c>
      <c r="C125" s="502" t="s">
        <v>1403</v>
      </c>
      <c r="D125" s="502">
        <v>600</v>
      </c>
      <c r="E125" s="504">
        <v>20</v>
      </c>
      <c r="F125" s="504">
        <v>26</v>
      </c>
      <c r="G125" s="504">
        <v>26</v>
      </c>
      <c r="H125" s="505">
        <f t="shared" si="6"/>
        <v>72</v>
      </c>
      <c r="I125" s="505">
        <v>15</v>
      </c>
      <c r="J125" s="505">
        <f t="shared" si="7"/>
        <v>87</v>
      </c>
      <c r="K125" s="503">
        <f t="shared" si="8"/>
        <v>1.45</v>
      </c>
      <c r="L125" s="505" t="s">
        <v>1532</v>
      </c>
    </row>
    <row r="126" spans="1:12" x14ac:dyDescent="0.25">
      <c r="A126" s="501" t="s">
        <v>1534</v>
      </c>
      <c r="B126" s="501" t="s">
        <v>1535</v>
      </c>
      <c r="C126" s="502" t="s">
        <v>1403</v>
      </c>
      <c r="D126" s="502">
        <v>800</v>
      </c>
      <c r="E126" s="502">
        <v>20</v>
      </c>
      <c r="F126" s="502">
        <v>20</v>
      </c>
      <c r="G126" s="502">
        <v>20</v>
      </c>
      <c r="H126" s="501">
        <f t="shared" si="6"/>
        <v>60</v>
      </c>
      <c r="I126" s="501">
        <v>15</v>
      </c>
      <c r="J126" s="501">
        <f t="shared" si="7"/>
        <v>75</v>
      </c>
      <c r="K126" s="503">
        <f t="shared" si="8"/>
        <v>1.25</v>
      </c>
      <c r="L126" s="501" t="s">
        <v>1531</v>
      </c>
    </row>
    <row r="127" spans="1:12" x14ac:dyDescent="0.25">
      <c r="A127" s="501" t="s">
        <v>1534</v>
      </c>
      <c r="B127" s="501" t="s">
        <v>1535</v>
      </c>
      <c r="C127" s="502" t="s">
        <v>1403</v>
      </c>
      <c r="D127" s="502">
        <v>900</v>
      </c>
      <c r="E127" s="504">
        <v>20</v>
      </c>
      <c r="F127" s="504">
        <v>22</v>
      </c>
      <c r="G127" s="504">
        <v>22</v>
      </c>
      <c r="H127" s="505">
        <f t="shared" si="6"/>
        <v>64</v>
      </c>
      <c r="I127" s="505">
        <v>15</v>
      </c>
      <c r="J127" s="505">
        <f t="shared" si="7"/>
        <v>79</v>
      </c>
      <c r="K127" s="503">
        <f t="shared" si="8"/>
        <v>1.3166666666666667</v>
      </c>
      <c r="L127" s="505" t="s">
        <v>1532</v>
      </c>
    </row>
    <row r="128" spans="1:12" x14ac:dyDescent="0.25">
      <c r="A128" s="501" t="s">
        <v>1534</v>
      </c>
      <c r="B128" s="501" t="s">
        <v>1535</v>
      </c>
      <c r="C128" s="502" t="s">
        <v>1403</v>
      </c>
      <c r="D128" s="502">
        <v>1500</v>
      </c>
      <c r="E128" s="502">
        <v>20</v>
      </c>
      <c r="F128" s="502">
        <v>35</v>
      </c>
      <c r="G128" s="502">
        <v>35</v>
      </c>
      <c r="H128" s="501">
        <f t="shared" si="6"/>
        <v>90</v>
      </c>
      <c r="I128" s="501">
        <v>15</v>
      </c>
      <c r="J128" s="501">
        <f t="shared" si="7"/>
        <v>105</v>
      </c>
      <c r="K128" s="503">
        <f t="shared" si="8"/>
        <v>1.75</v>
      </c>
      <c r="L128" s="501" t="s">
        <v>1531</v>
      </c>
    </row>
    <row r="129" spans="1:12" x14ac:dyDescent="0.25">
      <c r="A129" s="501" t="s">
        <v>1534</v>
      </c>
      <c r="B129" s="501" t="s">
        <v>1535</v>
      </c>
      <c r="C129" s="502" t="s">
        <v>1404</v>
      </c>
      <c r="D129" s="502">
        <v>150</v>
      </c>
      <c r="E129" s="502">
        <v>25</v>
      </c>
      <c r="F129" s="502">
        <v>35</v>
      </c>
      <c r="G129" s="502">
        <v>35</v>
      </c>
      <c r="H129" s="501">
        <f t="shared" si="6"/>
        <v>95</v>
      </c>
      <c r="I129" s="501">
        <v>15</v>
      </c>
      <c r="J129" s="501">
        <f t="shared" si="7"/>
        <v>110</v>
      </c>
      <c r="K129" s="503">
        <f t="shared" si="8"/>
        <v>1.8333333333333333</v>
      </c>
      <c r="L129" s="501" t="s">
        <v>1531</v>
      </c>
    </row>
    <row r="130" spans="1:12" x14ac:dyDescent="0.25">
      <c r="A130" s="501" t="s">
        <v>1534</v>
      </c>
      <c r="B130" s="501" t="s">
        <v>1535</v>
      </c>
      <c r="C130" s="502" t="s">
        <v>1404</v>
      </c>
      <c r="D130" s="502">
        <v>300</v>
      </c>
      <c r="E130" s="502">
        <v>25</v>
      </c>
      <c r="F130" s="502">
        <v>50</v>
      </c>
      <c r="G130" s="502">
        <v>50</v>
      </c>
      <c r="H130" s="501">
        <f t="shared" si="6"/>
        <v>125</v>
      </c>
      <c r="I130" s="501">
        <v>15</v>
      </c>
      <c r="J130" s="501">
        <f t="shared" si="7"/>
        <v>140</v>
      </c>
      <c r="K130" s="503">
        <f t="shared" si="8"/>
        <v>2.3333333333333335</v>
      </c>
      <c r="L130" s="501" t="s">
        <v>1531</v>
      </c>
    </row>
    <row r="131" spans="1:12" x14ac:dyDescent="0.25">
      <c r="A131" s="501" t="s">
        <v>1534</v>
      </c>
      <c r="B131" s="501" t="s">
        <v>1535</v>
      </c>
      <c r="C131" s="502" t="s">
        <v>1404</v>
      </c>
      <c r="D131" s="502">
        <v>600</v>
      </c>
      <c r="E131" s="504">
        <v>25</v>
      </c>
      <c r="F131" s="504">
        <v>41</v>
      </c>
      <c r="G131" s="504">
        <v>41</v>
      </c>
      <c r="H131" s="505">
        <f t="shared" si="6"/>
        <v>107</v>
      </c>
      <c r="I131" s="505">
        <v>15</v>
      </c>
      <c r="J131" s="505">
        <f t="shared" si="7"/>
        <v>122</v>
      </c>
      <c r="K131" s="503">
        <f t="shared" si="8"/>
        <v>2.0333333333333332</v>
      </c>
      <c r="L131" s="505" t="s">
        <v>1532</v>
      </c>
    </row>
    <row r="132" spans="1:12" x14ac:dyDescent="0.25">
      <c r="A132" s="501" t="s">
        <v>1534</v>
      </c>
      <c r="B132" s="501" t="s">
        <v>1535</v>
      </c>
      <c r="C132" s="502" t="s">
        <v>1404</v>
      </c>
      <c r="D132" s="502">
        <v>800</v>
      </c>
      <c r="E132" s="502">
        <v>25</v>
      </c>
      <c r="F132" s="502">
        <v>35</v>
      </c>
      <c r="G132" s="502">
        <v>35</v>
      </c>
      <c r="H132" s="501">
        <f t="shared" si="6"/>
        <v>95</v>
      </c>
      <c r="I132" s="501">
        <v>15</v>
      </c>
      <c r="J132" s="501">
        <f t="shared" si="7"/>
        <v>110</v>
      </c>
      <c r="K132" s="503">
        <f t="shared" si="8"/>
        <v>1.8333333333333333</v>
      </c>
      <c r="L132" s="501" t="s">
        <v>1531</v>
      </c>
    </row>
    <row r="133" spans="1:12" x14ac:dyDescent="0.25">
      <c r="A133" s="501" t="s">
        <v>1534</v>
      </c>
      <c r="B133" s="501" t="s">
        <v>1535</v>
      </c>
      <c r="C133" s="502" t="s">
        <v>1404</v>
      </c>
      <c r="D133" s="502">
        <v>900</v>
      </c>
      <c r="E133" s="504">
        <v>25</v>
      </c>
      <c r="F133" s="504">
        <v>37</v>
      </c>
      <c r="G133" s="504">
        <v>37</v>
      </c>
      <c r="H133" s="505">
        <f t="shared" si="6"/>
        <v>99</v>
      </c>
      <c r="I133" s="505">
        <v>15</v>
      </c>
      <c r="J133" s="505">
        <f t="shared" si="7"/>
        <v>114</v>
      </c>
      <c r="K133" s="503">
        <f t="shared" si="8"/>
        <v>1.9</v>
      </c>
      <c r="L133" s="505" t="s">
        <v>1532</v>
      </c>
    </row>
    <row r="134" spans="1:12" x14ac:dyDescent="0.25">
      <c r="A134" s="501" t="s">
        <v>1534</v>
      </c>
      <c r="B134" s="501" t="s">
        <v>1535</v>
      </c>
      <c r="C134" s="502" t="s">
        <v>1404</v>
      </c>
      <c r="D134" s="502">
        <v>1500</v>
      </c>
      <c r="E134" s="502">
        <v>25</v>
      </c>
      <c r="F134" s="502">
        <v>50</v>
      </c>
      <c r="G134" s="502">
        <v>50</v>
      </c>
      <c r="H134" s="501">
        <f t="shared" si="6"/>
        <v>125</v>
      </c>
      <c r="I134" s="501">
        <v>15</v>
      </c>
      <c r="J134" s="501">
        <f t="shared" si="7"/>
        <v>140</v>
      </c>
      <c r="K134" s="503">
        <f t="shared" si="8"/>
        <v>2.3333333333333335</v>
      </c>
      <c r="L134" s="501" t="s">
        <v>1531</v>
      </c>
    </row>
    <row r="135" spans="1:12" x14ac:dyDescent="0.25">
      <c r="A135" s="501" t="s">
        <v>1534</v>
      </c>
      <c r="B135" s="501" t="s">
        <v>1535</v>
      </c>
      <c r="C135" s="502" t="s">
        <v>86</v>
      </c>
      <c r="D135" s="502">
        <v>150</v>
      </c>
      <c r="E135" s="502">
        <v>30</v>
      </c>
      <c r="F135" s="502">
        <v>45</v>
      </c>
      <c r="G135" s="502">
        <v>50</v>
      </c>
      <c r="H135" s="501">
        <f t="shared" si="6"/>
        <v>125</v>
      </c>
      <c r="I135" s="501">
        <v>15</v>
      </c>
      <c r="J135" s="501">
        <f t="shared" si="7"/>
        <v>140</v>
      </c>
      <c r="K135" s="503">
        <f t="shared" si="8"/>
        <v>2.3333333333333335</v>
      </c>
      <c r="L135" s="501" t="s">
        <v>1531</v>
      </c>
    </row>
    <row r="136" spans="1:12" x14ac:dyDescent="0.25">
      <c r="A136" s="501" t="s">
        <v>1534</v>
      </c>
      <c r="B136" s="501" t="s">
        <v>1535</v>
      </c>
      <c r="C136" s="502" t="s">
        <v>86</v>
      </c>
      <c r="D136" s="502">
        <v>300</v>
      </c>
      <c r="E136" s="502">
        <v>30</v>
      </c>
      <c r="F136" s="502">
        <v>60</v>
      </c>
      <c r="G136" s="502">
        <v>65</v>
      </c>
      <c r="H136" s="501">
        <f t="shared" si="6"/>
        <v>155</v>
      </c>
      <c r="I136" s="501">
        <v>15</v>
      </c>
      <c r="J136" s="501">
        <f t="shared" si="7"/>
        <v>170</v>
      </c>
      <c r="K136" s="503">
        <f t="shared" si="8"/>
        <v>2.8333333333333335</v>
      </c>
      <c r="L136" s="501" t="s">
        <v>1531</v>
      </c>
    </row>
    <row r="137" spans="1:12" x14ac:dyDescent="0.25">
      <c r="A137" s="501" t="s">
        <v>1534</v>
      </c>
      <c r="B137" s="501" t="s">
        <v>1535</v>
      </c>
      <c r="C137" s="502" t="s">
        <v>86</v>
      </c>
      <c r="D137" s="502">
        <v>600</v>
      </c>
      <c r="E137" s="504">
        <v>30</v>
      </c>
      <c r="F137" s="504">
        <v>51</v>
      </c>
      <c r="G137" s="504">
        <v>56</v>
      </c>
      <c r="H137" s="505">
        <f t="shared" si="6"/>
        <v>137</v>
      </c>
      <c r="I137" s="505">
        <v>15</v>
      </c>
      <c r="J137" s="505">
        <f t="shared" si="7"/>
        <v>152</v>
      </c>
      <c r="K137" s="503">
        <f t="shared" si="8"/>
        <v>2.5333333333333332</v>
      </c>
      <c r="L137" s="505" t="s">
        <v>1532</v>
      </c>
    </row>
    <row r="138" spans="1:12" x14ac:dyDescent="0.25">
      <c r="A138" s="501" t="s">
        <v>1534</v>
      </c>
      <c r="B138" s="501" t="s">
        <v>1535</v>
      </c>
      <c r="C138" s="502" t="s">
        <v>86</v>
      </c>
      <c r="D138" s="502">
        <v>800</v>
      </c>
      <c r="E138" s="502">
        <v>30</v>
      </c>
      <c r="F138" s="502">
        <v>45</v>
      </c>
      <c r="G138" s="502">
        <v>50</v>
      </c>
      <c r="H138" s="501">
        <f t="shared" si="6"/>
        <v>125</v>
      </c>
      <c r="I138" s="501">
        <v>15</v>
      </c>
      <c r="J138" s="501">
        <f t="shared" si="7"/>
        <v>140</v>
      </c>
      <c r="K138" s="503">
        <f t="shared" si="8"/>
        <v>2.3333333333333335</v>
      </c>
      <c r="L138" s="501" t="s">
        <v>1531</v>
      </c>
    </row>
    <row r="139" spans="1:12" x14ac:dyDescent="0.25">
      <c r="A139" s="501" t="s">
        <v>1534</v>
      </c>
      <c r="B139" s="501" t="s">
        <v>1535</v>
      </c>
      <c r="C139" s="502" t="s">
        <v>86</v>
      </c>
      <c r="D139" s="502">
        <v>900</v>
      </c>
      <c r="E139" s="504">
        <v>30</v>
      </c>
      <c r="F139" s="504">
        <v>47</v>
      </c>
      <c r="G139" s="504">
        <v>52</v>
      </c>
      <c r="H139" s="505">
        <f t="shared" si="6"/>
        <v>129</v>
      </c>
      <c r="I139" s="505">
        <v>15</v>
      </c>
      <c r="J139" s="505">
        <f t="shared" si="7"/>
        <v>144</v>
      </c>
      <c r="K139" s="503">
        <f t="shared" si="8"/>
        <v>2.4</v>
      </c>
      <c r="L139" s="505" t="s">
        <v>1532</v>
      </c>
    </row>
    <row r="140" spans="1:12" x14ac:dyDescent="0.25">
      <c r="A140" s="501" t="s">
        <v>1534</v>
      </c>
      <c r="B140" s="501" t="s">
        <v>1535</v>
      </c>
      <c r="C140" s="502" t="s">
        <v>86</v>
      </c>
      <c r="D140" s="502">
        <v>1500</v>
      </c>
      <c r="E140" s="502">
        <v>30</v>
      </c>
      <c r="F140" s="502">
        <v>60</v>
      </c>
      <c r="G140" s="502">
        <v>65</v>
      </c>
      <c r="H140" s="501">
        <f t="shared" si="6"/>
        <v>155</v>
      </c>
      <c r="I140" s="501">
        <v>15</v>
      </c>
      <c r="J140" s="501">
        <f t="shared" si="7"/>
        <v>170</v>
      </c>
      <c r="K140" s="503">
        <f t="shared" si="8"/>
        <v>2.8333333333333335</v>
      </c>
      <c r="L140" s="501" t="s">
        <v>1531</v>
      </c>
    </row>
    <row r="141" spans="1:12" x14ac:dyDescent="0.25">
      <c r="A141" s="501" t="s">
        <v>1534</v>
      </c>
      <c r="B141" s="501" t="s">
        <v>1535</v>
      </c>
      <c r="C141" s="502" t="s">
        <v>85</v>
      </c>
      <c r="D141" s="502">
        <v>150</v>
      </c>
      <c r="E141" s="502">
        <v>35</v>
      </c>
      <c r="F141" s="502">
        <v>60</v>
      </c>
      <c r="G141" s="502">
        <v>65</v>
      </c>
      <c r="H141" s="501">
        <f t="shared" si="6"/>
        <v>160</v>
      </c>
      <c r="I141" s="501">
        <v>20</v>
      </c>
      <c r="J141" s="501">
        <f t="shared" si="7"/>
        <v>180</v>
      </c>
      <c r="K141" s="503">
        <f t="shared" si="8"/>
        <v>3</v>
      </c>
      <c r="L141" s="501" t="s">
        <v>1531</v>
      </c>
    </row>
    <row r="142" spans="1:12" x14ac:dyDescent="0.25">
      <c r="A142" s="501" t="s">
        <v>1534</v>
      </c>
      <c r="B142" s="501" t="s">
        <v>1535</v>
      </c>
      <c r="C142" s="502" t="s">
        <v>85</v>
      </c>
      <c r="D142" s="502">
        <v>300</v>
      </c>
      <c r="E142" s="502">
        <v>40</v>
      </c>
      <c r="F142" s="502">
        <v>75</v>
      </c>
      <c r="G142" s="502">
        <v>80</v>
      </c>
      <c r="H142" s="501">
        <f t="shared" si="6"/>
        <v>195</v>
      </c>
      <c r="I142" s="501">
        <v>20</v>
      </c>
      <c r="J142" s="501">
        <f t="shared" si="7"/>
        <v>215</v>
      </c>
      <c r="K142" s="503">
        <f t="shared" si="8"/>
        <v>3.5833333333333335</v>
      </c>
      <c r="L142" s="501" t="s">
        <v>1531</v>
      </c>
    </row>
    <row r="143" spans="1:12" x14ac:dyDescent="0.25">
      <c r="A143" s="501" t="s">
        <v>1534</v>
      </c>
      <c r="B143" s="501" t="s">
        <v>1535</v>
      </c>
      <c r="C143" s="502" t="s">
        <v>85</v>
      </c>
      <c r="D143" s="502">
        <v>600</v>
      </c>
      <c r="E143" s="504">
        <v>50</v>
      </c>
      <c r="F143" s="504">
        <v>105</v>
      </c>
      <c r="G143" s="504">
        <v>110</v>
      </c>
      <c r="H143" s="505">
        <f t="shared" ref="H143:H206" si="9">E143+F143+G143</f>
        <v>265</v>
      </c>
      <c r="I143" s="505">
        <v>20</v>
      </c>
      <c r="J143" s="505">
        <f t="shared" ref="J143:J206" si="10">H143+I143</f>
        <v>285</v>
      </c>
      <c r="K143" s="503">
        <f t="shared" ref="K143:K206" si="11">J143/60</f>
        <v>4.75</v>
      </c>
      <c r="L143" s="505" t="s">
        <v>1533</v>
      </c>
    </row>
    <row r="144" spans="1:12" x14ac:dyDescent="0.25">
      <c r="A144" s="501" t="s">
        <v>1534</v>
      </c>
      <c r="B144" s="501" t="s">
        <v>1535</v>
      </c>
      <c r="C144" s="502" t="s">
        <v>85</v>
      </c>
      <c r="D144" s="502">
        <v>800</v>
      </c>
      <c r="E144" s="504">
        <v>57</v>
      </c>
      <c r="F144" s="504">
        <v>125</v>
      </c>
      <c r="G144" s="504">
        <v>130</v>
      </c>
      <c r="H144" s="505">
        <f t="shared" si="9"/>
        <v>312</v>
      </c>
      <c r="I144" s="505">
        <v>20</v>
      </c>
      <c r="J144" s="505">
        <f t="shared" si="10"/>
        <v>332</v>
      </c>
      <c r="K144" s="503">
        <f t="shared" si="11"/>
        <v>5.5333333333333332</v>
      </c>
      <c r="L144" s="505" t="s">
        <v>1533</v>
      </c>
    </row>
    <row r="145" spans="1:12" x14ac:dyDescent="0.25">
      <c r="A145" s="501" t="s">
        <v>1534</v>
      </c>
      <c r="B145" s="501" t="s">
        <v>1535</v>
      </c>
      <c r="C145" s="502" t="s">
        <v>85</v>
      </c>
      <c r="D145" s="502">
        <v>900</v>
      </c>
      <c r="E145" s="504">
        <v>60</v>
      </c>
      <c r="F145" s="504">
        <v>135</v>
      </c>
      <c r="G145" s="504">
        <v>140</v>
      </c>
      <c r="H145" s="505">
        <f t="shared" si="9"/>
        <v>335</v>
      </c>
      <c r="I145" s="505">
        <v>20</v>
      </c>
      <c r="J145" s="505">
        <f t="shared" si="10"/>
        <v>355</v>
      </c>
      <c r="K145" s="503">
        <f t="shared" si="11"/>
        <v>5.916666666666667</v>
      </c>
      <c r="L145" s="505" t="s">
        <v>1533</v>
      </c>
    </row>
    <row r="146" spans="1:12" x14ac:dyDescent="0.25">
      <c r="A146" s="501" t="s">
        <v>1534</v>
      </c>
      <c r="B146" s="501" t="s">
        <v>1535</v>
      </c>
      <c r="C146" s="502" t="s">
        <v>85</v>
      </c>
      <c r="D146" s="502">
        <v>1500</v>
      </c>
      <c r="E146" s="504">
        <v>80</v>
      </c>
      <c r="F146" s="504">
        <v>195</v>
      </c>
      <c r="G146" s="504">
        <v>200</v>
      </c>
      <c r="H146" s="505">
        <f t="shared" si="9"/>
        <v>475</v>
      </c>
      <c r="I146" s="505">
        <v>20</v>
      </c>
      <c r="J146" s="505">
        <f t="shared" si="10"/>
        <v>495</v>
      </c>
      <c r="K146" s="503">
        <f t="shared" si="11"/>
        <v>8.25</v>
      </c>
      <c r="L146" s="505" t="s">
        <v>1533</v>
      </c>
    </row>
    <row r="147" spans="1:12" x14ac:dyDescent="0.25">
      <c r="A147" s="501" t="s">
        <v>1534</v>
      </c>
      <c r="B147" s="501" t="s">
        <v>1535</v>
      </c>
      <c r="C147" s="502" t="s">
        <v>84</v>
      </c>
      <c r="D147" s="502">
        <v>150</v>
      </c>
      <c r="E147" s="502">
        <v>40</v>
      </c>
      <c r="F147" s="502">
        <v>80</v>
      </c>
      <c r="G147" s="502">
        <v>95</v>
      </c>
      <c r="H147" s="501">
        <f t="shared" si="9"/>
        <v>215</v>
      </c>
      <c r="I147" s="501">
        <v>20</v>
      </c>
      <c r="J147" s="501">
        <f t="shared" si="10"/>
        <v>235</v>
      </c>
      <c r="K147" s="503">
        <f t="shared" si="11"/>
        <v>3.9166666666666665</v>
      </c>
      <c r="L147" s="501" t="s">
        <v>1531</v>
      </c>
    </row>
    <row r="148" spans="1:12" x14ac:dyDescent="0.25">
      <c r="A148" s="501" t="s">
        <v>1534</v>
      </c>
      <c r="B148" s="501" t="s">
        <v>1535</v>
      </c>
      <c r="C148" s="502" t="s">
        <v>84</v>
      </c>
      <c r="D148" s="502">
        <v>300</v>
      </c>
      <c r="E148" s="502">
        <v>45</v>
      </c>
      <c r="F148" s="502">
        <v>95</v>
      </c>
      <c r="G148" s="502">
        <v>110</v>
      </c>
      <c r="H148" s="501">
        <f t="shared" si="9"/>
        <v>250</v>
      </c>
      <c r="I148" s="501">
        <v>20</v>
      </c>
      <c r="J148" s="501">
        <f t="shared" si="10"/>
        <v>270</v>
      </c>
      <c r="K148" s="503">
        <f t="shared" si="11"/>
        <v>4.5</v>
      </c>
      <c r="L148" s="501" t="s">
        <v>1531</v>
      </c>
    </row>
    <row r="149" spans="1:12" x14ac:dyDescent="0.25">
      <c r="A149" s="501" t="s">
        <v>1534</v>
      </c>
      <c r="B149" s="501" t="s">
        <v>1535</v>
      </c>
      <c r="C149" s="502" t="s">
        <v>84</v>
      </c>
      <c r="D149" s="502">
        <v>600</v>
      </c>
      <c r="E149" s="504">
        <v>55</v>
      </c>
      <c r="F149" s="504">
        <v>125</v>
      </c>
      <c r="G149" s="504">
        <v>140</v>
      </c>
      <c r="H149" s="505">
        <f t="shared" si="9"/>
        <v>320</v>
      </c>
      <c r="I149" s="505">
        <v>20</v>
      </c>
      <c r="J149" s="505">
        <f t="shared" si="10"/>
        <v>340</v>
      </c>
      <c r="K149" s="503">
        <f t="shared" si="11"/>
        <v>5.666666666666667</v>
      </c>
      <c r="L149" s="505" t="s">
        <v>1533</v>
      </c>
    </row>
    <row r="150" spans="1:12" x14ac:dyDescent="0.25">
      <c r="A150" s="501" t="s">
        <v>1534</v>
      </c>
      <c r="B150" s="501" t="s">
        <v>1535</v>
      </c>
      <c r="C150" s="502" t="s">
        <v>84</v>
      </c>
      <c r="D150" s="502">
        <v>800</v>
      </c>
      <c r="E150" s="504">
        <v>62</v>
      </c>
      <c r="F150" s="504">
        <v>145</v>
      </c>
      <c r="G150" s="504">
        <v>160</v>
      </c>
      <c r="H150" s="505">
        <f t="shared" si="9"/>
        <v>367</v>
      </c>
      <c r="I150" s="505">
        <v>20</v>
      </c>
      <c r="J150" s="505">
        <f t="shared" si="10"/>
        <v>387</v>
      </c>
      <c r="K150" s="503">
        <f t="shared" si="11"/>
        <v>6.45</v>
      </c>
      <c r="L150" s="505" t="s">
        <v>1533</v>
      </c>
    </row>
    <row r="151" spans="1:12" x14ac:dyDescent="0.25">
      <c r="A151" s="501" t="s">
        <v>1534</v>
      </c>
      <c r="B151" s="501" t="s">
        <v>1535</v>
      </c>
      <c r="C151" s="502" t="s">
        <v>84</v>
      </c>
      <c r="D151" s="502">
        <v>900</v>
      </c>
      <c r="E151" s="504">
        <v>65</v>
      </c>
      <c r="F151" s="504">
        <v>155</v>
      </c>
      <c r="G151" s="504">
        <v>170</v>
      </c>
      <c r="H151" s="505">
        <f t="shared" si="9"/>
        <v>390</v>
      </c>
      <c r="I151" s="505">
        <v>20</v>
      </c>
      <c r="J151" s="505">
        <f t="shared" si="10"/>
        <v>410</v>
      </c>
      <c r="K151" s="503">
        <f t="shared" si="11"/>
        <v>6.833333333333333</v>
      </c>
      <c r="L151" s="505" t="s">
        <v>1533</v>
      </c>
    </row>
    <row r="152" spans="1:12" x14ac:dyDescent="0.25">
      <c r="A152" s="501" t="s">
        <v>1534</v>
      </c>
      <c r="B152" s="501" t="s">
        <v>1535</v>
      </c>
      <c r="C152" s="502" t="s">
        <v>84</v>
      </c>
      <c r="D152" s="502">
        <v>1500</v>
      </c>
      <c r="E152" s="504">
        <v>85</v>
      </c>
      <c r="F152" s="504">
        <v>215</v>
      </c>
      <c r="G152" s="504">
        <v>230</v>
      </c>
      <c r="H152" s="505">
        <f t="shared" si="9"/>
        <v>530</v>
      </c>
      <c r="I152" s="505">
        <v>20</v>
      </c>
      <c r="J152" s="505">
        <f t="shared" si="10"/>
        <v>550</v>
      </c>
      <c r="K152" s="503">
        <f t="shared" si="11"/>
        <v>9.1666666666666661</v>
      </c>
      <c r="L152" s="505" t="s">
        <v>1533</v>
      </c>
    </row>
    <row r="153" spans="1:12" x14ac:dyDescent="0.25">
      <c r="A153" s="501" t="s">
        <v>1534</v>
      </c>
      <c r="B153" s="501" t="s">
        <v>1535</v>
      </c>
      <c r="C153" s="502" t="s">
        <v>82</v>
      </c>
      <c r="D153" s="502">
        <v>150</v>
      </c>
      <c r="E153" s="502">
        <v>45</v>
      </c>
      <c r="F153" s="502">
        <v>95</v>
      </c>
      <c r="G153" s="502">
        <v>125</v>
      </c>
      <c r="H153" s="501">
        <f t="shared" si="9"/>
        <v>265</v>
      </c>
      <c r="I153" s="501">
        <v>20</v>
      </c>
      <c r="J153" s="501">
        <f t="shared" si="10"/>
        <v>285</v>
      </c>
      <c r="K153" s="503">
        <f t="shared" si="11"/>
        <v>4.75</v>
      </c>
      <c r="L153" s="501" t="s">
        <v>1531</v>
      </c>
    </row>
    <row r="154" spans="1:12" x14ac:dyDescent="0.25">
      <c r="A154" s="501" t="s">
        <v>1534</v>
      </c>
      <c r="B154" s="501" t="s">
        <v>1535</v>
      </c>
      <c r="C154" s="502" t="s">
        <v>82</v>
      </c>
      <c r="D154" s="502">
        <v>300</v>
      </c>
      <c r="E154" s="502">
        <v>50</v>
      </c>
      <c r="F154" s="502">
        <v>110</v>
      </c>
      <c r="G154" s="502">
        <v>140</v>
      </c>
      <c r="H154" s="501">
        <f t="shared" si="9"/>
        <v>300</v>
      </c>
      <c r="I154" s="501">
        <v>20</v>
      </c>
      <c r="J154" s="501">
        <f t="shared" si="10"/>
        <v>320</v>
      </c>
      <c r="K154" s="503">
        <f t="shared" si="11"/>
        <v>5.333333333333333</v>
      </c>
      <c r="L154" s="501" t="s">
        <v>1531</v>
      </c>
    </row>
    <row r="155" spans="1:12" x14ac:dyDescent="0.25">
      <c r="A155" s="501" t="s">
        <v>1534</v>
      </c>
      <c r="B155" s="501" t="s">
        <v>1535</v>
      </c>
      <c r="C155" s="502" t="s">
        <v>82</v>
      </c>
      <c r="D155" s="502">
        <v>600</v>
      </c>
      <c r="E155" s="504">
        <v>60</v>
      </c>
      <c r="F155" s="504">
        <v>140</v>
      </c>
      <c r="G155" s="504">
        <v>170</v>
      </c>
      <c r="H155" s="505">
        <f t="shared" si="9"/>
        <v>370</v>
      </c>
      <c r="I155" s="505">
        <v>20</v>
      </c>
      <c r="J155" s="505">
        <f t="shared" si="10"/>
        <v>390</v>
      </c>
      <c r="K155" s="503">
        <f t="shared" si="11"/>
        <v>6.5</v>
      </c>
      <c r="L155" s="505" t="s">
        <v>1533</v>
      </c>
    </row>
    <row r="156" spans="1:12" x14ac:dyDescent="0.25">
      <c r="A156" s="501" t="s">
        <v>1534</v>
      </c>
      <c r="B156" s="501" t="s">
        <v>1535</v>
      </c>
      <c r="C156" s="502" t="s">
        <v>82</v>
      </c>
      <c r="D156" s="502">
        <v>800</v>
      </c>
      <c r="E156" s="504">
        <v>67</v>
      </c>
      <c r="F156" s="504">
        <v>160</v>
      </c>
      <c r="G156" s="504">
        <v>190</v>
      </c>
      <c r="H156" s="505">
        <f t="shared" si="9"/>
        <v>417</v>
      </c>
      <c r="I156" s="505">
        <v>20</v>
      </c>
      <c r="J156" s="505">
        <f t="shared" si="10"/>
        <v>437</v>
      </c>
      <c r="K156" s="503">
        <f t="shared" si="11"/>
        <v>7.2833333333333332</v>
      </c>
      <c r="L156" s="505" t="s">
        <v>1533</v>
      </c>
    </row>
    <row r="157" spans="1:12" x14ac:dyDescent="0.25">
      <c r="A157" s="501" t="s">
        <v>1534</v>
      </c>
      <c r="B157" s="501" t="s">
        <v>1535</v>
      </c>
      <c r="C157" s="502" t="s">
        <v>82</v>
      </c>
      <c r="D157" s="502">
        <v>900</v>
      </c>
      <c r="E157" s="504">
        <v>70</v>
      </c>
      <c r="F157" s="504">
        <v>170</v>
      </c>
      <c r="G157" s="504">
        <v>200</v>
      </c>
      <c r="H157" s="505">
        <f t="shared" si="9"/>
        <v>440</v>
      </c>
      <c r="I157" s="505">
        <v>20</v>
      </c>
      <c r="J157" s="505">
        <f t="shared" si="10"/>
        <v>460</v>
      </c>
      <c r="K157" s="503">
        <f t="shared" si="11"/>
        <v>7.666666666666667</v>
      </c>
      <c r="L157" s="505" t="s">
        <v>1533</v>
      </c>
    </row>
    <row r="158" spans="1:12" x14ac:dyDescent="0.25">
      <c r="A158" s="501" t="s">
        <v>1534</v>
      </c>
      <c r="B158" s="501" t="s">
        <v>1535</v>
      </c>
      <c r="C158" s="502" t="s">
        <v>82</v>
      </c>
      <c r="D158" s="502">
        <v>1500</v>
      </c>
      <c r="E158" s="504">
        <v>90</v>
      </c>
      <c r="F158" s="504">
        <v>230</v>
      </c>
      <c r="G158" s="504">
        <v>260</v>
      </c>
      <c r="H158" s="505">
        <f t="shared" si="9"/>
        <v>580</v>
      </c>
      <c r="I158" s="505">
        <v>20</v>
      </c>
      <c r="J158" s="505">
        <f t="shared" si="10"/>
        <v>600</v>
      </c>
      <c r="K158" s="503">
        <f t="shared" si="11"/>
        <v>10</v>
      </c>
      <c r="L158" s="505" t="s">
        <v>1533</v>
      </c>
    </row>
    <row r="159" spans="1:12" x14ac:dyDescent="0.25">
      <c r="A159" s="501" t="s">
        <v>1534</v>
      </c>
      <c r="B159" s="501" t="s">
        <v>1535</v>
      </c>
      <c r="C159" s="502" t="s">
        <v>120</v>
      </c>
      <c r="D159" s="502">
        <v>150</v>
      </c>
      <c r="E159" s="502">
        <v>50</v>
      </c>
      <c r="F159" s="502">
        <v>115</v>
      </c>
      <c r="G159" s="502">
        <v>155</v>
      </c>
      <c r="H159" s="501">
        <f t="shared" si="9"/>
        <v>320</v>
      </c>
      <c r="I159" s="501">
        <v>20</v>
      </c>
      <c r="J159" s="501">
        <f t="shared" si="10"/>
        <v>340</v>
      </c>
      <c r="K159" s="503">
        <f t="shared" si="11"/>
        <v>5.666666666666667</v>
      </c>
      <c r="L159" s="501" t="s">
        <v>1531</v>
      </c>
    </row>
    <row r="160" spans="1:12" x14ac:dyDescent="0.25">
      <c r="A160" s="501" t="s">
        <v>1534</v>
      </c>
      <c r="B160" s="501" t="s">
        <v>1535</v>
      </c>
      <c r="C160" s="502" t="s">
        <v>120</v>
      </c>
      <c r="D160" s="502">
        <v>300</v>
      </c>
      <c r="E160" s="502">
        <v>55</v>
      </c>
      <c r="F160" s="502">
        <v>130</v>
      </c>
      <c r="G160" s="502">
        <v>170</v>
      </c>
      <c r="H160" s="501">
        <f t="shared" si="9"/>
        <v>355</v>
      </c>
      <c r="I160" s="501">
        <v>20</v>
      </c>
      <c r="J160" s="501">
        <f t="shared" si="10"/>
        <v>375</v>
      </c>
      <c r="K160" s="503">
        <f t="shared" si="11"/>
        <v>6.25</v>
      </c>
      <c r="L160" s="501" t="s">
        <v>1531</v>
      </c>
    </row>
    <row r="161" spans="1:12" x14ac:dyDescent="0.25">
      <c r="A161" s="501" t="s">
        <v>1534</v>
      </c>
      <c r="B161" s="501" t="s">
        <v>1535</v>
      </c>
      <c r="C161" s="502" t="s">
        <v>120</v>
      </c>
      <c r="D161" s="502">
        <v>600</v>
      </c>
      <c r="E161" s="504">
        <v>65</v>
      </c>
      <c r="F161" s="504">
        <v>160</v>
      </c>
      <c r="G161" s="504">
        <v>200</v>
      </c>
      <c r="H161" s="505">
        <f t="shared" si="9"/>
        <v>425</v>
      </c>
      <c r="I161" s="505">
        <v>20</v>
      </c>
      <c r="J161" s="505">
        <f t="shared" si="10"/>
        <v>445</v>
      </c>
      <c r="K161" s="503">
        <f t="shared" si="11"/>
        <v>7.416666666666667</v>
      </c>
      <c r="L161" s="505" t="s">
        <v>1533</v>
      </c>
    </row>
    <row r="162" spans="1:12" x14ac:dyDescent="0.25">
      <c r="A162" s="501" t="s">
        <v>1534</v>
      </c>
      <c r="B162" s="501" t="s">
        <v>1535</v>
      </c>
      <c r="C162" s="502" t="s">
        <v>120</v>
      </c>
      <c r="D162" s="502">
        <v>800</v>
      </c>
      <c r="E162" s="504">
        <v>72</v>
      </c>
      <c r="F162" s="504">
        <v>180</v>
      </c>
      <c r="G162" s="504">
        <v>220</v>
      </c>
      <c r="H162" s="505">
        <f t="shared" si="9"/>
        <v>472</v>
      </c>
      <c r="I162" s="505">
        <v>20</v>
      </c>
      <c r="J162" s="505">
        <f t="shared" si="10"/>
        <v>492</v>
      </c>
      <c r="K162" s="503">
        <f t="shared" si="11"/>
        <v>8.1999999999999993</v>
      </c>
      <c r="L162" s="505" t="s">
        <v>1533</v>
      </c>
    </row>
    <row r="163" spans="1:12" x14ac:dyDescent="0.25">
      <c r="A163" s="501" t="s">
        <v>1534</v>
      </c>
      <c r="B163" s="501" t="s">
        <v>1535</v>
      </c>
      <c r="C163" s="502" t="s">
        <v>120</v>
      </c>
      <c r="D163" s="502">
        <v>900</v>
      </c>
      <c r="E163" s="504">
        <v>75</v>
      </c>
      <c r="F163" s="504">
        <v>190</v>
      </c>
      <c r="G163" s="504">
        <v>230</v>
      </c>
      <c r="H163" s="505">
        <f t="shared" si="9"/>
        <v>495</v>
      </c>
      <c r="I163" s="505">
        <v>20</v>
      </c>
      <c r="J163" s="505">
        <f t="shared" si="10"/>
        <v>515</v>
      </c>
      <c r="K163" s="503">
        <f t="shared" si="11"/>
        <v>8.5833333333333339</v>
      </c>
      <c r="L163" s="505" t="s">
        <v>1533</v>
      </c>
    </row>
    <row r="164" spans="1:12" x14ac:dyDescent="0.25">
      <c r="A164" s="501" t="s">
        <v>1534</v>
      </c>
      <c r="B164" s="501" t="s">
        <v>1535</v>
      </c>
      <c r="C164" s="502" t="s">
        <v>120</v>
      </c>
      <c r="D164" s="502">
        <v>1500</v>
      </c>
      <c r="E164" s="504">
        <v>95</v>
      </c>
      <c r="F164" s="504">
        <v>250</v>
      </c>
      <c r="G164" s="504">
        <v>290</v>
      </c>
      <c r="H164" s="505">
        <f t="shared" si="9"/>
        <v>635</v>
      </c>
      <c r="I164" s="505">
        <v>20</v>
      </c>
      <c r="J164" s="505">
        <f t="shared" si="10"/>
        <v>655</v>
      </c>
      <c r="K164" s="503">
        <f t="shared" si="11"/>
        <v>10.916666666666666</v>
      </c>
      <c r="L164" s="505" t="s">
        <v>1533</v>
      </c>
    </row>
    <row r="165" spans="1:12" x14ac:dyDescent="0.25">
      <c r="A165" s="501" t="s">
        <v>1534</v>
      </c>
      <c r="B165" s="501" t="s">
        <v>1535</v>
      </c>
      <c r="C165" s="502" t="s">
        <v>80</v>
      </c>
      <c r="D165" s="502">
        <v>150</v>
      </c>
      <c r="E165" s="502">
        <v>70</v>
      </c>
      <c r="F165" s="502">
        <v>135</v>
      </c>
      <c r="G165" s="502">
        <v>170</v>
      </c>
      <c r="H165" s="501">
        <f t="shared" si="9"/>
        <v>375</v>
      </c>
      <c r="I165" s="501">
        <v>20</v>
      </c>
      <c r="J165" s="501">
        <f t="shared" si="10"/>
        <v>395</v>
      </c>
      <c r="K165" s="503">
        <f t="shared" si="11"/>
        <v>6.583333333333333</v>
      </c>
      <c r="L165" s="501" t="s">
        <v>1531</v>
      </c>
    </row>
    <row r="166" spans="1:12" x14ac:dyDescent="0.25">
      <c r="A166" s="501" t="s">
        <v>1534</v>
      </c>
      <c r="B166" s="501" t="s">
        <v>1535</v>
      </c>
      <c r="C166" s="502" t="s">
        <v>80</v>
      </c>
      <c r="D166" s="502">
        <v>300</v>
      </c>
      <c r="E166" s="502">
        <v>85</v>
      </c>
      <c r="F166" s="502">
        <v>150</v>
      </c>
      <c r="G166" s="502">
        <v>185</v>
      </c>
      <c r="H166" s="501">
        <f t="shared" si="9"/>
        <v>420</v>
      </c>
      <c r="I166" s="501">
        <v>20</v>
      </c>
      <c r="J166" s="501">
        <f t="shared" si="10"/>
        <v>440</v>
      </c>
      <c r="K166" s="503">
        <f t="shared" si="11"/>
        <v>7.333333333333333</v>
      </c>
      <c r="L166" s="501" t="s">
        <v>1531</v>
      </c>
    </row>
    <row r="167" spans="1:12" x14ac:dyDescent="0.25">
      <c r="A167" s="501" t="s">
        <v>1534</v>
      </c>
      <c r="B167" s="501" t="s">
        <v>1535</v>
      </c>
      <c r="C167" s="502" t="s">
        <v>80</v>
      </c>
      <c r="D167" s="502">
        <v>600</v>
      </c>
      <c r="E167" s="504">
        <v>115</v>
      </c>
      <c r="F167" s="504">
        <v>180</v>
      </c>
      <c r="G167" s="504">
        <v>215</v>
      </c>
      <c r="H167" s="505">
        <f t="shared" si="9"/>
        <v>510</v>
      </c>
      <c r="I167" s="505">
        <v>20</v>
      </c>
      <c r="J167" s="505">
        <f t="shared" si="10"/>
        <v>530</v>
      </c>
      <c r="K167" s="503">
        <f t="shared" si="11"/>
        <v>8.8333333333333339</v>
      </c>
      <c r="L167" s="505" t="s">
        <v>1533</v>
      </c>
    </row>
    <row r="168" spans="1:12" x14ac:dyDescent="0.25">
      <c r="A168" s="501" t="s">
        <v>1534</v>
      </c>
      <c r="B168" s="501" t="s">
        <v>1535</v>
      </c>
      <c r="C168" s="502" t="s">
        <v>80</v>
      </c>
      <c r="D168" s="502">
        <v>800</v>
      </c>
      <c r="E168" s="504">
        <v>135</v>
      </c>
      <c r="F168" s="504">
        <v>200</v>
      </c>
      <c r="G168" s="504">
        <v>235</v>
      </c>
      <c r="H168" s="505">
        <f t="shared" si="9"/>
        <v>570</v>
      </c>
      <c r="I168" s="505">
        <v>20</v>
      </c>
      <c r="J168" s="505">
        <f t="shared" si="10"/>
        <v>590</v>
      </c>
      <c r="K168" s="503">
        <f t="shared" si="11"/>
        <v>9.8333333333333339</v>
      </c>
      <c r="L168" s="505" t="s">
        <v>1533</v>
      </c>
    </row>
    <row r="169" spans="1:12" x14ac:dyDescent="0.25">
      <c r="A169" s="501" t="s">
        <v>1534</v>
      </c>
      <c r="B169" s="501" t="s">
        <v>1535</v>
      </c>
      <c r="C169" s="502" t="s">
        <v>80</v>
      </c>
      <c r="D169" s="502">
        <v>900</v>
      </c>
      <c r="E169" s="504">
        <v>145</v>
      </c>
      <c r="F169" s="504">
        <v>210</v>
      </c>
      <c r="G169" s="504">
        <v>245</v>
      </c>
      <c r="H169" s="505">
        <f t="shared" si="9"/>
        <v>600</v>
      </c>
      <c r="I169" s="505">
        <v>20</v>
      </c>
      <c r="J169" s="505">
        <f t="shared" si="10"/>
        <v>620</v>
      </c>
      <c r="K169" s="503">
        <f t="shared" si="11"/>
        <v>10.333333333333334</v>
      </c>
      <c r="L169" s="505" t="s">
        <v>1533</v>
      </c>
    </row>
    <row r="170" spans="1:12" x14ac:dyDescent="0.25">
      <c r="A170" s="501" t="s">
        <v>1534</v>
      </c>
      <c r="B170" s="501" t="s">
        <v>1535</v>
      </c>
      <c r="C170" s="502" t="s">
        <v>80</v>
      </c>
      <c r="D170" s="502">
        <v>1500</v>
      </c>
      <c r="E170" s="504">
        <v>205</v>
      </c>
      <c r="F170" s="504">
        <v>270</v>
      </c>
      <c r="G170" s="504">
        <v>305</v>
      </c>
      <c r="H170" s="505">
        <f t="shared" si="9"/>
        <v>780</v>
      </c>
      <c r="I170" s="505">
        <v>20</v>
      </c>
      <c r="J170" s="505">
        <f t="shared" si="10"/>
        <v>800</v>
      </c>
      <c r="K170" s="503">
        <f t="shared" si="11"/>
        <v>13.333333333333334</v>
      </c>
      <c r="L170" s="505" t="s">
        <v>1533</v>
      </c>
    </row>
    <row r="171" spans="1:12" x14ac:dyDescent="0.25">
      <c r="A171" s="501" t="s">
        <v>1534</v>
      </c>
      <c r="B171" s="501" t="s">
        <v>1535</v>
      </c>
      <c r="C171" s="502" t="s">
        <v>119</v>
      </c>
      <c r="D171" s="502">
        <v>150</v>
      </c>
      <c r="E171" s="502">
        <v>90</v>
      </c>
      <c r="F171" s="502">
        <v>160</v>
      </c>
      <c r="G171" s="502">
        <v>205</v>
      </c>
      <c r="H171" s="501">
        <f t="shared" si="9"/>
        <v>455</v>
      </c>
      <c r="I171" s="501">
        <v>20</v>
      </c>
      <c r="J171" s="501">
        <f t="shared" si="10"/>
        <v>475</v>
      </c>
      <c r="K171" s="503">
        <f t="shared" si="11"/>
        <v>7.916666666666667</v>
      </c>
      <c r="L171" s="501" t="s">
        <v>1531</v>
      </c>
    </row>
    <row r="172" spans="1:12" x14ac:dyDescent="0.25">
      <c r="A172" s="501" t="s">
        <v>1534</v>
      </c>
      <c r="B172" s="501" t="s">
        <v>1535</v>
      </c>
      <c r="C172" s="502" t="s">
        <v>119</v>
      </c>
      <c r="D172" s="502">
        <v>300</v>
      </c>
      <c r="E172" s="502">
        <v>105</v>
      </c>
      <c r="F172" s="502">
        <v>175</v>
      </c>
      <c r="G172" s="502">
        <v>220</v>
      </c>
      <c r="H172" s="501">
        <f t="shared" si="9"/>
        <v>500</v>
      </c>
      <c r="I172" s="501">
        <v>20</v>
      </c>
      <c r="J172" s="501">
        <f t="shared" si="10"/>
        <v>520</v>
      </c>
      <c r="K172" s="503">
        <f t="shared" si="11"/>
        <v>8.6666666666666661</v>
      </c>
      <c r="L172" s="501" t="s">
        <v>1531</v>
      </c>
    </row>
    <row r="173" spans="1:12" x14ac:dyDescent="0.25">
      <c r="A173" s="501" t="s">
        <v>1534</v>
      </c>
      <c r="B173" s="501" t="s">
        <v>1535</v>
      </c>
      <c r="C173" s="502" t="s">
        <v>119</v>
      </c>
      <c r="D173" s="502">
        <v>600</v>
      </c>
      <c r="E173" s="504">
        <v>135</v>
      </c>
      <c r="F173" s="504">
        <v>205</v>
      </c>
      <c r="G173" s="504">
        <v>250</v>
      </c>
      <c r="H173" s="505">
        <f t="shared" si="9"/>
        <v>590</v>
      </c>
      <c r="I173" s="505">
        <v>20</v>
      </c>
      <c r="J173" s="505">
        <f t="shared" si="10"/>
        <v>610</v>
      </c>
      <c r="K173" s="503">
        <f t="shared" si="11"/>
        <v>10.166666666666666</v>
      </c>
      <c r="L173" s="505" t="s">
        <v>1533</v>
      </c>
    </row>
    <row r="174" spans="1:12" x14ac:dyDescent="0.25">
      <c r="A174" s="501" t="s">
        <v>1534</v>
      </c>
      <c r="B174" s="501" t="s">
        <v>1535</v>
      </c>
      <c r="C174" s="502" t="s">
        <v>119</v>
      </c>
      <c r="D174" s="502">
        <v>800</v>
      </c>
      <c r="E174" s="504">
        <v>155</v>
      </c>
      <c r="F174" s="504">
        <v>225</v>
      </c>
      <c r="G174" s="504">
        <v>270</v>
      </c>
      <c r="H174" s="505">
        <f t="shared" si="9"/>
        <v>650</v>
      </c>
      <c r="I174" s="505">
        <v>20</v>
      </c>
      <c r="J174" s="505">
        <f t="shared" si="10"/>
        <v>670</v>
      </c>
      <c r="K174" s="503">
        <f t="shared" si="11"/>
        <v>11.166666666666666</v>
      </c>
      <c r="L174" s="505" t="s">
        <v>1533</v>
      </c>
    </row>
    <row r="175" spans="1:12" x14ac:dyDescent="0.25">
      <c r="A175" s="501" t="s">
        <v>1534</v>
      </c>
      <c r="B175" s="501" t="s">
        <v>1535</v>
      </c>
      <c r="C175" s="502" t="s">
        <v>119</v>
      </c>
      <c r="D175" s="502">
        <v>900</v>
      </c>
      <c r="E175" s="504">
        <v>165</v>
      </c>
      <c r="F175" s="504">
        <v>235</v>
      </c>
      <c r="G175" s="504">
        <v>280</v>
      </c>
      <c r="H175" s="505">
        <f t="shared" si="9"/>
        <v>680</v>
      </c>
      <c r="I175" s="505">
        <v>20</v>
      </c>
      <c r="J175" s="505">
        <f t="shared" si="10"/>
        <v>700</v>
      </c>
      <c r="K175" s="503">
        <f t="shared" si="11"/>
        <v>11.666666666666666</v>
      </c>
      <c r="L175" s="505" t="s">
        <v>1533</v>
      </c>
    </row>
    <row r="176" spans="1:12" x14ac:dyDescent="0.25">
      <c r="A176" s="501" t="s">
        <v>1534</v>
      </c>
      <c r="B176" s="501" t="s">
        <v>1535</v>
      </c>
      <c r="C176" s="502" t="s">
        <v>119</v>
      </c>
      <c r="D176" s="502">
        <v>1500</v>
      </c>
      <c r="E176" s="504">
        <v>225</v>
      </c>
      <c r="F176" s="504">
        <v>295</v>
      </c>
      <c r="G176" s="504">
        <v>340</v>
      </c>
      <c r="H176" s="505">
        <f t="shared" si="9"/>
        <v>860</v>
      </c>
      <c r="I176" s="505">
        <v>20</v>
      </c>
      <c r="J176" s="505">
        <f t="shared" si="10"/>
        <v>880</v>
      </c>
      <c r="K176" s="503">
        <f t="shared" si="11"/>
        <v>14.666666666666666</v>
      </c>
      <c r="L176" s="505" t="s">
        <v>1533</v>
      </c>
    </row>
    <row r="177" spans="1:12" x14ac:dyDescent="0.25">
      <c r="A177" s="501" t="s">
        <v>1534</v>
      </c>
      <c r="B177" s="501" t="s">
        <v>1535</v>
      </c>
      <c r="C177" s="502" t="s">
        <v>179</v>
      </c>
      <c r="D177" s="502">
        <v>150</v>
      </c>
      <c r="E177" s="502">
        <v>105</v>
      </c>
      <c r="F177" s="502">
        <v>175</v>
      </c>
      <c r="G177" s="502">
        <v>235</v>
      </c>
      <c r="H177" s="501">
        <f t="shared" si="9"/>
        <v>515</v>
      </c>
      <c r="I177" s="501">
        <v>25</v>
      </c>
      <c r="J177" s="501">
        <f t="shared" si="10"/>
        <v>540</v>
      </c>
      <c r="K177" s="503">
        <f t="shared" si="11"/>
        <v>9</v>
      </c>
      <c r="L177" s="501" t="s">
        <v>1531</v>
      </c>
    </row>
    <row r="178" spans="1:12" x14ac:dyDescent="0.25">
      <c r="A178" s="501" t="s">
        <v>1534</v>
      </c>
      <c r="B178" s="501" t="s">
        <v>1535</v>
      </c>
      <c r="C178" s="502" t="s">
        <v>179</v>
      </c>
      <c r="D178" s="502">
        <v>300</v>
      </c>
      <c r="E178" s="502">
        <v>130</v>
      </c>
      <c r="F178" s="502">
        <v>190</v>
      </c>
      <c r="G178" s="502">
        <v>250</v>
      </c>
      <c r="H178" s="501">
        <f t="shared" si="9"/>
        <v>570</v>
      </c>
      <c r="I178" s="501">
        <v>25</v>
      </c>
      <c r="J178" s="501">
        <f t="shared" si="10"/>
        <v>595</v>
      </c>
      <c r="K178" s="503">
        <f t="shared" si="11"/>
        <v>9.9166666666666661</v>
      </c>
      <c r="L178" s="501" t="s">
        <v>1531</v>
      </c>
    </row>
    <row r="179" spans="1:12" x14ac:dyDescent="0.25">
      <c r="A179" s="501" t="s">
        <v>1534</v>
      </c>
      <c r="B179" s="501" t="s">
        <v>1535</v>
      </c>
      <c r="C179" s="502" t="s">
        <v>179</v>
      </c>
      <c r="D179" s="502">
        <v>600</v>
      </c>
      <c r="E179" s="504">
        <v>180</v>
      </c>
      <c r="F179" s="504">
        <v>220</v>
      </c>
      <c r="G179" s="504">
        <v>280</v>
      </c>
      <c r="H179" s="505">
        <f t="shared" si="9"/>
        <v>680</v>
      </c>
      <c r="I179" s="505">
        <v>25</v>
      </c>
      <c r="J179" s="505">
        <f t="shared" si="10"/>
        <v>705</v>
      </c>
      <c r="K179" s="503">
        <f t="shared" si="11"/>
        <v>11.75</v>
      </c>
      <c r="L179" s="505" t="s">
        <v>1533</v>
      </c>
    </row>
    <row r="180" spans="1:12" x14ac:dyDescent="0.25">
      <c r="A180" s="501" t="s">
        <v>1534</v>
      </c>
      <c r="B180" s="501" t="s">
        <v>1535</v>
      </c>
      <c r="C180" s="502" t="s">
        <v>179</v>
      </c>
      <c r="D180" s="502">
        <v>800</v>
      </c>
      <c r="E180" s="504">
        <v>213</v>
      </c>
      <c r="F180" s="504">
        <v>240</v>
      </c>
      <c r="G180" s="504">
        <v>300</v>
      </c>
      <c r="H180" s="505">
        <f t="shared" si="9"/>
        <v>753</v>
      </c>
      <c r="I180" s="505">
        <v>25</v>
      </c>
      <c r="J180" s="505">
        <f t="shared" si="10"/>
        <v>778</v>
      </c>
      <c r="K180" s="503">
        <f t="shared" si="11"/>
        <v>12.966666666666667</v>
      </c>
      <c r="L180" s="505" t="s">
        <v>1533</v>
      </c>
    </row>
    <row r="181" spans="1:12" x14ac:dyDescent="0.25">
      <c r="A181" s="501" t="s">
        <v>1534</v>
      </c>
      <c r="B181" s="501" t="s">
        <v>1535</v>
      </c>
      <c r="C181" s="502" t="s">
        <v>179</v>
      </c>
      <c r="D181" s="502">
        <v>900</v>
      </c>
      <c r="E181" s="504">
        <v>230</v>
      </c>
      <c r="F181" s="504">
        <v>250</v>
      </c>
      <c r="G181" s="504">
        <v>310</v>
      </c>
      <c r="H181" s="505">
        <f t="shared" si="9"/>
        <v>790</v>
      </c>
      <c r="I181" s="505">
        <v>25</v>
      </c>
      <c r="J181" s="505">
        <f t="shared" si="10"/>
        <v>815</v>
      </c>
      <c r="K181" s="503">
        <f t="shared" si="11"/>
        <v>13.583333333333334</v>
      </c>
      <c r="L181" s="505" t="s">
        <v>1533</v>
      </c>
    </row>
    <row r="182" spans="1:12" x14ac:dyDescent="0.25">
      <c r="A182" s="501" t="s">
        <v>1534</v>
      </c>
      <c r="B182" s="501" t="s">
        <v>1535</v>
      </c>
      <c r="C182" s="502" t="s">
        <v>179</v>
      </c>
      <c r="D182" s="502">
        <v>1500</v>
      </c>
      <c r="E182" s="504">
        <v>330</v>
      </c>
      <c r="F182" s="504">
        <v>310</v>
      </c>
      <c r="G182" s="504">
        <v>370</v>
      </c>
      <c r="H182" s="505">
        <f t="shared" si="9"/>
        <v>1010</v>
      </c>
      <c r="I182" s="505">
        <v>25</v>
      </c>
      <c r="J182" s="505">
        <f t="shared" si="10"/>
        <v>1035</v>
      </c>
      <c r="K182" s="503">
        <f t="shared" si="11"/>
        <v>17.25</v>
      </c>
      <c r="L182" s="505" t="s">
        <v>1533</v>
      </c>
    </row>
    <row r="183" spans="1:12" x14ac:dyDescent="0.25">
      <c r="A183" s="501" t="s">
        <v>1534</v>
      </c>
      <c r="B183" s="501" t="s">
        <v>1535</v>
      </c>
      <c r="C183" s="502" t="s">
        <v>118</v>
      </c>
      <c r="D183" s="502">
        <v>150</v>
      </c>
      <c r="E183" s="502">
        <v>120</v>
      </c>
      <c r="F183" s="502">
        <v>195</v>
      </c>
      <c r="G183" s="502">
        <v>265</v>
      </c>
      <c r="H183" s="501">
        <f t="shared" si="9"/>
        <v>580</v>
      </c>
      <c r="I183" s="501">
        <v>25</v>
      </c>
      <c r="J183" s="501">
        <f t="shared" si="10"/>
        <v>605</v>
      </c>
      <c r="K183" s="503">
        <f t="shared" si="11"/>
        <v>10.083333333333334</v>
      </c>
      <c r="L183" s="501" t="s">
        <v>1531</v>
      </c>
    </row>
    <row r="184" spans="1:12" x14ac:dyDescent="0.25">
      <c r="A184" s="501" t="s">
        <v>1534</v>
      </c>
      <c r="B184" s="501" t="s">
        <v>1535</v>
      </c>
      <c r="C184" s="502" t="s">
        <v>118</v>
      </c>
      <c r="D184" s="502">
        <v>300</v>
      </c>
      <c r="E184" s="502">
        <v>140</v>
      </c>
      <c r="F184" s="502">
        <v>210</v>
      </c>
      <c r="G184" s="502">
        <v>280</v>
      </c>
      <c r="H184" s="501">
        <f t="shared" si="9"/>
        <v>630</v>
      </c>
      <c r="I184" s="501">
        <v>25</v>
      </c>
      <c r="J184" s="501">
        <f t="shared" si="10"/>
        <v>655</v>
      </c>
      <c r="K184" s="503">
        <f t="shared" si="11"/>
        <v>10.916666666666666</v>
      </c>
      <c r="L184" s="501" t="s">
        <v>1531</v>
      </c>
    </row>
    <row r="185" spans="1:12" x14ac:dyDescent="0.25">
      <c r="A185" s="501" t="s">
        <v>1534</v>
      </c>
      <c r="B185" s="501" t="s">
        <v>1535</v>
      </c>
      <c r="C185" s="502" t="s">
        <v>118</v>
      </c>
      <c r="D185" s="502">
        <v>600</v>
      </c>
      <c r="E185" s="504">
        <v>180</v>
      </c>
      <c r="F185" s="504">
        <v>240</v>
      </c>
      <c r="G185" s="504">
        <v>310</v>
      </c>
      <c r="H185" s="505">
        <f t="shared" si="9"/>
        <v>730</v>
      </c>
      <c r="I185" s="505">
        <v>25</v>
      </c>
      <c r="J185" s="505">
        <f t="shared" si="10"/>
        <v>755</v>
      </c>
      <c r="K185" s="503">
        <f t="shared" si="11"/>
        <v>12.583333333333334</v>
      </c>
      <c r="L185" s="505" t="s">
        <v>1533</v>
      </c>
    </row>
    <row r="186" spans="1:12" x14ac:dyDescent="0.25">
      <c r="A186" s="501" t="s">
        <v>1534</v>
      </c>
      <c r="B186" s="501" t="s">
        <v>1535</v>
      </c>
      <c r="C186" s="502" t="s">
        <v>118</v>
      </c>
      <c r="D186" s="502">
        <v>800</v>
      </c>
      <c r="E186" s="504">
        <v>207</v>
      </c>
      <c r="F186" s="504">
        <v>260</v>
      </c>
      <c r="G186" s="504">
        <v>330</v>
      </c>
      <c r="H186" s="505">
        <f t="shared" si="9"/>
        <v>797</v>
      </c>
      <c r="I186" s="505">
        <v>25</v>
      </c>
      <c r="J186" s="505">
        <f t="shared" si="10"/>
        <v>822</v>
      </c>
      <c r="K186" s="503">
        <f t="shared" si="11"/>
        <v>13.7</v>
      </c>
      <c r="L186" s="505" t="s">
        <v>1533</v>
      </c>
    </row>
    <row r="187" spans="1:12" x14ac:dyDescent="0.25">
      <c r="A187" s="501" t="s">
        <v>1534</v>
      </c>
      <c r="B187" s="501" t="s">
        <v>1535</v>
      </c>
      <c r="C187" s="502" t="s">
        <v>118</v>
      </c>
      <c r="D187" s="502">
        <v>900</v>
      </c>
      <c r="E187" s="504">
        <v>220</v>
      </c>
      <c r="F187" s="504">
        <v>270</v>
      </c>
      <c r="G187" s="504">
        <v>340</v>
      </c>
      <c r="H187" s="505">
        <f t="shared" si="9"/>
        <v>830</v>
      </c>
      <c r="I187" s="505">
        <v>25</v>
      </c>
      <c r="J187" s="505">
        <f t="shared" si="10"/>
        <v>855</v>
      </c>
      <c r="K187" s="503">
        <f t="shared" si="11"/>
        <v>14.25</v>
      </c>
      <c r="L187" s="505" t="s">
        <v>1533</v>
      </c>
    </row>
    <row r="188" spans="1:12" x14ac:dyDescent="0.25">
      <c r="A188" s="501" t="s">
        <v>1534</v>
      </c>
      <c r="B188" s="501" t="s">
        <v>1535</v>
      </c>
      <c r="C188" s="502" t="s">
        <v>118</v>
      </c>
      <c r="D188" s="502">
        <v>1500</v>
      </c>
      <c r="E188" s="504">
        <v>300</v>
      </c>
      <c r="F188" s="504">
        <v>330</v>
      </c>
      <c r="G188" s="504">
        <v>400</v>
      </c>
      <c r="H188" s="505">
        <f t="shared" si="9"/>
        <v>1030</v>
      </c>
      <c r="I188" s="505">
        <v>25</v>
      </c>
      <c r="J188" s="505">
        <f t="shared" si="10"/>
        <v>1055</v>
      </c>
      <c r="K188" s="503">
        <f t="shared" si="11"/>
        <v>17.583333333333332</v>
      </c>
      <c r="L188" s="505" t="s">
        <v>1533</v>
      </c>
    </row>
    <row r="189" spans="1:12" x14ac:dyDescent="0.25">
      <c r="A189" s="501" t="s">
        <v>1534</v>
      </c>
      <c r="B189" s="501" t="s">
        <v>1535</v>
      </c>
      <c r="C189" s="502" t="s">
        <v>688</v>
      </c>
      <c r="D189" s="502">
        <v>150</v>
      </c>
      <c r="E189" s="502">
        <v>140</v>
      </c>
      <c r="F189" s="502">
        <v>220</v>
      </c>
      <c r="G189" s="502">
        <v>295</v>
      </c>
      <c r="H189" s="501">
        <f t="shared" si="9"/>
        <v>655</v>
      </c>
      <c r="I189" s="501">
        <v>25</v>
      </c>
      <c r="J189" s="501">
        <f t="shared" si="10"/>
        <v>680</v>
      </c>
      <c r="K189" s="503">
        <f t="shared" si="11"/>
        <v>11.333333333333334</v>
      </c>
      <c r="L189" s="501" t="s">
        <v>1531</v>
      </c>
    </row>
    <row r="190" spans="1:12" x14ac:dyDescent="0.25">
      <c r="A190" s="501" t="s">
        <v>1534</v>
      </c>
      <c r="B190" s="501" t="s">
        <v>1535</v>
      </c>
      <c r="C190" s="502" t="s">
        <v>688</v>
      </c>
      <c r="D190" s="502">
        <v>300</v>
      </c>
      <c r="E190" s="502">
        <v>160</v>
      </c>
      <c r="F190" s="502">
        <v>235</v>
      </c>
      <c r="G190" s="502">
        <v>310</v>
      </c>
      <c r="H190" s="501">
        <f t="shared" si="9"/>
        <v>705</v>
      </c>
      <c r="I190" s="501">
        <v>25</v>
      </c>
      <c r="J190" s="501">
        <f t="shared" si="10"/>
        <v>730</v>
      </c>
      <c r="K190" s="503">
        <f t="shared" si="11"/>
        <v>12.166666666666666</v>
      </c>
      <c r="L190" s="501" t="s">
        <v>1531</v>
      </c>
    </row>
    <row r="191" spans="1:12" x14ac:dyDescent="0.25">
      <c r="A191" s="501" t="s">
        <v>1534</v>
      </c>
      <c r="B191" s="501" t="s">
        <v>1535</v>
      </c>
      <c r="C191" s="502" t="s">
        <v>688</v>
      </c>
      <c r="D191" s="502">
        <v>600</v>
      </c>
      <c r="E191" s="504">
        <v>200</v>
      </c>
      <c r="F191" s="504">
        <v>265</v>
      </c>
      <c r="G191" s="504">
        <v>340</v>
      </c>
      <c r="H191" s="505">
        <f t="shared" si="9"/>
        <v>805</v>
      </c>
      <c r="I191" s="505">
        <v>25</v>
      </c>
      <c r="J191" s="505">
        <f t="shared" si="10"/>
        <v>830</v>
      </c>
      <c r="K191" s="503">
        <f t="shared" si="11"/>
        <v>13.833333333333334</v>
      </c>
      <c r="L191" s="505" t="s">
        <v>1533</v>
      </c>
    </row>
    <row r="192" spans="1:12" x14ac:dyDescent="0.25">
      <c r="A192" s="501" t="s">
        <v>1534</v>
      </c>
      <c r="B192" s="501" t="s">
        <v>1535</v>
      </c>
      <c r="C192" s="502" t="s">
        <v>688</v>
      </c>
      <c r="D192" s="502">
        <v>800</v>
      </c>
      <c r="E192" s="504">
        <v>227</v>
      </c>
      <c r="F192" s="504">
        <v>285</v>
      </c>
      <c r="G192" s="504">
        <v>360</v>
      </c>
      <c r="H192" s="505">
        <f t="shared" si="9"/>
        <v>872</v>
      </c>
      <c r="I192" s="505">
        <v>25</v>
      </c>
      <c r="J192" s="505">
        <f t="shared" si="10"/>
        <v>897</v>
      </c>
      <c r="K192" s="503">
        <f t="shared" si="11"/>
        <v>14.95</v>
      </c>
      <c r="L192" s="505" t="s">
        <v>1533</v>
      </c>
    </row>
    <row r="193" spans="1:12" x14ac:dyDescent="0.25">
      <c r="A193" s="501" t="s">
        <v>1534</v>
      </c>
      <c r="B193" s="501" t="s">
        <v>1535</v>
      </c>
      <c r="C193" s="502" t="s">
        <v>688</v>
      </c>
      <c r="D193" s="502">
        <v>900</v>
      </c>
      <c r="E193" s="504">
        <v>240</v>
      </c>
      <c r="F193" s="504">
        <v>295</v>
      </c>
      <c r="G193" s="504">
        <v>370</v>
      </c>
      <c r="H193" s="505">
        <f t="shared" si="9"/>
        <v>905</v>
      </c>
      <c r="I193" s="505">
        <v>25</v>
      </c>
      <c r="J193" s="505">
        <f t="shared" si="10"/>
        <v>930</v>
      </c>
      <c r="K193" s="503">
        <f t="shared" si="11"/>
        <v>15.5</v>
      </c>
      <c r="L193" s="505" t="s">
        <v>1533</v>
      </c>
    </row>
    <row r="194" spans="1:12" x14ac:dyDescent="0.25">
      <c r="A194" s="501" t="s">
        <v>1534</v>
      </c>
      <c r="B194" s="501" t="s">
        <v>1535</v>
      </c>
      <c r="C194" s="502" t="s">
        <v>688</v>
      </c>
      <c r="D194" s="502">
        <v>1500</v>
      </c>
      <c r="E194" s="504">
        <v>320</v>
      </c>
      <c r="F194" s="504">
        <v>355</v>
      </c>
      <c r="G194" s="504">
        <v>430</v>
      </c>
      <c r="H194" s="505">
        <f t="shared" si="9"/>
        <v>1105</v>
      </c>
      <c r="I194" s="505">
        <v>25</v>
      </c>
      <c r="J194" s="505">
        <f t="shared" si="10"/>
        <v>1130</v>
      </c>
      <c r="K194" s="503">
        <f t="shared" si="11"/>
        <v>18.833333333333332</v>
      </c>
      <c r="L194" s="505" t="s">
        <v>1533</v>
      </c>
    </row>
    <row r="195" spans="1:12" x14ac:dyDescent="0.25">
      <c r="A195" s="501" t="s">
        <v>1534</v>
      </c>
      <c r="B195" s="501" t="s">
        <v>1535</v>
      </c>
      <c r="C195" s="502" t="s">
        <v>171</v>
      </c>
      <c r="D195" s="502">
        <v>150</v>
      </c>
      <c r="E195" s="502">
        <v>160</v>
      </c>
      <c r="F195" s="502">
        <v>240</v>
      </c>
      <c r="G195" s="502">
        <v>340</v>
      </c>
      <c r="H195" s="501">
        <f t="shared" si="9"/>
        <v>740</v>
      </c>
      <c r="I195" s="501">
        <v>25</v>
      </c>
      <c r="J195" s="501">
        <f t="shared" si="10"/>
        <v>765</v>
      </c>
      <c r="K195" s="503">
        <f t="shared" si="11"/>
        <v>12.75</v>
      </c>
      <c r="L195" s="501" t="s">
        <v>1531</v>
      </c>
    </row>
    <row r="196" spans="1:12" x14ac:dyDescent="0.25">
      <c r="A196" s="501" t="s">
        <v>1534</v>
      </c>
      <c r="B196" s="501" t="s">
        <v>1535</v>
      </c>
      <c r="C196" s="502" t="s">
        <v>171</v>
      </c>
      <c r="D196" s="502">
        <v>300</v>
      </c>
      <c r="E196" s="502">
        <v>190</v>
      </c>
      <c r="F196" s="502">
        <v>255</v>
      </c>
      <c r="G196" s="502">
        <v>355</v>
      </c>
      <c r="H196" s="501">
        <f t="shared" si="9"/>
        <v>800</v>
      </c>
      <c r="I196" s="501">
        <v>25</v>
      </c>
      <c r="J196" s="501">
        <f t="shared" si="10"/>
        <v>825</v>
      </c>
      <c r="K196" s="503">
        <f t="shared" si="11"/>
        <v>13.75</v>
      </c>
      <c r="L196" s="501" t="s">
        <v>1531</v>
      </c>
    </row>
    <row r="197" spans="1:12" x14ac:dyDescent="0.25">
      <c r="A197" s="501" t="s">
        <v>1534</v>
      </c>
      <c r="B197" s="501" t="s">
        <v>1535</v>
      </c>
      <c r="C197" s="502" t="s">
        <v>171</v>
      </c>
      <c r="D197" s="502">
        <v>600</v>
      </c>
      <c r="E197" s="504">
        <v>250</v>
      </c>
      <c r="F197" s="504">
        <v>285</v>
      </c>
      <c r="G197" s="504">
        <v>385</v>
      </c>
      <c r="H197" s="505">
        <f t="shared" si="9"/>
        <v>920</v>
      </c>
      <c r="I197" s="505">
        <v>25</v>
      </c>
      <c r="J197" s="505">
        <f t="shared" si="10"/>
        <v>945</v>
      </c>
      <c r="K197" s="503">
        <f t="shared" si="11"/>
        <v>15.75</v>
      </c>
      <c r="L197" s="505" t="s">
        <v>1533</v>
      </c>
    </row>
    <row r="198" spans="1:12" x14ac:dyDescent="0.25">
      <c r="A198" s="501" t="s">
        <v>1534</v>
      </c>
      <c r="B198" s="501" t="s">
        <v>1535</v>
      </c>
      <c r="C198" s="502" t="s">
        <v>171</v>
      </c>
      <c r="D198" s="502">
        <v>800</v>
      </c>
      <c r="E198" s="504">
        <v>290</v>
      </c>
      <c r="F198" s="504">
        <v>305</v>
      </c>
      <c r="G198" s="504">
        <v>405</v>
      </c>
      <c r="H198" s="505">
        <f t="shared" si="9"/>
        <v>1000</v>
      </c>
      <c r="I198" s="505">
        <v>25</v>
      </c>
      <c r="J198" s="505">
        <f t="shared" si="10"/>
        <v>1025</v>
      </c>
      <c r="K198" s="503">
        <f t="shared" si="11"/>
        <v>17.083333333333332</v>
      </c>
      <c r="L198" s="505" t="s">
        <v>1533</v>
      </c>
    </row>
    <row r="199" spans="1:12" x14ac:dyDescent="0.25">
      <c r="A199" s="501" t="s">
        <v>1534</v>
      </c>
      <c r="B199" s="501" t="s">
        <v>1535</v>
      </c>
      <c r="C199" s="502" t="s">
        <v>171</v>
      </c>
      <c r="D199" s="502">
        <v>900</v>
      </c>
      <c r="E199" s="504">
        <v>310</v>
      </c>
      <c r="F199" s="504">
        <v>315</v>
      </c>
      <c r="G199" s="504">
        <v>415</v>
      </c>
      <c r="H199" s="505">
        <f t="shared" si="9"/>
        <v>1040</v>
      </c>
      <c r="I199" s="505">
        <v>25</v>
      </c>
      <c r="J199" s="505">
        <f t="shared" si="10"/>
        <v>1065</v>
      </c>
      <c r="K199" s="503">
        <f t="shared" si="11"/>
        <v>17.75</v>
      </c>
      <c r="L199" s="505" t="s">
        <v>1533</v>
      </c>
    </row>
    <row r="200" spans="1:12" x14ac:dyDescent="0.25">
      <c r="A200" s="501" t="s">
        <v>1534</v>
      </c>
      <c r="B200" s="501" t="s">
        <v>1535</v>
      </c>
      <c r="C200" s="502" t="s">
        <v>171</v>
      </c>
      <c r="D200" s="502">
        <v>1500</v>
      </c>
      <c r="E200" s="504">
        <v>430</v>
      </c>
      <c r="F200" s="504">
        <v>375</v>
      </c>
      <c r="G200" s="504">
        <v>475</v>
      </c>
      <c r="H200" s="505">
        <f t="shared" si="9"/>
        <v>1280</v>
      </c>
      <c r="I200" s="505">
        <v>25</v>
      </c>
      <c r="J200" s="505">
        <f t="shared" si="10"/>
        <v>1305</v>
      </c>
      <c r="K200" s="503">
        <f t="shared" si="11"/>
        <v>21.75</v>
      </c>
      <c r="L200" s="505" t="s">
        <v>1533</v>
      </c>
    </row>
    <row r="201" spans="1:12" x14ac:dyDescent="0.25">
      <c r="A201" s="501" t="s">
        <v>1534</v>
      </c>
      <c r="B201" s="501" t="s">
        <v>1535</v>
      </c>
      <c r="C201" s="502" t="s">
        <v>195</v>
      </c>
      <c r="D201" s="502">
        <v>150</v>
      </c>
      <c r="E201" s="502">
        <v>210</v>
      </c>
      <c r="F201" s="502">
        <v>265</v>
      </c>
      <c r="G201" s="502">
        <v>370</v>
      </c>
      <c r="H201" s="501">
        <f t="shared" si="9"/>
        <v>845</v>
      </c>
      <c r="I201" s="501">
        <v>25</v>
      </c>
      <c r="J201" s="501">
        <f t="shared" si="10"/>
        <v>870</v>
      </c>
      <c r="K201" s="503">
        <f t="shared" si="11"/>
        <v>14.5</v>
      </c>
      <c r="L201" s="501" t="s">
        <v>1531</v>
      </c>
    </row>
    <row r="202" spans="1:12" x14ac:dyDescent="0.25">
      <c r="A202" s="501" t="s">
        <v>1534</v>
      </c>
      <c r="B202" s="501" t="s">
        <v>1535</v>
      </c>
      <c r="C202" s="502" t="s">
        <v>195</v>
      </c>
      <c r="D202" s="502">
        <v>300</v>
      </c>
      <c r="E202" s="502">
        <v>250</v>
      </c>
      <c r="F202" s="502">
        <v>280</v>
      </c>
      <c r="G202" s="502">
        <v>385</v>
      </c>
      <c r="H202" s="501">
        <f t="shared" si="9"/>
        <v>915</v>
      </c>
      <c r="I202" s="501">
        <v>25</v>
      </c>
      <c r="J202" s="501">
        <f t="shared" si="10"/>
        <v>940</v>
      </c>
      <c r="K202" s="503">
        <f t="shared" si="11"/>
        <v>15.666666666666666</v>
      </c>
      <c r="L202" s="501" t="s">
        <v>1531</v>
      </c>
    </row>
    <row r="203" spans="1:12" x14ac:dyDescent="0.25">
      <c r="A203" s="501" t="s">
        <v>1534</v>
      </c>
      <c r="B203" s="501" t="s">
        <v>1535</v>
      </c>
      <c r="C203" s="502" t="s">
        <v>195</v>
      </c>
      <c r="D203" s="502">
        <v>600</v>
      </c>
      <c r="E203" s="504">
        <v>330</v>
      </c>
      <c r="F203" s="504">
        <v>310</v>
      </c>
      <c r="G203" s="504">
        <v>415</v>
      </c>
      <c r="H203" s="505">
        <f t="shared" si="9"/>
        <v>1055</v>
      </c>
      <c r="I203" s="505">
        <v>25</v>
      </c>
      <c r="J203" s="505">
        <f t="shared" si="10"/>
        <v>1080</v>
      </c>
      <c r="K203" s="503">
        <f t="shared" si="11"/>
        <v>18</v>
      </c>
      <c r="L203" s="505" t="s">
        <v>1533</v>
      </c>
    </row>
    <row r="204" spans="1:12" x14ac:dyDescent="0.25">
      <c r="A204" s="501" t="s">
        <v>1534</v>
      </c>
      <c r="B204" s="501" t="s">
        <v>1535</v>
      </c>
      <c r="C204" s="502" t="s">
        <v>195</v>
      </c>
      <c r="D204" s="502">
        <v>800</v>
      </c>
      <c r="E204" s="504">
        <v>383</v>
      </c>
      <c r="F204" s="504">
        <v>330</v>
      </c>
      <c r="G204" s="504">
        <v>435</v>
      </c>
      <c r="H204" s="505">
        <f t="shared" si="9"/>
        <v>1148</v>
      </c>
      <c r="I204" s="505">
        <v>25</v>
      </c>
      <c r="J204" s="505">
        <f t="shared" si="10"/>
        <v>1173</v>
      </c>
      <c r="K204" s="503">
        <f t="shared" si="11"/>
        <v>19.55</v>
      </c>
      <c r="L204" s="505" t="s">
        <v>1533</v>
      </c>
    </row>
    <row r="205" spans="1:12" x14ac:dyDescent="0.25">
      <c r="A205" s="501" t="s">
        <v>1534</v>
      </c>
      <c r="B205" s="501" t="s">
        <v>1535</v>
      </c>
      <c r="C205" s="502" t="s">
        <v>195</v>
      </c>
      <c r="D205" s="502">
        <v>900</v>
      </c>
      <c r="E205" s="504">
        <v>410</v>
      </c>
      <c r="F205" s="504">
        <v>340</v>
      </c>
      <c r="G205" s="504">
        <v>445</v>
      </c>
      <c r="H205" s="505">
        <f t="shared" si="9"/>
        <v>1195</v>
      </c>
      <c r="I205" s="505">
        <v>25</v>
      </c>
      <c r="J205" s="505">
        <f t="shared" si="10"/>
        <v>1220</v>
      </c>
      <c r="K205" s="503">
        <f t="shared" si="11"/>
        <v>20.333333333333332</v>
      </c>
      <c r="L205" s="505" t="s">
        <v>1533</v>
      </c>
    </row>
    <row r="206" spans="1:12" x14ac:dyDescent="0.25">
      <c r="A206" s="501" t="s">
        <v>1534</v>
      </c>
      <c r="B206" s="501" t="s">
        <v>1535</v>
      </c>
      <c r="C206" s="502" t="s">
        <v>195</v>
      </c>
      <c r="D206" s="502">
        <v>1500</v>
      </c>
      <c r="E206" s="504">
        <v>570</v>
      </c>
      <c r="F206" s="504">
        <v>400</v>
      </c>
      <c r="G206" s="504">
        <v>505</v>
      </c>
      <c r="H206" s="505">
        <f t="shared" si="9"/>
        <v>1475</v>
      </c>
      <c r="I206" s="505">
        <v>25</v>
      </c>
      <c r="J206" s="505">
        <f t="shared" si="10"/>
        <v>1500</v>
      </c>
      <c r="K206" s="503">
        <f t="shared" si="11"/>
        <v>25</v>
      </c>
      <c r="L206" s="505" t="s">
        <v>1533</v>
      </c>
    </row>
    <row r="207" spans="1:12" x14ac:dyDescent="0.25">
      <c r="A207" s="501" t="s">
        <v>1534</v>
      </c>
      <c r="B207" s="501" t="s">
        <v>1535</v>
      </c>
      <c r="C207" s="502" t="s">
        <v>1406</v>
      </c>
      <c r="D207" s="502">
        <v>150</v>
      </c>
      <c r="E207" s="502">
        <v>240</v>
      </c>
      <c r="F207" s="502">
        <v>280</v>
      </c>
      <c r="G207" s="502">
        <v>415</v>
      </c>
      <c r="H207" s="501">
        <f t="shared" ref="H207:H270" si="12">E207+F207+G207</f>
        <v>935</v>
      </c>
      <c r="I207" s="501">
        <v>30</v>
      </c>
      <c r="J207" s="501">
        <f t="shared" ref="J207:J270" si="13">H207+I207</f>
        <v>965</v>
      </c>
      <c r="K207" s="503">
        <f t="shared" ref="K207:K270" si="14">J207/60</f>
        <v>16.083333333333332</v>
      </c>
      <c r="L207" s="501" t="s">
        <v>1531</v>
      </c>
    </row>
    <row r="208" spans="1:12" x14ac:dyDescent="0.25">
      <c r="A208" s="501" t="s">
        <v>1534</v>
      </c>
      <c r="B208" s="501" t="s">
        <v>1535</v>
      </c>
      <c r="C208" s="502" t="s">
        <v>1406</v>
      </c>
      <c r="D208" s="502">
        <v>300</v>
      </c>
      <c r="E208" s="502">
        <v>300</v>
      </c>
      <c r="F208" s="502">
        <v>295</v>
      </c>
      <c r="G208" s="502">
        <v>430</v>
      </c>
      <c r="H208" s="501">
        <f t="shared" si="12"/>
        <v>1025</v>
      </c>
      <c r="I208" s="501">
        <v>30</v>
      </c>
      <c r="J208" s="501">
        <f t="shared" si="13"/>
        <v>1055</v>
      </c>
      <c r="K208" s="503">
        <f t="shared" si="14"/>
        <v>17.583333333333332</v>
      </c>
      <c r="L208" s="501" t="s">
        <v>1531</v>
      </c>
    </row>
    <row r="209" spans="1:12" x14ac:dyDescent="0.25">
      <c r="A209" s="501" t="s">
        <v>1534</v>
      </c>
      <c r="B209" s="501" t="s">
        <v>1535</v>
      </c>
      <c r="C209" s="502" t="s">
        <v>1406</v>
      </c>
      <c r="D209" s="502">
        <v>600</v>
      </c>
      <c r="E209" s="504">
        <v>420</v>
      </c>
      <c r="F209" s="504">
        <v>325</v>
      </c>
      <c r="G209" s="504">
        <v>460</v>
      </c>
      <c r="H209" s="505">
        <f t="shared" si="12"/>
        <v>1205</v>
      </c>
      <c r="I209" s="505">
        <v>30</v>
      </c>
      <c r="J209" s="505">
        <f t="shared" si="13"/>
        <v>1235</v>
      </c>
      <c r="K209" s="503">
        <f t="shared" si="14"/>
        <v>20.583333333333332</v>
      </c>
      <c r="L209" s="505" t="s">
        <v>1533</v>
      </c>
    </row>
    <row r="210" spans="1:12" x14ac:dyDescent="0.25">
      <c r="A210" s="501" t="s">
        <v>1534</v>
      </c>
      <c r="B210" s="501" t="s">
        <v>1535</v>
      </c>
      <c r="C210" s="502" t="s">
        <v>1406</v>
      </c>
      <c r="D210" s="502">
        <v>800</v>
      </c>
      <c r="E210" s="504">
        <v>500</v>
      </c>
      <c r="F210" s="504">
        <v>345</v>
      </c>
      <c r="G210" s="504">
        <v>480</v>
      </c>
      <c r="H210" s="505">
        <f t="shared" si="12"/>
        <v>1325</v>
      </c>
      <c r="I210" s="505">
        <v>30</v>
      </c>
      <c r="J210" s="505">
        <f t="shared" si="13"/>
        <v>1355</v>
      </c>
      <c r="K210" s="503">
        <f t="shared" si="14"/>
        <v>22.583333333333332</v>
      </c>
      <c r="L210" s="505" t="s">
        <v>1533</v>
      </c>
    </row>
    <row r="211" spans="1:12" x14ac:dyDescent="0.25">
      <c r="A211" s="501" t="s">
        <v>1534</v>
      </c>
      <c r="B211" s="501" t="s">
        <v>1535</v>
      </c>
      <c r="C211" s="502" t="s">
        <v>1406</v>
      </c>
      <c r="D211" s="502">
        <v>900</v>
      </c>
      <c r="E211" s="504">
        <v>540</v>
      </c>
      <c r="F211" s="504">
        <v>355</v>
      </c>
      <c r="G211" s="504">
        <v>490</v>
      </c>
      <c r="H211" s="505">
        <f t="shared" si="12"/>
        <v>1385</v>
      </c>
      <c r="I211" s="505">
        <v>30</v>
      </c>
      <c r="J211" s="505">
        <f t="shared" si="13"/>
        <v>1415</v>
      </c>
      <c r="K211" s="503">
        <f t="shared" si="14"/>
        <v>23.583333333333332</v>
      </c>
      <c r="L211" s="505" t="s">
        <v>1533</v>
      </c>
    </row>
    <row r="212" spans="1:12" x14ac:dyDescent="0.25">
      <c r="A212" s="501" t="s">
        <v>1534</v>
      </c>
      <c r="B212" s="501" t="s">
        <v>1535</v>
      </c>
      <c r="C212" s="502" t="s">
        <v>1406</v>
      </c>
      <c r="D212" s="502">
        <v>1500</v>
      </c>
      <c r="E212" s="504">
        <v>780</v>
      </c>
      <c r="F212" s="504">
        <v>415</v>
      </c>
      <c r="G212" s="504">
        <v>550</v>
      </c>
      <c r="H212" s="505">
        <f t="shared" si="12"/>
        <v>1745</v>
      </c>
      <c r="I212" s="505">
        <v>30</v>
      </c>
      <c r="J212" s="505">
        <f t="shared" si="13"/>
        <v>1775</v>
      </c>
      <c r="K212" s="503">
        <f t="shared" si="14"/>
        <v>29.583333333333332</v>
      </c>
      <c r="L212" s="505" t="s">
        <v>1533</v>
      </c>
    </row>
    <row r="213" spans="1:12" x14ac:dyDescent="0.25">
      <c r="A213" s="501" t="s">
        <v>1534</v>
      </c>
      <c r="B213" s="501" t="s">
        <v>1535</v>
      </c>
      <c r="C213" s="502" t="s">
        <v>1407</v>
      </c>
      <c r="D213" s="502">
        <v>150</v>
      </c>
      <c r="E213" s="502">
        <v>300</v>
      </c>
      <c r="F213" s="502">
        <v>300</v>
      </c>
      <c r="G213" s="502">
        <v>445</v>
      </c>
      <c r="H213" s="501">
        <f t="shared" si="12"/>
        <v>1045</v>
      </c>
      <c r="I213" s="501">
        <v>30</v>
      </c>
      <c r="J213" s="501">
        <f t="shared" si="13"/>
        <v>1075</v>
      </c>
      <c r="K213" s="503">
        <f t="shared" si="14"/>
        <v>17.916666666666668</v>
      </c>
      <c r="L213" s="501" t="s">
        <v>1531</v>
      </c>
    </row>
    <row r="214" spans="1:12" x14ac:dyDescent="0.25">
      <c r="A214" s="501" t="s">
        <v>1534</v>
      </c>
      <c r="B214" s="501" t="s">
        <v>1535</v>
      </c>
      <c r="C214" s="502" t="s">
        <v>1407</v>
      </c>
      <c r="D214" s="502">
        <v>300</v>
      </c>
      <c r="E214" s="502">
        <v>320</v>
      </c>
      <c r="F214" s="502">
        <v>315</v>
      </c>
      <c r="G214" s="502">
        <v>460</v>
      </c>
      <c r="H214" s="501">
        <f t="shared" si="12"/>
        <v>1095</v>
      </c>
      <c r="I214" s="501">
        <v>30</v>
      </c>
      <c r="J214" s="501">
        <f t="shared" si="13"/>
        <v>1125</v>
      </c>
      <c r="K214" s="503">
        <f t="shared" si="14"/>
        <v>18.75</v>
      </c>
      <c r="L214" s="501" t="s">
        <v>1531</v>
      </c>
    </row>
    <row r="215" spans="1:12" x14ac:dyDescent="0.25">
      <c r="A215" s="501" t="s">
        <v>1534</v>
      </c>
      <c r="B215" s="501" t="s">
        <v>1535</v>
      </c>
      <c r="C215" s="502" t="s">
        <v>1407</v>
      </c>
      <c r="D215" s="502">
        <v>600</v>
      </c>
      <c r="E215" s="504">
        <v>360</v>
      </c>
      <c r="F215" s="504">
        <v>345</v>
      </c>
      <c r="G215" s="504">
        <v>490</v>
      </c>
      <c r="H215" s="505">
        <f t="shared" si="12"/>
        <v>1195</v>
      </c>
      <c r="I215" s="505">
        <v>30</v>
      </c>
      <c r="J215" s="505">
        <f t="shared" si="13"/>
        <v>1225</v>
      </c>
      <c r="K215" s="503">
        <f t="shared" si="14"/>
        <v>20.416666666666668</v>
      </c>
      <c r="L215" s="505" t="s">
        <v>1533</v>
      </c>
    </row>
    <row r="216" spans="1:12" x14ac:dyDescent="0.25">
      <c r="A216" s="501" t="s">
        <v>1534</v>
      </c>
      <c r="B216" s="501" t="s">
        <v>1535</v>
      </c>
      <c r="C216" s="502" t="s">
        <v>1407</v>
      </c>
      <c r="D216" s="502">
        <v>800</v>
      </c>
      <c r="E216" s="504">
        <v>387</v>
      </c>
      <c r="F216" s="504">
        <v>365</v>
      </c>
      <c r="G216" s="504">
        <v>510</v>
      </c>
      <c r="H216" s="505">
        <f t="shared" si="12"/>
        <v>1262</v>
      </c>
      <c r="I216" s="505">
        <v>30</v>
      </c>
      <c r="J216" s="505">
        <f t="shared" si="13"/>
        <v>1292</v>
      </c>
      <c r="K216" s="503">
        <f t="shared" si="14"/>
        <v>21.533333333333335</v>
      </c>
      <c r="L216" s="505" t="s">
        <v>1533</v>
      </c>
    </row>
    <row r="217" spans="1:12" x14ac:dyDescent="0.25">
      <c r="A217" s="501" t="s">
        <v>1534</v>
      </c>
      <c r="B217" s="501" t="s">
        <v>1535</v>
      </c>
      <c r="C217" s="502" t="s">
        <v>1407</v>
      </c>
      <c r="D217" s="502">
        <v>900</v>
      </c>
      <c r="E217" s="504">
        <v>400</v>
      </c>
      <c r="F217" s="504">
        <v>375</v>
      </c>
      <c r="G217" s="504">
        <v>520</v>
      </c>
      <c r="H217" s="505">
        <f t="shared" si="12"/>
        <v>1295</v>
      </c>
      <c r="I217" s="505">
        <v>30</v>
      </c>
      <c r="J217" s="505">
        <f t="shared" si="13"/>
        <v>1325</v>
      </c>
      <c r="K217" s="503">
        <f t="shared" si="14"/>
        <v>22.083333333333332</v>
      </c>
      <c r="L217" s="505" t="s">
        <v>1533</v>
      </c>
    </row>
    <row r="218" spans="1:12" x14ac:dyDescent="0.25">
      <c r="A218" s="501" t="s">
        <v>1534</v>
      </c>
      <c r="B218" s="501" t="s">
        <v>1535</v>
      </c>
      <c r="C218" s="502" t="s">
        <v>1407</v>
      </c>
      <c r="D218" s="502">
        <v>1500</v>
      </c>
      <c r="E218" s="504">
        <v>480</v>
      </c>
      <c r="F218" s="504">
        <v>435</v>
      </c>
      <c r="G218" s="504">
        <v>580</v>
      </c>
      <c r="H218" s="505">
        <f t="shared" si="12"/>
        <v>1495</v>
      </c>
      <c r="I218" s="505">
        <v>30</v>
      </c>
      <c r="J218" s="505">
        <f t="shared" si="13"/>
        <v>1525</v>
      </c>
      <c r="K218" s="503">
        <f t="shared" si="14"/>
        <v>25.416666666666668</v>
      </c>
      <c r="L218" s="505" t="s">
        <v>1533</v>
      </c>
    </row>
    <row r="219" spans="1:12" x14ac:dyDescent="0.25">
      <c r="A219" s="501" t="s">
        <v>1534</v>
      </c>
      <c r="B219" s="501" t="s">
        <v>1535</v>
      </c>
      <c r="C219" s="502" t="s">
        <v>1408</v>
      </c>
      <c r="D219" s="502">
        <v>150</v>
      </c>
      <c r="E219" s="502">
        <v>315</v>
      </c>
      <c r="F219" s="502">
        <v>325</v>
      </c>
      <c r="G219" s="502">
        <v>475</v>
      </c>
      <c r="H219" s="501">
        <f t="shared" si="12"/>
        <v>1115</v>
      </c>
      <c r="I219" s="501">
        <v>30</v>
      </c>
      <c r="J219" s="501">
        <f t="shared" si="13"/>
        <v>1145</v>
      </c>
      <c r="K219" s="503">
        <f t="shared" si="14"/>
        <v>19.083333333333332</v>
      </c>
      <c r="L219" s="501" t="s">
        <v>1531</v>
      </c>
    </row>
    <row r="220" spans="1:12" x14ac:dyDescent="0.25">
      <c r="A220" s="501" t="s">
        <v>1534</v>
      </c>
      <c r="B220" s="501" t="s">
        <v>1535</v>
      </c>
      <c r="C220" s="502" t="s">
        <v>1408</v>
      </c>
      <c r="D220" s="502">
        <v>300</v>
      </c>
      <c r="E220" s="502">
        <v>340</v>
      </c>
      <c r="F220" s="502">
        <v>340</v>
      </c>
      <c r="G220" s="502">
        <v>490</v>
      </c>
      <c r="H220" s="501">
        <f t="shared" si="12"/>
        <v>1170</v>
      </c>
      <c r="I220" s="501">
        <v>30</v>
      </c>
      <c r="J220" s="501">
        <f t="shared" si="13"/>
        <v>1200</v>
      </c>
      <c r="K220" s="503">
        <f t="shared" si="14"/>
        <v>20</v>
      </c>
      <c r="L220" s="501" t="s">
        <v>1531</v>
      </c>
    </row>
    <row r="221" spans="1:12" x14ac:dyDescent="0.25">
      <c r="A221" s="501" t="s">
        <v>1534</v>
      </c>
      <c r="B221" s="501" t="s">
        <v>1535</v>
      </c>
      <c r="C221" s="502" t="s">
        <v>1408</v>
      </c>
      <c r="D221" s="502">
        <v>600</v>
      </c>
      <c r="E221" s="504">
        <v>390</v>
      </c>
      <c r="F221" s="504">
        <v>370</v>
      </c>
      <c r="G221" s="504">
        <v>520</v>
      </c>
      <c r="H221" s="505">
        <f t="shared" si="12"/>
        <v>1280</v>
      </c>
      <c r="I221" s="505">
        <v>30</v>
      </c>
      <c r="J221" s="505">
        <f t="shared" si="13"/>
        <v>1310</v>
      </c>
      <c r="K221" s="503">
        <f t="shared" si="14"/>
        <v>21.833333333333332</v>
      </c>
      <c r="L221" s="505" t="s">
        <v>1533</v>
      </c>
    </row>
    <row r="222" spans="1:12" x14ac:dyDescent="0.25">
      <c r="A222" s="501" t="s">
        <v>1534</v>
      </c>
      <c r="B222" s="501" t="s">
        <v>1535</v>
      </c>
      <c r="C222" s="502" t="s">
        <v>1408</v>
      </c>
      <c r="D222" s="502">
        <v>800</v>
      </c>
      <c r="E222" s="504">
        <v>423</v>
      </c>
      <c r="F222" s="504">
        <v>390</v>
      </c>
      <c r="G222" s="504">
        <v>540</v>
      </c>
      <c r="H222" s="505">
        <f t="shared" si="12"/>
        <v>1353</v>
      </c>
      <c r="I222" s="505">
        <v>30</v>
      </c>
      <c r="J222" s="505">
        <f t="shared" si="13"/>
        <v>1383</v>
      </c>
      <c r="K222" s="503">
        <f t="shared" si="14"/>
        <v>23.05</v>
      </c>
      <c r="L222" s="505" t="s">
        <v>1533</v>
      </c>
    </row>
    <row r="223" spans="1:12" x14ac:dyDescent="0.25">
      <c r="A223" s="501" t="s">
        <v>1534</v>
      </c>
      <c r="B223" s="501" t="s">
        <v>1535</v>
      </c>
      <c r="C223" s="502" t="s">
        <v>1408</v>
      </c>
      <c r="D223" s="502">
        <v>900</v>
      </c>
      <c r="E223" s="504">
        <v>440</v>
      </c>
      <c r="F223" s="504">
        <v>400</v>
      </c>
      <c r="G223" s="504">
        <v>550</v>
      </c>
      <c r="H223" s="505">
        <f t="shared" si="12"/>
        <v>1390</v>
      </c>
      <c r="I223" s="505">
        <v>30</v>
      </c>
      <c r="J223" s="505">
        <f t="shared" si="13"/>
        <v>1420</v>
      </c>
      <c r="K223" s="503">
        <f t="shared" si="14"/>
        <v>23.666666666666668</v>
      </c>
      <c r="L223" s="505" t="s">
        <v>1533</v>
      </c>
    </row>
    <row r="224" spans="1:12" x14ac:dyDescent="0.25">
      <c r="A224" s="501" t="s">
        <v>1534</v>
      </c>
      <c r="B224" s="501" t="s">
        <v>1535</v>
      </c>
      <c r="C224" s="502" t="s">
        <v>1408</v>
      </c>
      <c r="D224" s="502">
        <v>1500</v>
      </c>
      <c r="E224" s="504">
        <v>540</v>
      </c>
      <c r="F224" s="504">
        <v>460</v>
      </c>
      <c r="G224" s="504">
        <v>610</v>
      </c>
      <c r="H224" s="505">
        <f t="shared" si="12"/>
        <v>1610</v>
      </c>
      <c r="I224" s="505">
        <v>30</v>
      </c>
      <c r="J224" s="505">
        <f t="shared" si="13"/>
        <v>1640</v>
      </c>
      <c r="K224" s="503">
        <f t="shared" si="14"/>
        <v>27.333333333333332</v>
      </c>
      <c r="L224" s="505" t="s">
        <v>1533</v>
      </c>
    </row>
    <row r="225" spans="1:12" x14ac:dyDescent="0.25">
      <c r="A225" s="501" t="s">
        <v>1534</v>
      </c>
      <c r="B225" s="501" t="s">
        <v>1535</v>
      </c>
      <c r="C225" s="502" t="s">
        <v>1409</v>
      </c>
      <c r="D225" s="502">
        <v>150</v>
      </c>
      <c r="E225" s="502">
        <v>350</v>
      </c>
      <c r="F225" s="502">
        <v>350</v>
      </c>
      <c r="G225" s="502">
        <v>495</v>
      </c>
      <c r="H225" s="501">
        <f t="shared" si="12"/>
        <v>1195</v>
      </c>
      <c r="I225" s="501">
        <v>30</v>
      </c>
      <c r="J225" s="501">
        <f t="shared" si="13"/>
        <v>1225</v>
      </c>
      <c r="K225" s="503">
        <f t="shared" si="14"/>
        <v>20.416666666666668</v>
      </c>
      <c r="L225" s="501" t="s">
        <v>1531</v>
      </c>
    </row>
    <row r="226" spans="1:12" x14ac:dyDescent="0.25">
      <c r="A226" s="501" t="s">
        <v>1534</v>
      </c>
      <c r="B226" s="501" t="s">
        <v>1535</v>
      </c>
      <c r="C226" s="502" t="s">
        <v>1409</v>
      </c>
      <c r="D226" s="502">
        <v>300</v>
      </c>
      <c r="E226" s="502">
        <v>390</v>
      </c>
      <c r="F226" s="502">
        <v>365</v>
      </c>
      <c r="G226" s="502">
        <v>510</v>
      </c>
      <c r="H226" s="501">
        <f t="shared" si="12"/>
        <v>1265</v>
      </c>
      <c r="I226" s="501">
        <v>30</v>
      </c>
      <c r="J226" s="501">
        <f t="shared" si="13"/>
        <v>1295</v>
      </c>
      <c r="K226" s="503">
        <f t="shared" si="14"/>
        <v>21.583333333333332</v>
      </c>
      <c r="L226" s="501" t="s">
        <v>1531</v>
      </c>
    </row>
    <row r="227" spans="1:12" x14ac:dyDescent="0.25">
      <c r="A227" s="501" t="s">
        <v>1534</v>
      </c>
      <c r="B227" s="501" t="s">
        <v>1535</v>
      </c>
      <c r="C227" s="502" t="s">
        <v>1409</v>
      </c>
      <c r="D227" s="502">
        <v>600</v>
      </c>
      <c r="E227" s="504">
        <v>470</v>
      </c>
      <c r="F227" s="504">
        <v>395</v>
      </c>
      <c r="G227" s="504">
        <v>540</v>
      </c>
      <c r="H227" s="505">
        <f t="shared" si="12"/>
        <v>1405</v>
      </c>
      <c r="I227" s="505">
        <v>30</v>
      </c>
      <c r="J227" s="505">
        <f t="shared" si="13"/>
        <v>1435</v>
      </c>
      <c r="K227" s="503">
        <f t="shared" si="14"/>
        <v>23.916666666666668</v>
      </c>
      <c r="L227" s="505" t="s">
        <v>1533</v>
      </c>
    </row>
    <row r="228" spans="1:12" x14ac:dyDescent="0.25">
      <c r="A228" s="501" t="s">
        <v>1534</v>
      </c>
      <c r="B228" s="501" t="s">
        <v>1535</v>
      </c>
      <c r="C228" s="502" t="s">
        <v>1409</v>
      </c>
      <c r="D228" s="502">
        <v>800</v>
      </c>
      <c r="E228" s="504">
        <v>523</v>
      </c>
      <c r="F228" s="504">
        <v>415</v>
      </c>
      <c r="G228" s="504">
        <v>560</v>
      </c>
      <c r="H228" s="505">
        <f t="shared" si="12"/>
        <v>1498</v>
      </c>
      <c r="I228" s="505">
        <v>30</v>
      </c>
      <c r="J228" s="505">
        <f t="shared" si="13"/>
        <v>1528</v>
      </c>
      <c r="K228" s="503">
        <f t="shared" si="14"/>
        <v>25.466666666666665</v>
      </c>
      <c r="L228" s="505" t="s">
        <v>1533</v>
      </c>
    </row>
    <row r="229" spans="1:12" x14ac:dyDescent="0.25">
      <c r="A229" s="501" t="s">
        <v>1534</v>
      </c>
      <c r="B229" s="501" t="s">
        <v>1535</v>
      </c>
      <c r="C229" s="502" t="s">
        <v>1409</v>
      </c>
      <c r="D229" s="502">
        <v>900</v>
      </c>
      <c r="E229" s="504">
        <v>550</v>
      </c>
      <c r="F229" s="504">
        <v>425</v>
      </c>
      <c r="G229" s="504">
        <v>570</v>
      </c>
      <c r="H229" s="505">
        <f t="shared" si="12"/>
        <v>1545</v>
      </c>
      <c r="I229" s="505">
        <v>30</v>
      </c>
      <c r="J229" s="505">
        <f t="shared" si="13"/>
        <v>1575</v>
      </c>
      <c r="K229" s="503">
        <f t="shared" si="14"/>
        <v>26.25</v>
      </c>
      <c r="L229" s="505" t="s">
        <v>1533</v>
      </c>
    </row>
    <row r="230" spans="1:12" x14ac:dyDescent="0.25">
      <c r="A230" s="501" t="s">
        <v>1534</v>
      </c>
      <c r="B230" s="501" t="s">
        <v>1535</v>
      </c>
      <c r="C230" s="502" t="s">
        <v>1409</v>
      </c>
      <c r="D230" s="502">
        <v>1500</v>
      </c>
      <c r="E230" s="504">
        <v>710</v>
      </c>
      <c r="F230" s="504">
        <v>485</v>
      </c>
      <c r="G230" s="504">
        <v>630</v>
      </c>
      <c r="H230" s="505">
        <f t="shared" si="12"/>
        <v>1825</v>
      </c>
      <c r="I230" s="505">
        <v>30</v>
      </c>
      <c r="J230" s="505">
        <f t="shared" si="13"/>
        <v>1855</v>
      </c>
      <c r="K230" s="503">
        <f t="shared" si="14"/>
        <v>30.916666666666668</v>
      </c>
      <c r="L230" s="505" t="s">
        <v>1533</v>
      </c>
    </row>
    <row r="231" spans="1:12" x14ac:dyDescent="0.25">
      <c r="A231" s="501" t="s">
        <v>1536</v>
      </c>
      <c r="B231" s="501" t="s">
        <v>1537</v>
      </c>
      <c r="C231" s="502" t="s">
        <v>1403</v>
      </c>
      <c r="D231" s="502">
        <v>150</v>
      </c>
      <c r="E231" s="502">
        <v>15</v>
      </c>
      <c r="F231" s="502">
        <v>25</v>
      </c>
      <c r="G231" s="502">
        <v>20</v>
      </c>
      <c r="H231" s="501">
        <f t="shared" si="12"/>
        <v>60</v>
      </c>
      <c r="I231" s="501">
        <v>15</v>
      </c>
      <c r="J231" s="501">
        <f t="shared" si="13"/>
        <v>75</v>
      </c>
      <c r="K231" s="503">
        <f t="shared" si="14"/>
        <v>1.25</v>
      </c>
      <c r="L231" s="501" t="s">
        <v>1531</v>
      </c>
    </row>
    <row r="232" spans="1:12" x14ac:dyDescent="0.25">
      <c r="A232" s="501" t="s">
        <v>1536</v>
      </c>
      <c r="B232" s="501" t="s">
        <v>1537</v>
      </c>
      <c r="C232" s="502" t="s">
        <v>1403</v>
      </c>
      <c r="D232" s="502">
        <v>300</v>
      </c>
      <c r="E232" s="502">
        <v>15</v>
      </c>
      <c r="F232" s="502">
        <v>40</v>
      </c>
      <c r="G232" s="502">
        <v>35</v>
      </c>
      <c r="H232" s="501">
        <f t="shared" si="12"/>
        <v>90</v>
      </c>
      <c r="I232" s="501">
        <v>15</v>
      </c>
      <c r="J232" s="501">
        <f t="shared" si="13"/>
        <v>105</v>
      </c>
      <c r="K232" s="503">
        <f t="shared" si="14"/>
        <v>1.75</v>
      </c>
      <c r="L232" s="501" t="s">
        <v>1531</v>
      </c>
    </row>
    <row r="233" spans="1:12" x14ac:dyDescent="0.25">
      <c r="A233" s="501" t="s">
        <v>1536</v>
      </c>
      <c r="B233" s="501" t="s">
        <v>1537</v>
      </c>
      <c r="C233" s="502" t="s">
        <v>1403</v>
      </c>
      <c r="D233" s="502">
        <v>600</v>
      </c>
      <c r="E233" s="504">
        <v>12</v>
      </c>
      <c r="F233" s="504">
        <v>31</v>
      </c>
      <c r="G233" s="504">
        <v>26</v>
      </c>
      <c r="H233" s="505">
        <f t="shared" si="12"/>
        <v>69</v>
      </c>
      <c r="I233" s="505">
        <v>15</v>
      </c>
      <c r="J233" s="505">
        <f t="shared" si="13"/>
        <v>84</v>
      </c>
      <c r="K233" s="503">
        <f t="shared" si="14"/>
        <v>1.4</v>
      </c>
      <c r="L233" s="505" t="s">
        <v>1532</v>
      </c>
    </row>
    <row r="234" spans="1:12" x14ac:dyDescent="0.25">
      <c r="A234" s="501" t="s">
        <v>1536</v>
      </c>
      <c r="B234" s="501" t="s">
        <v>1537</v>
      </c>
      <c r="C234" s="502" t="s">
        <v>1403</v>
      </c>
      <c r="D234" s="502">
        <v>800</v>
      </c>
      <c r="E234" s="502">
        <v>10</v>
      </c>
      <c r="F234" s="502">
        <v>25</v>
      </c>
      <c r="G234" s="502">
        <v>20</v>
      </c>
      <c r="H234" s="501">
        <f t="shared" si="12"/>
        <v>55</v>
      </c>
      <c r="I234" s="501">
        <v>15</v>
      </c>
      <c r="J234" s="501">
        <f t="shared" si="13"/>
        <v>70</v>
      </c>
      <c r="K234" s="503">
        <f t="shared" si="14"/>
        <v>1.1666666666666667</v>
      </c>
      <c r="L234" s="501" t="s">
        <v>1531</v>
      </c>
    </row>
    <row r="235" spans="1:12" x14ac:dyDescent="0.25">
      <c r="A235" s="501" t="s">
        <v>1536</v>
      </c>
      <c r="B235" s="501" t="s">
        <v>1537</v>
      </c>
      <c r="C235" s="502" t="s">
        <v>1403</v>
      </c>
      <c r="D235" s="502">
        <v>900</v>
      </c>
      <c r="E235" s="504">
        <v>10</v>
      </c>
      <c r="F235" s="504">
        <v>27</v>
      </c>
      <c r="G235" s="504">
        <v>22</v>
      </c>
      <c r="H235" s="505">
        <f t="shared" si="12"/>
        <v>59</v>
      </c>
      <c r="I235" s="505">
        <v>15</v>
      </c>
      <c r="J235" s="505">
        <f t="shared" si="13"/>
        <v>74</v>
      </c>
      <c r="K235" s="503">
        <f t="shared" si="14"/>
        <v>1.2333333333333334</v>
      </c>
      <c r="L235" s="505" t="s">
        <v>1532</v>
      </c>
    </row>
    <row r="236" spans="1:12" x14ac:dyDescent="0.25">
      <c r="A236" s="501" t="s">
        <v>1536</v>
      </c>
      <c r="B236" s="501" t="s">
        <v>1537</v>
      </c>
      <c r="C236" s="502" t="s">
        <v>1403</v>
      </c>
      <c r="D236" s="502">
        <v>1500</v>
      </c>
      <c r="E236" s="502">
        <v>10</v>
      </c>
      <c r="F236" s="502">
        <v>40</v>
      </c>
      <c r="G236" s="502">
        <v>35</v>
      </c>
      <c r="H236" s="501">
        <f t="shared" si="12"/>
        <v>85</v>
      </c>
      <c r="I236" s="501">
        <v>15</v>
      </c>
      <c r="J236" s="501">
        <f t="shared" si="13"/>
        <v>100</v>
      </c>
      <c r="K236" s="503">
        <f t="shared" si="14"/>
        <v>1.6666666666666667</v>
      </c>
      <c r="L236" s="501" t="s">
        <v>1531</v>
      </c>
    </row>
    <row r="237" spans="1:12" x14ac:dyDescent="0.25">
      <c r="A237" s="501" t="s">
        <v>1536</v>
      </c>
      <c r="B237" s="501" t="s">
        <v>1537</v>
      </c>
      <c r="C237" s="502" t="s">
        <v>1404</v>
      </c>
      <c r="D237" s="502">
        <v>150</v>
      </c>
      <c r="E237" s="502">
        <v>20</v>
      </c>
      <c r="F237" s="502">
        <v>40</v>
      </c>
      <c r="G237" s="502">
        <v>35</v>
      </c>
      <c r="H237" s="501">
        <f t="shared" si="12"/>
        <v>95</v>
      </c>
      <c r="I237" s="501">
        <v>15</v>
      </c>
      <c r="J237" s="501">
        <f t="shared" si="13"/>
        <v>110</v>
      </c>
      <c r="K237" s="503">
        <f t="shared" si="14"/>
        <v>1.8333333333333333</v>
      </c>
      <c r="L237" s="501" t="s">
        <v>1531</v>
      </c>
    </row>
    <row r="238" spans="1:12" x14ac:dyDescent="0.25">
      <c r="A238" s="501" t="s">
        <v>1536</v>
      </c>
      <c r="B238" s="501" t="s">
        <v>1537</v>
      </c>
      <c r="C238" s="502" t="s">
        <v>1404</v>
      </c>
      <c r="D238" s="502">
        <v>300</v>
      </c>
      <c r="E238" s="502">
        <v>20</v>
      </c>
      <c r="F238" s="502">
        <v>55</v>
      </c>
      <c r="G238" s="502">
        <v>50</v>
      </c>
      <c r="H238" s="501">
        <f t="shared" si="12"/>
        <v>125</v>
      </c>
      <c r="I238" s="501">
        <v>15</v>
      </c>
      <c r="J238" s="501">
        <f t="shared" si="13"/>
        <v>140</v>
      </c>
      <c r="K238" s="503">
        <f t="shared" si="14"/>
        <v>2.3333333333333335</v>
      </c>
      <c r="L238" s="501" t="s">
        <v>1531</v>
      </c>
    </row>
    <row r="239" spans="1:12" x14ac:dyDescent="0.25">
      <c r="A239" s="501" t="s">
        <v>1536</v>
      </c>
      <c r="B239" s="501" t="s">
        <v>1537</v>
      </c>
      <c r="C239" s="502" t="s">
        <v>1404</v>
      </c>
      <c r="D239" s="502">
        <v>600</v>
      </c>
      <c r="E239" s="504">
        <v>17</v>
      </c>
      <c r="F239" s="504">
        <v>46</v>
      </c>
      <c r="G239" s="504">
        <v>41</v>
      </c>
      <c r="H239" s="505">
        <f t="shared" si="12"/>
        <v>104</v>
      </c>
      <c r="I239" s="505">
        <v>15</v>
      </c>
      <c r="J239" s="505">
        <f t="shared" si="13"/>
        <v>119</v>
      </c>
      <c r="K239" s="503">
        <f t="shared" si="14"/>
        <v>1.9833333333333334</v>
      </c>
      <c r="L239" s="505" t="s">
        <v>1532</v>
      </c>
    </row>
    <row r="240" spans="1:12" x14ac:dyDescent="0.25">
      <c r="A240" s="501" t="s">
        <v>1536</v>
      </c>
      <c r="B240" s="501" t="s">
        <v>1537</v>
      </c>
      <c r="C240" s="502" t="s">
        <v>1404</v>
      </c>
      <c r="D240" s="502">
        <v>800</v>
      </c>
      <c r="E240" s="502">
        <v>15</v>
      </c>
      <c r="F240" s="502">
        <v>40</v>
      </c>
      <c r="G240" s="502">
        <v>35</v>
      </c>
      <c r="H240" s="501">
        <f t="shared" si="12"/>
        <v>90</v>
      </c>
      <c r="I240" s="501">
        <v>15</v>
      </c>
      <c r="J240" s="501">
        <f t="shared" si="13"/>
        <v>105</v>
      </c>
      <c r="K240" s="503">
        <f t="shared" si="14"/>
        <v>1.75</v>
      </c>
      <c r="L240" s="501" t="s">
        <v>1531</v>
      </c>
    </row>
    <row r="241" spans="1:12" x14ac:dyDescent="0.25">
      <c r="A241" s="501" t="s">
        <v>1536</v>
      </c>
      <c r="B241" s="501" t="s">
        <v>1537</v>
      </c>
      <c r="C241" s="502" t="s">
        <v>1404</v>
      </c>
      <c r="D241" s="502">
        <v>900</v>
      </c>
      <c r="E241" s="504">
        <v>16</v>
      </c>
      <c r="F241" s="504">
        <v>42</v>
      </c>
      <c r="G241" s="504">
        <v>37</v>
      </c>
      <c r="H241" s="505">
        <f t="shared" si="12"/>
        <v>95</v>
      </c>
      <c r="I241" s="505">
        <v>15</v>
      </c>
      <c r="J241" s="505">
        <f t="shared" si="13"/>
        <v>110</v>
      </c>
      <c r="K241" s="503">
        <f t="shared" si="14"/>
        <v>1.8333333333333333</v>
      </c>
      <c r="L241" s="505" t="s">
        <v>1532</v>
      </c>
    </row>
    <row r="242" spans="1:12" x14ac:dyDescent="0.25">
      <c r="A242" s="501" t="s">
        <v>1536</v>
      </c>
      <c r="B242" s="501" t="s">
        <v>1537</v>
      </c>
      <c r="C242" s="502" t="s">
        <v>1404</v>
      </c>
      <c r="D242" s="502">
        <v>1500</v>
      </c>
      <c r="E242" s="502">
        <v>20</v>
      </c>
      <c r="F242" s="502">
        <v>55</v>
      </c>
      <c r="G242" s="502">
        <v>50</v>
      </c>
      <c r="H242" s="501">
        <f t="shared" si="12"/>
        <v>125</v>
      </c>
      <c r="I242" s="501">
        <v>15</v>
      </c>
      <c r="J242" s="501">
        <f t="shared" si="13"/>
        <v>140</v>
      </c>
      <c r="K242" s="503">
        <f t="shared" si="14"/>
        <v>2.3333333333333335</v>
      </c>
      <c r="L242" s="501" t="s">
        <v>1531</v>
      </c>
    </row>
    <row r="243" spans="1:12" x14ac:dyDescent="0.25">
      <c r="A243" s="501" t="s">
        <v>1536</v>
      </c>
      <c r="B243" s="501" t="s">
        <v>1537</v>
      </c>
      <c r="C243" s="502" t="s">
        <v>86</v>
      </c>
      <c r="D243" s="502">
        <v>150</v>
      </c>
      <c r="E243" s="502">
        <v>20</v>
      </c>
      <c r="F243" s="502">
        <v>55</v>
      </c>
      <c r="G243" s="502">
        <v>50</v>
      </c>
      <c r="H243" s="501">
        <f t="shared" si="12"/>
        <v>125</v>
      </c>
      <c r="I243" s="501">
        <v>15</v>
      </c>
      <c r="J243" s="501">
        <f t="shared" si="13"/>
        <v>140</v>
      </c>
      <c r="K243" s="503">
        <f t="shared" si="14"/>
        <v>2.3333333333333335</v>
      </c>
      <c r="L243" s="501" t="s">
        <v>1531</v>
      </c>
    </row>
    <row r="244" spans="1:12" x14ac:dyDescent="0.25">
      <c r="A244" s="501" t="s">
        <v>1536</v>
      </c>
      <c r="B244" s="501" t="s">
        <v>1537</v>
      </c>
      <c r="C244" s="502" t="s">
        <v>86</v>
      </c>
      <c r="D244" s="502">
        <v>300</v>
      </c>
      <c r="E244" s="502">
        <v>20</v>
      </c>
      <c r="F244" s="502">
        <v>70</v>
      </c>
      <c r="G244" s="502">
        <v>65</v>
      </c>
      <c r="H244" s="501">
        <f t="shared" si="12"/>
        <v>155</v>
      </c>
      <c r="I244" s="501">
        <v>15</v>
      </c>
      <c r="J244" s="501">
        <f t="shared" si="13"/>
        <v>170</v>
      </c>
      <c r="K244" s="503">
        <f t="shared" si="14"/>
        <v>2.8333333333333335</v>
      </c>
      <c r="L244" s="501" t="s">
        <v>1531</v>
      </c>
    </row>
    <row r="245" spans="1:12" x14ac:dyDescent="0.25">
      <c r="A245" s="501" t="s">
        <v>1536</v>
      </c>
      <c r="B245" s="501" t="s">
        <v>1537</v>
      </c>
      <c r="C245" s="502" t="s">
        <v>86</v>
      </c>
      <c r="D245" s="502">
        <v>600</v>
      </c>
      <c r="E245" s="504">
        <v>20</v>
      </c>
      <c r="F245" s="504">
        <v>61</v>
      </c>
      <c r="G245" s="504">
        <v>56</v>
      </c>
      <c r="H245" s="505">
        <f t="shared" si="12"/>
        <v>137</v>
      </c>
      <c r="I245" s="505">
        <v>15</v>
      </c>
      <c r="J245" s="505">
        <f t="shared" si="13"/>
        <v>152</v>
      </c>
      <c r="K245" s="503">
        <f t="shared" si="14"/>
        <v>2.5333333333333332</v>
      </c>
      <c r="L245" s="505" t="s">
        <v>1532</v>
      </c>
    </row>
    <row r="246" spans="1:12" x14ac:dyDescent="0.25">
      <c r="A246" s="501" t="s">
        <v>1536</v>
      </c>
      <c r="B246" s="501" t="s">
        <v>1537</v>
      </c>
      <c r="C246" s="502" t="s">
        <v>86</v>
      </c>
      <c r="D246" s="502">
        <v>800</v>
      </c>
      <c r="E246" s="502">
        <v>20</v>
      </c>
      <c r="F246" s="502">
        <v>55</v>
      </c>
      <c r="G246" s="502">
        <v>50</v>
      </c>
      <c r="H246" s="501">
        <f t="shared" si="12"/>
        <v>125</v>
      </c>
      <c r="I246" s="501">
        <v>15</v>
      </c>
      <c r="J246" s="501">
        <f t="shared" si="13"/>
        <v>140</v>
      </c>
      <c r="K246" s="503">
        <f t="shared" si="14"/>
        <v>2.3333333333333335</v>
      </c>
      <c r="L246" s="501" t="s">
        <v>1531</v>
      </c>
    </row>
    <row r="247" spans="1:12" x14ac:dyDescent="0.25">
      <c r="A247" s="501" t="s">
        <v>1536</v>
      </c>
      <c r="B247" s="501" t="s">
        <v>1537</v>
      </c>
      <c r="C247" s="502" t="s">
        <v>86</v>
      </c>
      <c r="D247" s="502">
        <v>900</v>
      </c>
      <c r="E247" s="504">
        <v>21</v>
      </c>
      <c r="F247" s="504">
        <v>57</v>
      </c>
      <c r="G247" s="504">
        <v>52</v>
      </c>
      <c r="H247" s="505">
        <f t="shared" si="12"/>
        <v>130</v>
      </c>
      <c r="I247" s="505">
        <v>15</v>
      </c>
      <c r="J247" s="505">
        <f t="shared" si="13"/>
        <v>145</v>
      </c>
      <c r="K247" s="503">
        <f t="shared" si="14"/>
        <v>2.4166666666666665</v>
      </c>
      <c r="L247" s="505" t="s">
        <v>1532</v>
      </c>
    </row>
    <row r="248" spans="1:12" x14ac:dyDescent="0.25">
      <c r="A248" s="501" t="s">
        <v>1536</v>
      </c>
      <c r="B248" s="501" t="s">
        <v>1537</v>
      </c>
      <c r="C248" s="502" t="s">
        <v>86</v>
      </c>
      <c r="D248" s="502">
        <v>1500</v>
      </c>
      <c r="E248" s="502">
        <v>30</v>
      </c>
      <c r="F248" s="502">
        <v>70</v>
      </c>
      <c r="G248" s="502">
        <v>65</v>
      </c>
      <c r="H248" s="501">
        <f t="shared" si="12"/>
        <v>165</v>
      </c>
      <c r="I248" s="501">
        <v>15</v>
      </c>
      <c r="J248" s="501">
        <f t="shared" si="13"/>
        <v>180</v>
      </c>
      <c r="K248" s="503">
        <f t="shared" si="14"/>
        <v>3</v>
      </c>
      <c r="L248" s="501" t="s">
        <v>1531</v>
      </c>
    </row>
    <row r="249" spans="1:12" x14ac:dyDescent="0.25">
      <c r="A249" s="501" t="s">
        <v>1536</v>
      </c>
      <c r="B249" s="501" t="s">
        <v>1537</v>
      </c>
      <c r="C249" s="502" t="s">
        <v>85</v>
      </c>
      <c r="D249" s="502">
        <v>150</v>
      </c>
      <c r="E249" s="502">
        <v>25</v>
      </c>
      <c r="F249" s="502">
        <v>65</v>
      </c>
      <c r="G249" s="502">
        <v>65</v>
      </c>
      <c r="H249" s="501">
        <f t="shared" si="12"/>
        <v>155</v>
      </c>
      <c r="I249" s="501">
        <v>20</v>
      </c>
      <c r="J249" s="501">
        <f t="shared" si="13"/>
        <v>175</v>
      </c>
      <c r="K249" s="503">
        <f t="shared" si="14"/>
        <v>2.9166666666666665</v>
      </c>
      <c r="L249" s="501" t="s">
        <v>1531</v>
      </c>
    </row>
    <row r="250" spans="1:12" x14ac:dyDescent="0.25">
      <c r="A250" s="501" t="s">
        <v>1536</v>
      </c>
      <c r="B250" s="501" t="s">
        <v>1537</v>
      </c>
      <c r="C250" s="502" t="s">
        <v>85</v>
      </c>
      <c r="D250" s="502">
        <v>300</v>
      </c>
      <c r="E250" s="502">
        <v>25</v>
      </c>
      <c r="F250" s="502">
        <v>80</v>
      </c>
      <c r="G250" s="502">
        <v>80</v>
      </c>
      <c r="H250" s="501">
        <f t="shared" si="12"/>
        <v>185</v>
      </c>
      <c r="I250" s="501">
        <v>20</v>
      </c>
      <c r="J250" s="501">
        <f t="shared" si="13"/>
        <v>205</v>
      </c>
      <c r="K250" s="503">
        <f t="shared" si="14"/>
        <v>3.4166666666666665</v>
      </c>
      <c r="L250" s="501" t="s">
        <v>1531</v>
      </c>
    </row>
    <row r="251" spans="1:12" x14ac:dyDescent="0.25">
      <c r="A251" s="501" t="s">
        <v>1536</v>
      </c>
      <c r="B251" s="501" t="s">
        <v>1537</v>
      </c>
      <c r="C251" s="502" t="s">
        <v>85</v>
      </c>
      <c r="D251" s="502">
        <v>600</v>
      </c>
      <c r="E251" s="504">
        <v>25</v>
      </c>
      <c r="F251" s="504">
        <v>110</v>
      </c>
      <c r="G251" s="504">
        <v>110</v>
      </c>
      <c r="H251" s="505">
        <f t="shared" si="12"/>
        <v>245</v>
      </c>
      <c r="I251" s="505">
        <v>20</v>
      </c>
      <c r="J251" s="505">
        <f t="shared" si="13"/>
        <v>265</v>
      </c>
      <c r="K251" s="503">
        <f t="shared" si="14"/>
        <v>4.416666666666667</v>
      </c>
      <c r="L251" s="505" t="s">
        <v>1533</v>
      </c>
    </row>
    <row r="252" spans="1:12" x14ac:dyDescent="0.25">
      <c r="A252" s="501" t="s">
        <v>1536</v>
      </c>
      <c r="B252" s="501" t="s">
        <v>1537</v>
      </c>
      <c r="C252" s="502" t="s">
        <v>85</v>
      </c>
      <c r="D252" s="502">
        <v>800</v>
      </c>
      <c r="E252" s="504">
        <v>25</v>
      </c>
      <c r="F252" s="504">
        <v>130</v>
      </c>
      <c r="G252" s="504">
        <v>130</v>
      </c>
      <c r="H252" s="505">
        <f t="shared" si="12"/>
        <v>285</v>
      </c>
      <c r="I252" s="505">
        <v>20</v>
      </c>
      <c r="J252" s="505">
        <f t="shared" si="13"/>
        <v>305</v>
      </c>
      <c r="K252" s="503">
        <f t="shared" si="14"/>
        <v>5.083333333333333</v>
      </c>
      <c r="L252" s="505" t="s">
        <v>1533</v>
      </c>
    </row>
    <row r="253" spans="1:12" x14ac:dyDescent="0.25">
      <c r="A253" s="501" t="s">
        <v>1536</v>
      </c>
      <c r="B253" s="501" t="s">
        <v>1537</v>
      </c>
      <c r="C253" s="502" t="s">
        <v>85</v>
      </c>
      <c r="D253" s="502">
        <v>900</v>
      </c>
      <c r="E253" s="504">
        <v>25</v>
      </c>
      <c r="F253" s="504">
        <v>140</v>
      </c>
      <c r="G253" s="504">
        <v>140</v>
      </c>
      <c r="H253" s="505">
        <f t="shared" si="12"/>
        <v>305</v>
      </c>
      <c r="I253" s="505">
        <v>20</v>
      </c>
      <c r="J253" s="505">
        <f t="shared" si="13"/>
        <v>325</v>
      </c>
      <c r="K253" s="503">
        <f t="shared" si="14"/>
        <v>5.416666666666667</v>
      </c>
      <c r="L253" s="505" t="s">
        <v>1533</v>
      </c>
    </row>
    <row r="254" spans="1:12" x14ac:dyDescent="0.25">
      <c r="A254" s="501" t="s">
        <v>1536</v>
      </c>
      <c r="B254" s="501" t="s">
        <v>1537</v>
      </c>
      <c r="C254" s="502" t="s">
        <v>85</v>
      </c>
      <c r="D254" s="502">
        <v>1500</v>
      </c>
      <c r="E254" s="504">
        <v>25</v>
      </c>
      <c r="F254" s="504">
        <v>200</v>
      </c>
      <c r="G254" s="504">
        <v>200</v>
      </c>
      <c r="H254" s="505">
        <f t="shared" si="12"/>
        <v>425</v>
      </c>
      <c r="I254" s="505">
        <v>20</v>
      </c>
      <c r="J254" s="505">
        <f t="shared" si="13"/>
        <v>445</v>
      </c>
      <c r="K254" s="503">
        <f t="shared" si="14"/>
        <v>7.416666666666667</v>
      </c>
      <c r="L254" s="505" t="s">
        <v>1533</v>
      </c>
    </row>
    <row r="255" spans="1:12" x14ac:dyDescent="0.25">
      <c r="A255" s="501" t="s">
        <v>1536</v>
      </c>
      <c r="B255" s="501" t="s">
        <v>1537</v>
      </c>
      <c r="C255" s="502" t="s">
        <v>84</v>
      </c>
      <c r="D255" s="502">
        <v>150</v>
      </c>
      <c r="E255" s="502">
        <v>30</v>
      </c>
      <c r="F255" s="502">
        <v>75</v>
      </c>
      <c r="G255" s="502">
        <v>95</v>
      </c>
      <c r="H255" s="501">
        <f t="shared" si="12"/>
        <v>200</v>
      </c>
      <c r="I255" s="501">
        <v>20</v>
      </c>
      <c r="J255" s="501">
        <f t="shared" si="13"/>
        <v>220</v>
      </c>
      <c r="K255" s="503">
        <f t="shared" si="14"/>
        <v>3.6666666666666665</v>
      </c>
      <c r="L255" s="501" t="s">
        <v>1531</v>
      </c>
    </row>
    <row r="256" spans="1:12" x14ac:dyDescent="0.25">
      <c r="A256" s="501" t="s">
        <v>1536</v>
      </c>
      <c r="B256" s="501" t="s">
        <v>1537</v>
      </c>
      <c r="C256" s="502" t="s">
        <v>84</v>
      </c>
      <c r="D256" s="502">
        <v>300</v>
      </c>
      <c r="E256" s="502">
        <v>30</v>
      </c>
      <c r="F256" s="502">
        <v>90</v>
      </c>
      <c r="G256" s="502">
        <v>110</v>
      </c>
      <c r="H256" s="501">
        <f t="shared" si="12"/>
        <v>230</v>
      </c>
      <c r="I256" s="501">
        <v>20</v>
      </c>
      <c r="J256" s="501">
        <f t="shared" si="13"/>
        <v>250</v>
      </c>
      <c r="K256" s="503">
        <f t="shared" si="14"/>
        <v>4.166666666666667</v>
      </c>
      <c r="L256" s="501" t="s">
        <v>1531</v>
      </c>
    </row>
    <row r="257" spans="1:12" x14ac:dyDescent="0.25">
      <c r="A257" s="501" t="s">
        <v>1536</v>
      </c>
      <c r="B257" s="501" t="s">
        <v>1537</v>
      </c>
      <c r="C257" s="502" t="s">
        <v>84</v>
      </c>
      <c r="D257" s="502">
        <v>600</v>
      </c>
      <c r="E257" s="504">
        <v>30</v>
      </c>
      <c r="F257" s="504">
        <v>120</v>
      </c>
      <c r="G257" s="504">
        <v>140</v>
      </c>
      <c r="H257" s="505">
        <f t="shared" si="12"/>
        <v>290</v>
      </c>
      <c r="I257" s="505">
        <v>20</v>
      </c>
      <c r="J257" s="505">
        <f t="shared" si="13"/>
        <v>310</v>
      </c>
      <c r="K257" s="503">
        <f t="shared" si="14"/>
        <v>5.166666666666667</v>
      </c>
      <c r="L257" s="505" t="s">
        <v>1533</v>
      </c>
    </row>
    <row r="258" spans="1:12" x14ac:dyDescent="0.25">
      <c r="A258" s="501" t="s">
        <v>1536</v>
      </c>
      <c r="B258" s="501" t="s">
        <v>1537</v>
      </c>
      <c r="C258" s="502" t="s">
        <v>84</v>
      </c>
      <c r="D258" s="502">
        <v>800</v>
      </c>
      <c r="E258" s="504">
        <v>30</v>
      </c>
      <c r="F258" s="504">
        <v>140</v>
      </c>
      <c r="G258" s="504">
        <v>160</v>
      </c>
      <c r="H258" s="505">
        <f t="shared" si="12"/>
        <v>330</v>
      </c>
      <c r="I258" s="505">
        <v>20</v>
      </c>
      <c r="J258" s="505">
        <f t="shared" si="13"/>
        <v>350</v>
      </c>
      <c r="K258" s="503">
        <f t="shared" si="14"/>
        <v>5.833333333333333</v>
      </c>
      <c r="L258" s="505" t="s">
        <v>1533</v>
      </c>
    </row>
    <row r="259" spans="1:12" x14ac:dyDescent="0.25">
      <c r="A259" s="501" t="s">
        <v>1536</v>
      </c>
      <c r="B259" s="501" t="s">
        <v>1537</v>
      </c>
      <c r="C259" s="502" t="s">
        <v>84</v>
      </c>
      <c r="D259" s="502">
        <v>900</v>
      </c>
      <c r="E259" s="504">
        <v>30</v>
      </c>
      <c r="F259" s="504">
        <v>150</v>
      </c>
      <c r="G259" s="504">
        <v>170</v>
      </c>
      <c r="H259" s="505">
        <f t="shared" si="12"/>
        <v>350</v>
      </c>
      <c r="I259" s="505">
        <v>20</v>
      </c>
      <c r="J259" s="505">
        <f t="shared" si="13"/>
        <v>370</v>
      </c>
      <c r="K259" s="503">
        <f t="shared" si="14"/>
        <v>6.166666666666667</v>
      </c>
      <c r="L259" s="505" t="s">
        <v>1533</v>
      </c>
    </row>
    <row r="260" spans="1:12" x14ac:dyDescent="0.25">
      <c r="A260" s="501" t="s">
        <v>1536</v>
      </c>
      <c r="B260" s="501" t="s">
        <v>1537</v>
      </c>
      <c r="C260" s="502" t="s">
        <v>84</v>
      </c>
      <c r="D260" s="502">
        <v>1500</v>
      </c>
      <c r="E260" s="504">
        <v>30</v>
      </c>
      <c r="F260" s="504">
        <v>210</v>
      </c>
      <c r="G260" s="504">
        <v>230</v>
      </c>
      <c r="H260" s="505">
        <f t="shared" si="12"/>
        <v>470</v>
      </c>
      <c r="I260" s="505">
        <v>20</v>
      </c>
      <c r="J260" s="505">
        <f t="shared" si="13"/>
        <v>490</v>
      </c>
      <c r="K260" s="503">
        <f t="shared" si="14"/>
        <v>8.1666666666666661</v>
      </c>
      <c r="L260" s="505" t="s">
        <v>1533</v>
      </c>
    </row>
    <row r="261" spans="1:12" x14ac:dyDescent="0.25">
      <c r="A261" s="501" t="s">
        <v>1536</v>
      </c>
      <c r="B261" s="501" t="s">
        <v>1537</v>
      </c>
      <c r="C261" s="502" t="s">
        <v>82</v>
      </c>
      <c r="D261" s="502">
        <v>150</v>
      </c>
      <c r="E261" s="502">
        <v>35</v>
      </c>
      <c r="F261" s="502">
        <v>90</v>
      </c>
      <c r="G261" s="502">
        <v>125</v>
      </c>
      <c r="H261" s="501">
        <f t="shared" si="12"/>
        <v>250</v>
      </c>
      <c r="I261" s="501">
        <v>20</v>
      </c>
      <c r="J261" s="501">
        <f t="shared" si="13"/>
        <v>270</v>
      </c>
      <c r="K261" s="503">
        <f t="shared" si="14"/>
        <v>4.5</v>
      </c>
      <c r="L261" s="501" t="s">
        <v>1531</v>
      </c>
    </row>
    <row r="262" spans="1:12" x14ac:dyDescent="0.25">
      <c r="A262" s="501" t="s">
        <v>1536</v>
      </c>
      <c r="B262" s="501" t="s">
        <v>1537</v>
      </c>
      <c r="C262" s="502" t="s">
        <v>82</v>
      </c>
      <c r="D262" s="502">
        <v>300</v>
      </c>
      <c r="E262" s="502">
        <v>35</v>
      </c>
      <c r="F262" s="502">
        <v>105</v>
      </c>
      <c r="G262" s="502">
        <v>140</v>
      </c>
      <c r="H262" s="501">
        <f t="shared" si="12"/>
        <v>280</v>
      </c>
      <c r="I262" s="501">
        <v>20</v>
      </c>
      <c r="J262" s="501">
        <f t="shared" si="13"/>
        <v>300</v>
      </c>
      <c r="K262" s="503">
        <f t="shared" si="14"/>
        <v>5</v>
      </c>
      <c r="L262" s="501" t="s">
        <v>1531</v>
      </c>
    </row>
    <row r="263" spans="1:12" x14ac:dyDescent="0.25">
      <c r="A263" s="501" t="s">
        <v>1536</v>
      </c>
      <c r="B263" s="501" t="s">
        <v>1537</v>
      </c>
      <c r="C263" s="502" t="s">
        <v>82</v>
      </c>
      <c r="D263" s="502">
        <v>600</v>
      </c>
      <c r="E263" s="504">
        <v>35</v>
      </c>
      <c r="F263" s="504">
        <v>135</v>
      </c>
      <c r="G263" s="504">
        <v>170</v>
      </c>
      <c r="H263" s="505">
        <f t="shared" si="12"/>
        <v>340</v>
      </c>
      <c r="I263" s="505">
        <v>20</v>
      </c>
      <c r="J263" s="505">
        <f t="shared" si="13"/>
        <v>360</v>
      </c>
      <c r="K263" s="503">
        <f t="shared" si="14"/>
        <v>6</v>
      </c>
      <c r="L263" s="505" t="s">
        <v>1533</v>
      </c>
    </row>
    <row r="264" spans="1:12" x14ac:dyDescent="0.25">
      <c r="A264" s="501" t="s">
        <v>1536</v>
      </c>
      <c r="B264" s="501" t="s">
        <v>1537</v>
      </c>
      <c r="C264" s="502" t="s">
        <v>82</v>
      </c>
      <c r="D264" s="502">
        <v>800</v>
      </c>
      <c r="E264" s="504">
        <v>35</v>
      </c>
      <c r="F264" s="504">
        <v>155</v>
      </c>
      <c r="G264" s="504">
        <v>190</v>
      </c>
      <c r="H264" s="505">
        <f t="shared" si="12"/>
        <v>380</v>
      </c>
      <c r="I264" s="505">
        <v>20</v>
      </c>
      <c r="J264" s="505">
        <f t="shared" si="13"/>
        <v>400</v>
      </c>
      <c r="K264" s="503">
        <f t="shared" si="14"/>
        <v>6.666666666666667</v>
      </c>
      <c r="L264" s="505" t="s">
        <v>1533</v>
      </c>
    </row>
    <row r="265" spans="1:12" x14ac:dyDescent="0.25">
      <c r="A265" s="501" t="s">
        <v>1536</v>
      </c>
      <c r="B265" s="501" t="s">
        <v>1537</v>
      </c>
      <c r="C265" s="502" t="s">
        <v>82</v>
      </c>
      <c r="D265" s="502">
        <v>900</v>
      </c>
      <c r="E265" s="504">
        <v>35</v>
      </c>
      <c r="F265" s="504">
        <v>165</v>
      </c>
      <c r="G265" s="504">
        <v>200</v>
      </c>
      <c r="H265" s="505">
        <f t="shared" si="12"/>
        <v>400</v>
      </c>
      <c r="I265" s="505">
        <v>20</v>
      </c>
      <c r="J265" s="505">
        <f t="shared" si="13"/>
        <v>420</v>
      </c>
      <c r="K265" s="503">
        <f t="shared" si="14"/>
        <v>7</v>
      </c>
      <c r="L265" s="505" t="s">
        <v>1533</v>
      </c>
    </row>
    <row r="266" spans="1:12" x14ac:dyDescent="0.25">
      <c r="A266" s="501" t="s">
        <v>1536</v>
      </c>
      <c r="B266" s="501" t="s">
        <v>1537</v>
      </c>
      <c r="C266" s="502" t="s">
        <v>82</v>
      </c>
      <c r="D266" s="502">
        <v>1500</v>
      </c>
      <c r="E266" s="504">
        <v>35</v>
      </c>
      <c r="F266" s="504">
        <v>225</v>
      </c>
      <c r="G266" s="504">
        <v>260</v>
      </c>
      <c r="H266" s="505">
        <f t="shared" si="12"/>
        <v>520</v>
      </c>
      <c r="I266" s="505">
        <v>20</v>
      </c>
      <c r="J266" s="505">
        <f t="shared" si="13"/>
        <v>540</v>
      </c>
      <c r="K266" s="503">
        <f t="shared" si="14"/>
        <v>9</v>
      </c>
      <c r="L266" s="505" t="s">
        <v>1533</v>
      </c>
    </row>
    <row r="267" spans="1:12" x14ac:dyDescent="0.25">
      <c r="A267" s="501" t="s">
        <v>1536</v>
      </c>
      <c r="B267" s="501" t="s">
        <v>1537</v>
      </c>
      <c r="C267" s="502" t="s">
        <v>120</v>
      </c>
      <c r="D267" s="502">
        <v>150</v>
      </c>
      <c r="E267" s="502">
        <v>40</v>
      </c>
      <c r="F267" s="502">
        <v>105</v>
      </c>
      <c r="G267" s="502">
        <v>155</v>
      </c>
      <c r="H267" s="501">
        <f t="shared" si="12"/>
        <v>300</v>
      </c>
      <c r="I267" s="501">
        <v>20</v>
      </c>
      <c r="J267" s="501">
        <f t="shared" si="13"/>
        <v>320</v>
      </c>
      <c r="K267" s="503">
        <f t="shared" si="14"/>
        <v>5.333333333333333</v>
      </c>
      <c r="L267" s="501" t="s">
        <v>1531</v>
      </c>
    </row>
    <row r="268" spans="1:12" x14ac:dyDescent="0.25">
      <c r="A268" s="501" t="s">
        <v>1536</v>
      </c>
      <c r="B268" s="501" t="s">
        <v>1537</v>
      </c>
      <c r="C268" s="502" t="s">
        <v>120</v>
      </c>
      <c r="D268" s="502">
        <v>300</v>
      </c>
      <c r="E268" s="502">
        <v>40</v>
      </c>
      <c r="F268" s="502">
        <v>120</v>
      </c>
      <c r="G268" s="502">
        <v>170</v>
      </c>
      <c r="H268" s="501">
        <f t="shared" si="12"/>
        <v>330</v>
      </c>
      <c r="I268" s="501">
        <v>20</v>
      </c>
      <c r="J268" s="501">
        <f t="shared" si="13"/>
        <v>350</v>
      </c>
      <c r="K268" s="503">
        <f t="shared" si="14"/>
        <v>5.833333333333333</v>
      </c>
      <c r="L268" s="501" t="s">
        <v>1531</v>
      </c>
    </row>
    <row r="269" spans="1:12" x14ac:dyDescent="0.25">
      <c r="A269" s="501" t="s">
        <v>1536</v>
      </c>
      <c r="B269" s="501" t="s">
        <v>1537</v>
      </c>
      <c r="C269" s="502" t="s">
        <v>120</v>
      </c>
      <c r="D269" s="502">
        <v>600</v>
      </c>
      <c r="E269" s="504">
        <v>40</v>
      </c>
      <c r="F269" s="504">
        <v>150</v>
      </c>
      <c r="G269" s="504">
        <v>200</v>
      </c>
      <c r="H269" s="505">
        <f t="shared" si="12"/>
        <v>390</v>
      </c>
      <c r="I269" s="505">
        <v>20</v>
      </c>
      <c r="J269" s="505">
        <f t="shared" si="13"/>
        <v>410</v>
      </c>
      <c r="K269" s="503">
        <f t="shared" si="14"/>
        <v>6.833333333333333</v>
      </c>
      <c r="L269" s="505" t="s">
        <v>1533</v>
      </c>
    </row>
    <row r="270" spans="1:12" x14ac:dyDescent="0.25">
      <c r="A270" s="501" t="s">
        <v>1536</v>
      </c>
      <c r="B270" s="501" t="s">
        <v>1537</v>
      </c>
      <c r="C270" s="502" t="s">
        <v>120</v>
      </c>
      <c r="D270" s="502">
        <v>800</v>
      </c>
      <c r="E270" s="504">
        <v>40</v>
      </c>
      <c r="F270" s="504">
        <v>170</v>
      </c>
      <c r="G270" s="504">
        <v>220</v>
      </c>
      <c r="H270" s="505">
        <f t="shared" si="12"/>
        <v>430</v>
      </c>
      <c r="I270" s="505">
        <v>20</v>
      </c>
      <c r="J270" s="505">
        <f t="shared" si="13"/>
        <v>450</v>
      </c>
      <c r="K270" s="503">
        <f t="shared" si="14"/>
        <v>7.5</v>
      </c>
      <c r="L270" s="505" t="s">
        <v>1533</v>
      </c>
    </row>
    <row r="271" spans="1:12" x14ac:dyDescent="0.25">
      <c r="A271" s="501" t="s">
        <v>1536</v>
      </c>
      <c r="B271" s="501" t="s">
        <v>1537</v>
      </c>
      <c r="C271" s="502" t="s">
        <v>120</v>
      </c>
      <c r="D271" s="502">
        <v>900</v>
      </c>
      <c r="E271" s="504">
        <v>40</v>
      </c>
      <c r="F271" s="504">
        <v>180</v>
      </c>
      <c r="G271" s="504">
        <v>230</v>
      </c>
      <c r="H271" s="505">
        <f t="shared" ref="H271:H334" si="15">E271+F271+G271</f>
        <v>450</v>
      </c>
      <c r="I271" s="505">
        <v>20</v>
      </c>
      <c r="J271" s="505">
        <f t="shared" ref="J271:J334" si="16">H271+I271</f>
        <v>470</v>
      </c>
      <c r="K271" s="503">
        <f t="shared" ref="K271:K334" si="17">J271/60</f>
        <v>7.833333333333333</v>
      </c>
      <c r="L271" s="505" t="s">
        <v>1533</v>
      </c>
    </row>
    <row r="272" spans="1:12" x14ac:dyDescent="0.25">
      <c r="A272" s="501" t="s">
        <v>1536</v>
      </c>
      <c r="B272" s="501" t="s">
        <v>1537</v>
      </c>
      <c r="C272" s="502" t="s">
        <v>120</v>
      </c>
      <c r="D272" s="502">
        <v>1500</v>
      </c>
      <c r="E272" s="504">
        <v>40</v>
      </c>
      <c r="F272" s="504">
        <v>240</v>
      </c>
      <c r="G272" s="504">
        <v>290</v>
      </c>
      <c r="H272" s="505">
        <f t="shared" si="15"/>
        <v>570</v>
      </c>
      <c r="I272" s="505">
        <v>20</v>
      </c>
      <c r="J272" s="505">
        <f t="shared" si="16"/>
        <v>590</v>
      </c>
      <c r="K272" s="503">
        <f t="shared" si="17"/>
        <v>9.8333333333333339</v>
      </c>
      <c r="L272" s="505" t="s">
        <v>1533</v>
      </c>
    </row>
    <row r="273" spans="1:12" x14ac:dyDescent="0.25">
      <c r="A273" s="501" t="s">
        <v>1536</v>
      </c>
      <c r="B273" s="501" t="s">
        <v>1537</v>
      </c>
      <c r="C273" s="502" t="s">
        <v>80</v>
      </c>
      <c r="D273" s="502">
        <v>150</v>
      </c>
      <c r="E273" s="502">
        <v>45</v>
      </c>
      <c r="F273" s="502">
        <v>135</v>
      </c>
      <c r="G273" s="502">
        <v>170</v>
      </c>
      <c r="H273" s="501">
        <f t="shared" si="15"/>
        <v>350</v>
      </c>
      <c r="I273" s="501">
        <v>20</v>
      </c>
      <c r="J273" s="501">
        <f t="shared" si="16"/>
        <v>370</v>
      </c>
      <c r="K273" s="503">
        <f t="shared" si="17"/>
        <v>6.166666666666667</v>
      </c>
      <c r="L273" s="501" t="s">
        <v>1531</v>
      </c>
    </row>
    <row r="274" spans="1:12" x14ac:dyDescent="0.25">
      <c r="A274" s="501" t="s">
        <v>1536</v>
      </c>
      <c r="B274" s="501" t="s">
        <v>1537</v>
      </c>
      <c r="C274" s="502" t="s">
        <v>80</v>
      </c>
      <c r="D274" s="502">
        <v>300</v>
      </c>
      <c r="E274" s="502">
        <v>55</v>
      </c>
      <c r="F274" s="502">
        <v>150</v>
      </c>
      <c r="G274" s="502">
        <v>185</v>
      </c>
      <c r="H274" s="501">
        <f t="shared" si="15"/>
        <v>390</v>
      </c>
      <c r="I274" s="501">
        <v>20</v>
      </c>
      <c r="J274" s="501">
        <f t="shared" si="16"/>
        <v>410</v>
      </c>
      <c r="K274" s="503">
        <f t="shared" si="17"/>
        <v>6.833333333333333</v>
      </c>
      <c r="L274" s="501" t="s">
        <v>1531</v>
      </c>
    </row>
    <row r="275" spans="1:12" x14ac:dyDescent="0.25">
      <c r="A275" s="501" t="s">
        <v>1536</v>
      </c>
      <c r="B275" s="501" t="s">
        <v>1537</v>
      </c>
      <c r="C275" s="502" t="s">
        <v>80</v>
      </c>
      <c r="D275" s="502">
        <v>600</v>
      </c>
      <c r="E275" s="504">
        <v>75</v>
      </c>
      <c r="F275" s="504">
        <v>180</v>
      </c>
      <c r="G275" s="504">
        <v>215</v>
      </c>
      <c r="H275" s="505">
        <f t="shared" si="15"/>
        <v>470</v>
      </c>
      <c r="I275" s="505">
        <v>20</v>
      </c>
      <c r="J275" s="505">
        <f t="shared" si="16"/>
        <v>490</v>
      </c>
      <c r="K275" s="503">
        <f t="shared" si="17"/>
        <v>8.1666666666666661</v>
      </c>
      <c r="L275" s="505" t="s">
        <v>1533</v>
      </c>
    </row>
    <row r="276" spans="1:12" x14ac:dyDescent="0.25">
      <c r="A276" s="501" t="s">
        <v>1536</v>
      </c>
      <c r="B276" s="501" t="s">
        <v>1537</v>
      </c>
      <c r="C276" s="502" t="s">
        <v>80</v>
      </c>
      <c r="D276" s="502">
        <v>800</v>
      </c>
      <c r="E276" s="504">
        <v>88</v>
      </c>
      <c r="F276" s="504">
        <v>200</v>
      </c>
      <c r="G276" s="504">
        <v>235</v>
      </c>
      <c r="H276" s="505">
        <f t="shared" si="15"/>
        <v>523</v>
      </c>
      <c r="I276" s="505">
        <v>20</v>
      </c>
      <c r="J276" s="505">
        <f t="shared" si="16"/>
        <v>543</v>
      </c>
      <c r="K276" s="503">
        <f t="shared" si="17"/>
        <v>9.0500000000000007</v>
      </c>
      <c r="L276" s="505" t="s">
        <v>1533</v>
      </c>
    </row>
    <row r="277" spans="1:12" x14ac:dyDescent="0.25">
      <c r="A277" s="501" t="s">
        <v>1536</v>
      </c>
      <c r="B277" s="501" t="s">
        <v>1537</v>
      </c>
      <c r="C277" s="502" t="s">
        <v>80</v>
      </c>
      <c r="D277" s="502">
        <v>900</v>
      </c>
      <c r="E277" s="504">
        <v>95</v>
      </c>
      <c r="F277" s="504">
        <v>210</v>
      </c>
      <c r="G277" s="504">
        <v>245</v>
      </c>
      <c r="H277" s="505">
        <f t="shared" si="15"/>
        <v>550</v>
      </c>
      <c r="I277" s="505">
        <v>20</v>
      </c>
      <c r="J277" s="505">
        <f t="shared" si="16"/>
        <v>570</v>
      </c>
      <c r="K277" s="503">
        <f t="shared" si="17"/>
        <v>9.5</v>
      </c>
      <c r="L277" s="505" t="s">
        <v>1533</v>
      </c>
    </row>
    <row r="278" spans="1:12" x14ac:dyDescent="0.25">
      <c r="A278" s="501" t="s">
        <v>1536</v>
      </c>
      <c r="B278" s="501" t="s">
        <v>1537</v>
      </c>
      <c r="C278" s="502" t="s">
        <v>80</v>
      </c>
      <c r="D278" s="502">
        <v>1500</v>
      </c>
      <c r="E278" s="504">
        <v>135</v>
      </c>
      <c r="F278" s="504">
        <v>270</v>
      </c>
      <c r="G278" s="504">
        <v>305</v>
      </c>
      <c r="H278" s="505">
        <f t="shared" si="15"/>
        <v>710</v>
      </c>
      <c r="I278" s="505">
        <v>20</v>
      </c>
      <c r="J278" s="505">
        <f t="shared" si="16"/>
        <v>730</v>
      </c>
      <c r="K278" s="503">
        <f t="shared" si="17"/>
        <v>12.166666666666666</v>
      </c>
      <c r="L278" s="505" t="s">
        <v>1533</v>
      </c>
    </row>
    <row r="279" spans="1:12" x14ac:dyDescent="0.25">
      <c r="A279" s="501" t="s">
        <v>1536</v>
      </c>
      <c r="B279" s="501" t="s">
        <v>1537</v>
      </c>
      <c r="C279" s="502" t="s">
        <v>119</v>
      </c>
      <c r="D279" s="502">
        <v>150</v>
      </c>
      <c r="E279" s="502">
        <v>60</v>
      </c>
      <c r="F279" s="502">
        <v>160</v>
      </c>
      <c r="G279" s="502">
        <v>205</v>
      </c>
      <c r="H279" s="501">
        <f t="shared" si="15"/>
        <v>425</v>
      </c>
      <c r="I279" s="501">
        <v>20</v>
      </c>
      <c r="J279" s="501">
        <f t="shared" si="16"/>
        <v>445</v>
      </c>
      <c r="K279" s="503">
        <f t="shared" si="17"/>
        <v>7.416666666666667</v>
      </c>
      <c r="L279" s="501" t="s">
        <v>1531</v>
      </c>
    </row>
    <row r="280" spans="1:12" x14ac:dyDescent="0.25">
      <c r="A280" s="501" t="s">
        <v>1536</v>
      </c>
      <c r="B280" s="501" t="s">
        <v>1537</v>
      </c>
      <c r="C280" s="502" t="s">
        <v>119</v>
      </c>
      <c r="D280" s="502">
        <v>300</v>
      </c>
      <c r="E280" s="502">
        <v>70</v>
      </c>
      <c r="F280" s="502">
        <v>175</v>
      </c>
      <c r="G280" s="502">
        <v>220</v>
      </c>
      <c r="H280" s="501">
        <f t="shared" si="15"/>
        <v>465</v>
      </c>
      <c r="I280" s="501">
        <v>20</v>
      </c>
      <c r="J280" s="501">
        <f t="shared" si="16"/>
        <v>485</v>
      </c>
      <c r="K280" s="503">
        <f t="shared" si="17"/>
        <v>8.0833333333333339</v>
      </c>
      <c r="L280" s="501" t="s">
        <v>1531</v>
      </c>
    </row>
    <row r="281" spans="1:12" x14ac:dyDescent="0.25">
      <c r="A281" s="501" t="s">
        <v>1536</v>
      </c>
      <c r="B281" s="501" t="s">
        <v>1537</v>
      </c>
      <c r="C281" s="502" t="s">
        <v>119</v>
      </c>
      <c r="D281" s="502">
        <v>600</v>
      </c>
      <c r="E281" s="504">
        <v>90</v>
      </c>
      <c r="F281" s="504">
        <v>205</v>
      </c>
      <c r="G281" s="504">
        <v>250</v>
      </c>
      <c r="H281" s="505">
        <f t="shared" si="15"/>
        <v>545</v>
      </c>
      <c r="I281" s="505">
        <v>20</v>
      </c>
      <c r="J281" s="505">
        <f t="shared" si="16"/>
        <v>565</v>
      </c>
      <c r="K281" s="503">
        <f t="shared" si="17"/>
        <v>9.4166666666666661</v>
      </c>
      <c r="L281" s="505" t="s">
        <v>1533</v>
      </c>
    </row>
    <row r="282" spans="1:12" x14ac:dyDescent="0.25">
      <c r="A282" s="501" t="s">
        <v>1536</v>
      </c>
      <c r="B282" s="501" t="s">
        <v>1537</v>
      </c>
      <c r="C282" s="502" t="s">
        <v>119</v>
      </c>
      <c r="D282" s="502">
        <v>800</v>
      </c>
      <c r="E282" s="504">
        <v>103</v>
      </c>
      <c r="F282" s="504">
        <v>225</v>
      </c>
      <c r="G282" s="504">
        <v>270</v>
      </c>
      <c r="H282" s="505">
        <f t="shared" si="15"/>
        <v>598</v>
      </c>
      <c r="I282" s="505">
        <v>20</v>
      </c>
      <c r="J282" s="505">
        <f t="shared" si="16"/>
        <v>618</v>
      </c>
      <c r="K282" s="503">
        <f t="shared" si="17"/>
        <v>10.3</v>
      </c>
      <c r="L282" s="505" t="s">
        <v>1533</v>
      </c>
    </row>
    <row r="283" spans="1:12" x14ac:dyDescent="0.25">
      <c r="A283" s="501" t="s">
        <v>1536</v>
      </c>
      <c r="B283" s="501" t="s">
        <v>1537</v>
      </c>
      <c r="C283" s="502" t="s">
        <v>119</v>
      </c>
      <c r="D283" s="502">
        <v>900</v>
      </c>
      <c r="E283" s="504">
        <v>110</v>
      </c>
      <c r="F283" s="504">
        <v>235</v>
      </c>
      <c r="G283" s="504">
        <v>280</v>
      </c>
      <c r="H283" s="505">
        <f t="shared" si="15"/>
        <v>625</v>
      </c>
      <c r="I283" s="505">
        <v>20</v>
      </c>
      <c r="J283" s="505">
        <f t="shared" si="16"/>
        <v>645</v>
      </c>
      <c r="K283" s="503">
        <f t="shared" si="17"/>
        <v>10.75</v>
      </c>
      <c r="L283" s="505" t="s">
        <v>1533</v>
      </c>
    </row>
    <row r="284" spans="1:12" x14ac:dyDescent="0.25">
      <c r="A284" s="501" t="s">
        <v>1536</v>
      </c>
      <c r="B284" s="501" t="s">
        <v>1537</v>
      </c>
      <c r="C284" s="502" t="s">
        <v>119</v>
      </c>
      <c r="D284" s="502">
        <v>1500</v>
      </c>
      <c r="E284" s="504">
        <v>150</v>
      </c>
      <c r="F284" s="504">
        <v>295</v>
      </c>
      <c r="G284" s="504">
        <v>340</v>
      </c>
      <c r="H284" s="505">
        <f t="shared" si="15"/>
        <v>785</v>
      </c>
      <c r="I284" s="505">
        <v>20</v>
      </c>
      <c r="J284" s="505">
        <f t="shared" si="16"/>
        <v>805</v>
      </c>
      <c r="K284" s="503">
        <f t="shared" si="17"/>
        <v>13.416666666666666</v>
      </c>
      <c r="L284" s="505" t="s">
        <v>1533</v>
      </c>
    </row>
    <row r="285" spans="1:12" x14ac:dyDescent="0.25">
      <c r="A285" s="501" t="s">
        <v>1536</v>
      </c>
      <c r="B285" s="501" t="s">
        <v>1537</v>
      </c>
      <c r="C285" s="502" t="s">
        <v>179</v>
      </c>
      <c r="D285" s="502">
        <v>150</v>
      </c>
      <c r="E285" s="502">
        <v>75</v>
      </c>
      <c r="F285" s="502">
        <v>175</v>
      </c>
      <c r="G285" s="502">
        <v>235</v>
      </c>
      <c r="H285" s="501">
        <f t="shared" si="15"/>
        <v>485</v>
      </c>
      <c r="I285" s="501">
        <v>25</v>
      </c>
      <c r="J285" s="501">
        <f t="shared" si="16"/>
        <v>510</v>
      </c>
      <c r="K285" s="503">
        <f t="shared" si="17"/>
        <v>8.5</v>
      </c>
      <c r="L285" s="501" t="s">
        <v>1531</v>
      </c>
    </row>
    <row r="286" spans="1:12" x14ac:dyDescent="0.25">
      <c r="A286" s="501" t="s">
        <v>1536</v>
      </c>
      <c r="B286" s="501" t="s">
        <v>1537</v>
      </c>
      <c r="C286" s="502" t="s">
        <v>179</v>
      </c>
      <c r="D286" s="502">
        <v>300</v>
      </c>
      <c r="E286" s="502">
        <v>85</v>
      </c>
      <c r="F286" s="502">
        <v>190</v>
      </c>
      <c r="G286" s="502">
        <v>250</v>
      </c>
      <c r="H286" s="501">
        <f t="shared" si="15"/>
        <v>525</v>
      </c>
      <c r="I286" s="501">
        <v>25</v>
      </c>
      <c r="J286" s="501">
        <f t="shared" si="16"/>
        <v>550</v>
      </c>
      <c r="K286" s="503">
        <f t="shared" si="17"/>
        <v>9.1666666666666661</v>
      </c>
      <c r="L286" s="501" t="s">
        <v>1531</v>
      </c>
    </row>
    <row r="287" spans="1:12" x14ac:dyDescent="0.25">
      <c r="A287" s="501" t="s">
        <v>1536</v>
      </c>
      <c r="B287" s="501" t="s">
        <v>1537</v>
      </c>
      <c r="C287" s="502" t="s">
        <v>179</v>
      </c>
      <c r="D287" s="502">
        <v>600</v>
      </c>
      <c r="E287" s="504">
        <v>105</v>
      </c>
      <c r="F287" s="504">
        <v>220</v>
      </c>
      <c r="G287" s="504">
        <v>280</v>
      </c>
      <c r="H287" s="505">
        <f t="shared" si="15"/>
        <v>605</v>
      </c>
      <c r="I287" s="505">
        <v>25</v>
      </c>
      <c r="J287" s="505">
        <f t="shared" si="16"/>
        <v>630</v>
      </c>
      <c r="K287" s="503">
        <f t="shared" si="17"/>
        <v>10.5</v>
      </c>
      <c r="L287" s="505" t="s">
        <v>1533</v>
      </c>
    </row>
    <row r="288" spans="1:12" x14ac:dyDescent="0.25">
      <c r="A288" s="501" t="s">
        <v>1536</v>
      </c>
      <c r="B288" s="501" t="s">
        <v>1537</v>
      </c>
      <c r="C288" s="502" t="s">
        <v>179</v>
      </c>
      <c r="D288" s="502">
        <v>800</v>
      </c>
      <c r="E288" s="504">
        <v>118</v>
      </c>
      <c r="F288" s="504">
        <v>240</v>
      </c>
      <c r="G288" s="504">
        <v>300</v>
      </c>
      <c r="H288" s="505">
        <f t="shared" si="15"/>
        <v>658</v>
      </c>
      <c r="I288" s="505">
        <v>25</v>
      </c>
      <c r="J288" s="505">
        <f t="shared" si="16"/>
        <v>683</v>
      </c>
      <c r="K288" s="503">
        <f t="shared" si="17"/>
        <v>11.383333333333333</v>
      </c>
      <c r="L288" s="505" t="s">
        <v>1533</v>
      </c>
    </row>
    <row r="289" spans="1:12" x14ac:dyDescent="0.25">
      <c r="A289" s="501" t="s">
        <v>1536</v>
      </c>
      <c r="B289" s="501" t="s">
        <v>1537</v>
      </c>
      <c r="C289" s="502" t="s">
        <v>179</v>
      </c>
      <c r="D289" s="502">
        <v>900</v>
      </c>
      <c r="E289" s="504">
        <v>125</v>
      </c>
      <c r="F289" s="504">
        <v>250</v>
      </c>
      <c r="G289" s="504">
        <v>310</v>
      </c>
      <c r="H289" s="505">
        <f t="shared" si="15"/>
        <v>685</v>
      </c>
      <c r="I289" s="505">
        <v>25</v>
      </c>
      <c r="J289" s="505">
        <f t="shared" si="16"/>
        <v>710</v>
      </c>
      <c r="K289" s="503">
        <f t="shared" si="17"/>
        <v>11.833333333333334</v>
      </c>
      <c r="L289" s="505" t="s">
        <v>1533</v>
      </c>
    </row>
    <row r="290" spans="1:12" x14ac:dyDescent="0.25">
      <c r="A290" s="501" t="s">
        <v>1536</v>
      </c>
      <c r="B290" s="501" t="s">
        <v>1537</v>
      </c>
      <c r="C290" s="502" t="s">
        <v>179</v>
      </c>
      <c r="D290" s="502">
        <v>1500</v>
      </c>
      <c r="E290" s="504">
        <v>165</v>
      </c>
      <c r="F290" s="504">
        <v>310</v>
      </c>
      <c r="G290" s="504">
        <v>370</v>
      </c>
      <c r="H290" s="505">
        <f t="shared" si="15"/>
        <v>845</v>
      </c>
      <c r="I290" s="505">
        <v>25</v>
      </c>
      <c r="J290" s="505">
        <f t="shared" si="16"/>
        <v>870</v>
      </c>
      <c r="K290" s="503">
        <f t="shared" si="17"/>
        <v>14.5</v>
      </c>
      <c r="L290" s="505" t="s">
        <v>1533</v>
      </c>
    </row>
    <row r="291" spans="1:12" x14ac:dyDescent="0.25">
      <c r="A291" s="501" t="s">
        <v>1536</v>
      </c>
      <c r="B291" s="501" t="s">
        <v>1537</v>
      </c>
      <c r="C291" s="502" t="s">
        <v>118</v>
      </c>
      <c r="D291" s="502">
        <v>150</v>
      </c>
      <c r="E291" s="502">
        <v>90</v>
      </c>
      <c r="F291" s="502">
        <v>195</v>
      </c>
      <c r="G291" s="502">
        <v>265</v>
      </c>
      <c r="H291" s="501">
        <f t="shared" si="15"/>
        <v>550</v>
      </c>
      <c r="I291" s="501">
        <v>25</v>
      </c>
      <c r="J291" s="501">
        <f t="shared" si="16"/>
        <v>575</v>
      </c>
      <c r="K291" s="503">
        <f t="shared" si="17"/>
        <v>9.5833333333333339</v>
      </c>
      <c r="L291" s="501" t="s">
        <v>1531</v>
      </c>
    </row>
    <row r="292" spans="1:12" x14ac:dyDescent="0.25">
      <c r="A292" s="501" t="s">
        <v>1536</v>
      </c>
      <c r="B292" s="501" t="s">
        <v>1537</v>
      </c>
      <c r="C292" s="502" t="s">
        <v>118</v>
      </c>
      <c r="D292" s="502">
        <v>300</v>
      </c>
      <c r="E292" s="502">
        <v>115</v>
      </c>
      <c r="F292" s="502">
        <v>210</v>
      </c>
      <c r="G292" s="502">
        <v>280</v>
      </c>
      <c r="H292" s="501">
        <f t="shared" si="15"/>
        <v>605</v>
      </c>
      <c r="I292" s="501">
        <v>25</v>
      </c>
      <c r="J292" s="501">
        <f t="shared" si="16"/>
        <v>630</v>
      </c>
      <c r="K292" s="503">
        <f t="shared" si="17"/>
        <v>10.5</v>
      </c>
      <c r="L292" s="501" t="s">
        <v>1531</v>
      </c>
    </row>
    <row r="293" spans="1:12" x14ac:dyDescent="0.25">
      <c r="A293" s="501" t="s">
        <v>1536</v>
      </c>
      <c r="B293" s="501" t="s">
        <v>1537</v>
      </c>
      <c r="C293" s="502" t="s">
        <v>118</v>
      </c>
      <c r="D293" s="502">
        <v>600</v>
      </c>
      <c r="E293" s="504">
        <v>165</v>
      </c>
      <c r="F293" s="504">
        <v>240</v>
      </c>
      <c r="G293" s="504">
        <v>310</v>
      </c>
      <c r="H293" s="505">
        <f t="shared" si="15"/>
        <v>715</v>
      </c>
      <c r="I293" s="505">
        <v>25</v>
      </c>
      <c r="J293" s="505">
        <f t="shared" si="16"/>
        <v>740</v>
      </c>
      <c r="K293" s="503">
        <f t="shared" si="17"/>
        <v>12.333333333333334</v>
      </c>
      <c r="L293" s="505" t="s">
        <v>1533</v>
      </c>
    </row>
    <row r="294" spans="1:12" x14ac:dyDescent="0.25">
      <c r="A294" s="501" t="s">
        <v>1536</v>
      </c>
      <c r="B294" s="501" t="s">
        <v>1537</v>
      </c>
      <c r="C294" s="502" t="s">
        <v>118</v>
      </c>
      <c r="D294" s="502">
        <v>800</v>
      </c>
      <c r="E294" s="504">
        <v>198</v>
      </c>
      <c r="F294" s="504">
        <v>260</v>
      </c>
      <c r="G294" s="504">
        <v>330</v>
      </c>
      <c r="H294" s="505">
        <f t="shared" si="15"/>
        <v>788</v>
      </c>
      <c r="I294" s="505">
        <v>25</v>
      </c>
      <c r="J294" s="505">
        <f t="shared" si="16"/>
        <v>813</v>
      </c>
      <c r="K294" s="503">
        <f t="shared" si="17"/>
        <v>13.55</v>
      </c>
      <c r="L294" s="505" t="s">
        <v>1533</v>
      </c>
    </row>
    <row r="295" spans="1:12" x14ac:dyDescent="0.25">
      <c r="A295" s="501" t="s">
        <v>1536</v>
      </c>
      <c r="B295" s="501" t="s">
        <v>1537</v>
      </c>
      <c r="C295" s="502" t="s">
        <v>118</v>
      </c>
      <c r="D295" s="502">
        <v>900</v>
      </c>
      <c r="E295" s="504">
        <v>215</v>
      </c>
      <c r="F295" s="504">
        <v>270</v>
      </c>
      <c r="G295" s="504">
        <v>340</v>
      </c>
      <c r="H295" s="505">
        <f t="shared" si="15"/>
        <v>825</v>
      </c>
      <c r="I295" s="505">
        <v>25</v>
      </c>
      <c r="J295" s="505">
        <f t="shared" si="16"/>
        <v>850</v>
      </c>
      <c r="K295" s="503">
        <f t="shared" si="17"/>
        <v>14.166666666666666</v>
      </c>
      <c r="L295" s="505" t="s">
        <v>1533</v>
      </c>
    </row>
    <row r="296" spans="1:12" x14ac:dyDescent="0.25">
      <c r="A296" s="501" t="s">
        <v>1536</v>
      </c>
      <c r="B296" s="501" t="s">
        <v>1537</v>
      </c>
      <c r="C296" s="502" t="s">
        <v>118</v>
      </c>
      <c r="D296" s="502">
        <v>1500</v>
      </c>
      <c r="E296" s="504">
        <v>315</v>
      </c>
      <c r="F296" s="504">
        <v>330</v>
      </c>
      <c r="G296" s="504">
        <v>400</v>
      </c>
      <c r="H296" s="505">
        <f t="shared" si="15"/>
        <v>1045</v>
      </c>
      <c r="I296" s="505">
        <v>25</v>
      </c>
      <c r="J296" s="505">
        <f t="shared" si="16"/>
        <v>1070</v>
      </c>
      <c r="K296" s="503">
        <f t="shared" si="17"/>
        <v>17.833333333333332</v>
      </c>
      <c r="L296" s="505" t="s">
        <v>1533</v>
      </c>
    </row>
    <row r="297" spans="1:12" x14ac:dyDescent="0.25">
      <c r="A297" s="501" t="s">
        <v>1536</v>
      </c>
      <c r="B297" s="501" t="s">
        <v>1537</v>
      </c>
      <c r="C297" s="502" t="s">
        <v>688</v>
      </c>
      <c r="D297" s="502">
        <v>150</v>
      </c>
      <c r="E297" s="502">
        <v>110</v>
      </c>
      <c r="F297" s="502">
        <v>220</v>
      </c>
      <c r="G297" s="502">
        <v>295</v>
      </c>
      <c r="H297" s="501">
        <f t="shared" si="15"/>
        <v>625</v>
      </c>
      <c r="I297" s="501">
        <v>25</v>
      </c>
      <c r="J297" s="501">
        <f t="shared" si="16"/>
        <v>650</v>
      </c>
      <c r="K297" s="503">
        <f t="shared" si="17"/>
        <v>10.833333333333334</v>
      </c>
      <c r="L297" s="501" t="s">
        <v>1531</v>
      </c>
    </row>
    <row r="298" spans="1:12" x14ac:dyDescent="0.25">
      <c r="A298" s="501" t="s">
        <v>1536</v>
      </c>
      <c r="B298" s="501" t="s">
        <v>1537</v>
      </c>
      <c r="C298" s="502" t="s">
        <v>688</v>
      </c>
      <c r="D298" s="502">
        <v>300</v>
      </c>
      <c r="E298" s="502">
        <v>140</v>
      </c>
      <c r="F298" s="502">
        <v>235</v>
      </c>
      <c r="G298" s="502">
        <v>310</v>
      </c>
      <c r="H298" s="501">
        <f t="shared" si="15"/>
        <v>685</v>
      </c>
      <c r="I298" s="501">
        <v>25</v>
      </c>
      <c r="J298" s="501">
        <f t="shared" si="16"/>
        <v>710</v>
      </c>
      <c r="K298" s="503">
        <f t="shared" si="17"/>
        <v>11.833333333333334</v>
      </c>
      <c r="L298" s="501" t="s">
        <v>1531</v>
      </c>
    </row>
    <row r="299" spans="1:12" x14ac:dyDescent="0.25">
      <c r="A299" s="501" t="s">
        <v>1536</v>
      </c>
      <c r="B299" s="501" t="s">
        <v>1537</v>
      </c>
      <c r="C299" s="502" t="s">
        <v>688</v>
      </c>
      <c r="D299" s="502">
        <v>600</v>
      </c>
      <c r="E299" s="504">
        <v>200</v>
      </c>
      <c r="F299" s="504">
        <v>265</v>
      </c>
      <c r="G299" s="504">
        <v>340</v>
      </c>
      <c r="H299" s="505">
        <f t="shared" si="15"/>
        <v>805</v>
      </c>
      <c r="I299" s="505">
        <v>25</v>
      </c>
      <c r="J299" s="505">
        <f t="shared" si="16"/>
        <v>830</v>
      </c>
      <c r="K299" s="503">
        <f t="shared" si="17"/>
        <v>13.833333333333334</v>
      </c>
      <c r="L299" s="505" t="s">
        <v>1533</v>
      </c>
    </row>
    <row r="300" spans="1:12" x14ac:dyDescent="0.25">
      <c r="A300" s="501" t="s">
        <v>1536</v>
      </c>
      <c r="B300" s="501" t="s">
        <v>1537</v>
      </c>
      <c r="C300" s="502" t="s">
        <v>688</v>
      </c>
      <c r="D300" s="502">
        <v>800</v>
      </c>
      <c r="E300" s="504">
        <v>240</v>
      </c>
      <c r="F300" s="504">
        <v>285</v>
      </c>
      <c r="G300" s="504">
        <v>360</v>
      </c>
      <c r="H300" s="505">
        <f t="shared" si="15"/>
        <v>885</v>
      </c>
      <c r="I300" s="505">
        <v>25</v>
      </c>
      <c r="J300" s="505">
        <f t="shared" si="16"/>
        <v>910</v>
      </c>
      <c r="K300" s="503">
        <f t="shared" si="17"/>
        <v>15.166666666666666</v>
      </c>
      <c r="L300" s="505" t="s">
        <v>1533</v>
      </c>
    </row>
    <row r="301" spans="1:12" x14ac:dyDescent="0.25">
      <c r="A301" s="501" t="s">
        <v>1536</v>
      </c>
      <c r="B301" s="501" t="s">
        <v>1537</v>
      </c>
      <c r="C301" s="502" t="s">
        <v>688</v>
      </c>
      <c r="D301" s="502">
        <v>900</v>
      </c>
      <c r="E301" s="504">
        <v>260</v>
      </c>
      <c r="F301" s="504">
        <v>295</v>
      </c>
      <c r="G301" s="504">
        <v>370</v>
      </c>
      <c r="H301" s="505">
        <f t="shared" si="15"/>
        <v>925</v>
      </c>
      <c r="I301" s="505">
        <v>25</v>
      </c>
      <c r="J301" s="505">
        <f t="shared" si="16"/>
        <v>950</v>
      </c>
      <c r="K301" s="503">
        <f t="shared" si="17"/>
        <v>15.833333333333334</v>
      </c>
      <c r="L301" s="505" t="s">
        <v>1533</v>
      </c>
    </row>
    <row r="302" spans="1:12" x14ac:dyDescent="0.25">
      <c r="A302" s="501" t="s">
        <v>1536</v>
      </c>
      <c r="B302" s="501" t="s">
        <v>1537</v>
      </c>
      <c r="C302" s="502" t="s">
        <v>688</v>
      </c>
      <c r="D302" s="502">
        <v>1500</v>
      </c>
      <c r="E302" s="504">
        <v>380</v>
      </c>
      <c r="F302" s="504">
        <v>355</v>
      </c>
      <c r="G302" s="504">
        <v>430</v>
      </c>
      <c r="H302" s="505">
        <f t="shared" si="15"/>
        <v>1165</v>
      </c>
      <c r="I302" s="505">
        <v>25</v>
      </c>
      <c r="J302" s="505">
        <f t="shared" si="16"/>
        <v>1190</v>
      </c>
      <c r="K302" s="503">
        <f t="shared" si="17"/>
        <v>19.833333333333332</v>
      </c>
      <c r="L302" s="505" t="s">
        <v>1533</v>
      </c>
    </row>
    <row r="303" spans="1:12" x14ac:dyDescent="0.25">
      <c r="A303" s="501" t="s">
        <v>1536</v>
      </c>
      <c r="B303" s="501" t="s">
        <v>1537</v>
      </c>
      <c r="C303" s="502" t="s">
        <v>171</v>
      </c>
      <c r="D303" s="502">
        <v>150</v>
      </c>
      <c r="E303" s="502">
        <v>150</v>
      </c>
      <c r="F303" s="502">
        <v>240</v>
      </c>
      <c r="G303" s="502">
        <v>340</v>
      </c>
      <c r="H303" s="501">
        <f t="shared" si="15"/>
        <v>730</v>
      </c>
      <c r="I303" s="501">
        <v>25</v>
      </c>
      <c r="J303" s="501">
        <f t="shared" si="16"/>
        <v>755</v>
      </c>
      <c r="K303" s="503">
        <f t="shared" si="17"/>
        <v>12.583333333333334</v>
      </c>
      <c r="L303" s="501" t="s">
        <v>1531</v>
      </c>
    </row>
    <row r="304" spans="1:12" x14ac:dyDescent="0.25">
      <c r="A304" s="501" t="s">
        <v>1536</v>
      </c>
      <c r="B304" s="501" t="s">
        <v>1537</v>
      </c>
      <c r="C304" s="502" t="s">
        <v>171</v>
      </c>
      <c r="D304" s="502">
        <v>300</v>
      </c>
      <c r="E304" s="502">
        <v>190</v>
      </c>
      <c r="F304" s="502">
        <v>255</v>
      </c>
      <c r="G304" s="502">
        <v>355</v>
      </c>
      <c r="H304" s="501">
        <f t="shared" si="15"/>
        <v>800</v>
      </c>
      <c r="I304" s="501">
        <v>25</v>
      </c>
      <c r="J304" s="501">
        <f t="shared" si="16"/>
        <v>825</v>
      </c>
      <c r="K304" s="503">
        <f t="shared" si="17"/>
        <v>13.75</v>
      </c>
      <c r="L304" s="501" t="s">
        <v>1531</v>
      </c>
    </row>
    <row r="305" spans="1:12" x14ac:dyDescent="0.25">
      <c r="A305" s="501" t="s">
        <v>1536</v>
      </c>
      <c r="B305" s="501" t="s">
        <v>1537</v>
      </c>
      <c r="C305" s="502" t="s">
        <v>171</v>
      </c>
      <c r="D305" s="502">
        <v>600</v>
      </c>
      <c r="E305" s="504">
        <v>270</v>
      </c>
      <c r="F305" s="504">
        <v>285</v>
      </c>
      <c r="G305" s="504">
        <v>385</v>
      </c>
      <c r="H305" s="505">
        <f t="shared" si="15"/>
        <v>940</v>
      </c>
      <c r="I305" s="505">
        <v>25</v>
      </c>
      <c r="J305" s="505">
        <f t="shared" si="16"/>
        <v>965</v>
      </c>
      <c r="K305" s="503">
        <f t="shared" si="17"/>
        <v>16.083333333333332</v>
      </c>
      <c r="L305" s="505" t="s">
        <v>1533</v>
      </c>
    </row>
    <row r="306" spans="1:12" x14ac:dyDescent="0.25">
      <c r="A306" s="501" t="s">
        <v>1536</v>
      </c>
      <c r="B306" s="501" t="s">
        <v>1537</v>
      </c>
      <c r="C306" s="502" t="s">
        <v>171</v>
      </c>
      <c r="D306" s="502">
        <v>800</v>
      </c>
      <c r="E306" s="504">
        <v>323</v>
      </c>
      <c r="F306" s="504">
        <v>305</v>
      </c>
      <c r="G306" s="504">
        <v>405</v>
      </c>
      <c r="H306" s="505">
        <f t="shared" si="15"/>
        <v>1033</v>
      </c>
      <c r="I306" s="505">
        <v>25</v>
      </c>
      <c r="J306" s="505">
        <f t="shared" si="16"/>
        <v>1058</v>
      </c>
      <c r="K306" s="503">
        <f t="shared" si="17"/>
        <v>17.633333333333333</v>
      </c>
      <c r="L306" s="505" t="s">
        <v>1533</v>
      </c>
    </row>
    <row r="307" spans="1:12" x14ac:dyDescent="0.25">
      <c r="A307" s="501" t="s">
        <v>1536</v>
      </c>
      <c r="B307" s="501" t="s">
        <v>1537</v>
      </c>
      <c r="C307" s="502" t="s">
        <v>171</v>
      </c>
      <c r="D307" s="502">
        <v>900</v>
      </c>
      <c r="E307" s="504">
        <v>350</v>
      </c>
      <c r="F307" s="504">
        <v>315</v>
      </c>
      <c r="G307" s="504">
        <v>415</v>
      </c>
      <c r="H307" s="505">
        <f t="shared" si="15"/>
        <v>1080</v>
      </c>
      <c r="I307" s="505">
        <v>25</v>
      </c>
      <c r="J307" s="505">
        <f t="shared" si="16"/>
        <v>1105</v>
      </c>
      <c r="K307" s="503">
        <f t="shared" si="17"/>
        <v>18.416666666666668</v>
      </c>
      <c r="L307" s="505" t="s">
        <v>1533</v>
      </c>
    </row>
    <row r="308" spans="1:12" x14ac:dyDescent="0.25">
      <c r="A308" s="501" t="s">
        <v>1536</v>
      </c>
      <c r="B308" s="501" t="s">
        <v>1537</v>
      </c>
      <c r="C308" s="502" t="s">
        <v>171</v>
      </c>
      <c r="D308" s="502">
        <v>1500</v>
      </c>
      <c r="E308" s="504">
        <v>510</v>
      </c>
      <c r="F308" s="504">
        <v>375</v>
      </c>
      <c r="G308" s="504">
        <v>475</v>
      </c>
      <c r="H308" s="505">
        <f t="shared" si="15"/>
        <v>1360</v>
      </c>
      <c r="I308" s="505">
        <v>25</v>
      </c>
      <c r="J308" s="505">
        <f t="shared" si="16"/>
        <v>1385</v>
      </c>
      <c r="K308" s="503">
        <f t="shared" si="17"/>
        <v>23.083333333333332</v>
      </c>
      <c r="L308" s="505" t="s">
        <v>1533</v>
      </c>
    </row>
    <row r="309" spans="1:12" x14ac:dyDescent="0.25">
      <c r="A309" s="501" t="s">
        <v>1536</v>
      </c>
      <c r="B309" s="501" t="s">
        <v>1537</v>
      </c>
      <c r="C309" s="502" t="s">
        <v>195</v>
      </c>
      <c r="D309" s="502">
        <v>150</v>
      </c>
      <c r="E309" s="502">
        <v>180</v>
      </c>
      <c r="F309" s="502">
        <v>265</v>
      </c>
      <c r="G309" s="502">
        <v>370</v>
      </c>
      <c r="H309" s="501">
        <f t="shared" si="15"/>
        <v>815</v>
      </c>
      <c r="I309" s="501">
        <v>25</v>
      </c>
      <c r="J309" s="501">
        <f t="shared" si="16"/>
        <v>840</v>
      </c>
      <c r="K309" s="503">
        <f t="shared" si="17"/>
        <v>14</v>
      </c>
      <c r="L309" s="501" t="s">
        <v>1531</v>
      </c>
    </row>
    <row r="310" spans="1:12" x14ac:dyDescent="0.25">
      <c r="A310" s="501" t="s">
        <v>1536</v>
      </c>
      <c r="B310" s="501" t="s">
        <v>1537</v>
      </c>
      <c r="C310" s="502" t="s">
        <v>195</v>
      </c>
      <c r="D310" s="502">
        <v>300</v>
      </c>
      <c r="E310" s="502">
        <v>225</v>
      </c>
      <c r="F310" s="502">
        <v>280</v>
      </c>
      <c r="G310" s="502">
        <v>385</v>
      </c>
      <c r="H310" s="501">
        <f t="shared" si="15"/>
        <v>890</v>
      </c>
      <c r="I310" s="501">
        <v>25</v>
      </c>
      <c r="J310" s="501">
        <f t="shared" si="16"/>
        <v>915</v>
      </c>
      <c r="K310" s="503">
        <f t="shared" si="17"/>
        <v>15.25</v>
      </c>
      <c r="L310" s="501" t="s">
        <v>1531</v>
      </c>
    </row>
    <row r="311" spans="1:12" x14ac:dyDescent="0.25">
      <c r="A311" s="501" t="s">
        <v>1536</v>
      </c>
      <c r="B311" s="501" t="s">
        <v>1537</v>
      </c>
      <c r="C311" s="502" t="s">
        <v>195</v>
      </c>
      <c r="D311" s="502">
        <v>600</v>
      </c>
      <c r="E311" s="504">
        <v>315</v>
      </c>
      <c r="F311" s="504">
        <v>310</v>
      </c>
      <c r="G311" s="504">
        <v>415</v>
      </c>
      <c r="H311" s="505">
        <f t="shared" si="15"/>
        <v>1040</v>
      </c>
      <c r="I311" s="505">
        <v>25</v>
      </c>
      <c r="J311" s="505">
        <f t="shared" si="16"/>
        <v>1065</v>
      </c>
      <c r="K311" s="503">
        <f t="shared" si="17"/>
        <v>17.75</v>
      </c>
      <c r="L311" s="505" t="s">
        <v>1533</v>
      </c>
    </row>
    <row r="312" spans="1:12" x14ac:dyDescent="0.25">
      <c r="A312" s="501" t="s">
        <v>1536</v>
      </c>
      <c r="B312" s="501" t="s">
        <v>1537</v>
      </c>
      <c r="C312" s="502" t="s">
        <v>195</v>
      </c>
      <c r="D312" s="502">
        <v>800</v>
      </c>
      <c r="E312" s="504">
        <v>375</v>
      </c>
      <c r="F312" s="504">
        <v>330</v>
      </c>
      <c r="G312" s="504">
        <v>435</v>
      </c>
      <c r="H312" s="505">
        <f t="shared" si="15"/>
        <v>1140</v>
      </c>
      <c r="I312" s="505">
        <v>25</v>
      </c>
      <c r="J312" s="505">
        <f t="shared" si="16"/>
        <v>1165</v>
      </c>
      <c r="K312" s="503">
        <f t="shared" si="17"/>
        <v>19.416666666666668</v>
      </c>
      <c r="L312" s="505" t="s">
        <v>1533</v>
      </c>
    </row>
    <row r="313" spans="1:12" x14ac:dyDescent="0.25">
      <c r="A313" s="501" t="s">
        <v>1536</v>
      </c>
      <c r="B313" s="501" t="s">
        <v>1537</v>
      </c>
      <c r="C313" s="502" t="s">
        <v>195</v>
      </c>
      <c r="D313" s="502">
        <v>900</v>
      </c>
      <c r="E313" s="504">
        <v>405</v>
      </c>
      <c r="F313" s="504">
        <v>340</v>
      </c>
      <c r="G313" s="504">
        <v>445</v>
      </c>
      <c r="H313" s="505">
        <f t="shared" si="15"/>
        <v>1190</v>
      </c>
      <c r="I313" s="505">
        <v>25</v>
      </c>
      <c r="J313" s="505">
        <f t="shared" si="16"/>
        <v>1215</v>
      </c>
      <c r="K313" s="503">
        <f t="shared" si="17"/>
        <v>20.25</v>
      </c>
      <c r="L313" s="505" t="s">
        <v>1533</v>
      </c>
    </row>
    <row r="314" spans="1:12" x14ac:dyDescent="0.25">
      <c r="A314" s="501" t="s">
        <v>1536</v>
      </c>
      <c r="B314" s="501" t="s">
        <v>1537</v>
      </c>
      <c r="C314" s="502" t="s">
        <v>195</v>
      </c>
      <c r="D314" s="502">
        <v>1500</v>
      </c>
      <c r="E314" s="504">
        <v>585</v>
      </c>
      <c r="F314" s="504">
        <v>400</v>
      </c>
      <c r="G314" s="504">
        <v>505</v>
      </c>
      <c r="H314" s="505">
        <f t="shared" si="15"/>
        <v>1490</v>
      </c>
      <c r="I314" s="505">
        <v>25</v>
      </c>
      <c r="J314" s="505">
        <f t="shared" si="16"/>
        <v>1515</v>
      </c>
      <c r="K314" s="503">
        <f t="shared" si="17"/>
        <v>25.25</v>
      </c>
      <c r="L314" s="505" t="s">
        <v>1533</v>
      </c>
    </row>
    <row r="315" spans="1:12" x14ac:dyDescent="0.25">
      <c r="A315" s="501" t="s">
        <v>1536</v>
      </c>
      <c r="B315" s="501" t="s">
        <v>1537</v>
      </c>
      <c r="C315" s="502" t="s">
        <v>1406</v>
      </c>
      <c r="D315" s="502">
        <v>150</v>
      </c>
      <c r="E315" s="502">
        <v>200</v>
      </c>
      <c r="F315" s="502">
        <v>280</v>
      </c>
      <c r="G315" s="502">
        <v>415</v>
      </c>
      <c r="H315" s="501">
        <f t="shared" si="15"/>
        <v>895</v>
      </c>
      <c r="I315" s="501">
        <v>30</v>
      </c>
      <c r="J315" s="501">
        <f t="shared" si="16"/>
        <v>925</v>
      </c>
      <c r="K315" s="503">
        <f t="shared" si="17"/>
        <v>15.416666666666666</v>
      </c>
      <c r="L315" s="501" t="s">
        <v>1531</v>
      </c>
    </row>
    <row r="316" spans="1:12" x14ac:dyDescent="0.25">
      <c r="A316" s="501" t="s">
        <v>1536</v>
      </c>
      <c r="B316" s="501" t="s">
        <v>1537</v>
      </c>
      <c r="C316" s="502" t="s">
        <v>1406</v>
      </c>
      <c r="D316" s="502">
        <v>300</v>
      </c>
      <c r="E316" s="502">
        <v>240</v>
      </c>
      <c r="F316" s="502">
        <v>295</v>
      </c>
      <c r="G316" s="502">
        <v>430</v>
      </c>
      <c r="H316" s="501">
        <f t="shared" si="15"/>
        <v>965</v>
      </c>
      <c r="I316" s="501">
        <v>30</v>
      </c>
      <c r="J316" s="501">
        <f t="shared" si="16"/>
        <v>995</v>
      </c>
      <c r="K316" s="503">
        <f t="shared" si="17"/>
        <v>16.583333333333332</v>
      </c>
      <c r="L316" s="501" t="s">
        <v>1531</v>
      </c>
    </row>
    <row r="317" spans="1:12" x14ac:dyDescent="0.25">
      <c r="A317" s="501" t="s">
        <v>1536</v>
      </c>
      <c r="B317" s="501" t="s">
        <v>1537</v>
      </c>
      <c r="C317" s="502" t="s">
        <v>1406</v>
      </c>
      <c r="D317" s="502">
        <v>600</v>
      </c>
      <c r="E317" s="504">
        <v>320</v>
      </c>
      <c r="F317" s="504">
        <v>325</v>
      </c>
      <c r="G317" s="504">
        <v>460</v>
      </c>
      <c r="H317" s="505">
        <f t="shared" si="15"/>
        <v>1105</v>
      </c>
      <c r="I317" s="505">
        <v>30</v>
      </c>
      <c r="J317" s="505">
        <f t="shared" si="16"/>
        <v>1135</v>
      </c>
      <c r="K317" s="503">
        <f t="shared" si="17"/>
        <v>18.916666666666668</v>
      </c>
      <c r="L317" s="505" t="s">
        <v>1533</v>
      </c>
    </row>
    <row r="318" spans="1:12" x14ac:dyDescent="0.25">
      <c r="A318" s="501" t="s">
        <v>1536</v>
      </c>
      <c r="B318" s="501" t="s">
        <v>1537</v>
      </c>
      <c r="C318" s="502" t="s">
        <v>1406</v>
      </c>
      <c r="D318" s="502">
        <v>800</v>
      </c>
      <c r="E318" s="504">
        <v>373</v>
      </c>
      <c r="F318" s="504">
        <v>345</v>
      </c>
      <c r="G318" s="504">
        <v>480</v>
      </c>
      <c r="H318" s="505">
        <f t="shared" si="15"/>
        <v>1198</v>
      </c>
      <c r="I318" s="505">
        <v>30</v>
      </c>
      <c r="J318" s="505">
        <f t="shared" si="16"/>
        <v>1228</v>
      </c>
      <c r="K318" s="503">
        <f t="shared" si="17"/>
        <v>20.466666666666665</v>
      </c>
      <c r="L318" s="505" t="s">
        <v>1533</v>
      </c>
    </row>
    <row r="319" spans="1:12" x14ac:dyDescent="0.25">
      <c r="A319" s="501" t="s">
        <v>1536</v>
      </c>
      <c r="B319" s="501" t="s">
        <v>1537</v>
      </c>
      <c r="C319" s="502" t="s">
        <v>1406</v>
      </c>
      <c r="D319" s="502">
        <v>900</v>
      </c>
      <c r="E319" s="504">
        <v>400</v>
      </c>
      <c r="F319" s="504">
        <v>355</v>
      </c>
      <c r="G319" s="504">
        <v>490</v>
      </c>
      <c r="H319" s="505">
        <f t="shared" si="15"/>
        <v>1245</v>
      </c>
      <c r="I319" s="505">
        <v>30</v>
      </c>
      <c r="J319" s="505">
        <f t="shared" si="16"/>
        <v>1275</v>
      </c>
      <c r="K319" s="503">
        <f t="shared" si="17"/>
        <v>21.25</v>
      </c>
      <c r="L319" s="505" t="s">
        <v>1533</v>
      </c>
    </row>
    <row r="320" spans="1:12" x14ac:dyDescent="0.25">
      <c r="A320" s="501" t="s">
        <v>1536</v>
      </c>
      <c r="B320" s="501" t="s">
        <v>1537</v>
      </c>
      <c r="C320" s="502" t="s">
        <v>1406</v>
      </c>
      <c r="D320" s="502">
        <v>1500</v>
      </c>
      <c r="E320" s="504">
        <v>560</v>
      </c>
      <c r="F320" s="504">
        <v>415</v>
      </c>
      <c r="G320" s="504">
        <v>550</v>
      </c>
      <c r="H320" s="505">
        <f t="shared" si="15"/>
        <v>1525</v>
      </c>
      <c r="I320" s="505">
        <v>30</v>
      </c>
      <c r="J320" s="505">
        <f t="shared" si="16"/>
        <v>1555</v>
      </c>
      <c r="K320" s="503">
        <f t="shared" si="17"/>
        <v>25.916666666666668</v>
      </c>
      <c r="L320" s="505" t="s">
        <v>1533</v>
      </c>
    </row>
    <row r="321" spans="1:12" x14ac:dyDescent="0.25">
      <c r="A321" s="501" t="s">
        <v>1536</v>
      </c>
      <c r="B321" s="501" t="s">
        <v>1537</v>
      </c>
      <c r="C321" s="502" t="s">
        <v>1407</v>
      </c>
      <c r="D321" s="502">
        <v>150</v>
      </c>
      <c r="E321" s="502">
        <v>220</v>
      </c>
      <c r="F321" s="502">
        <v>300</v>
      </c>
      <c r="G321" s="502">
        <v>445</v>
      </c>
      <c r="H321" s="501">
        <f t="shared" si="15"/>
        <v>965</v>
      </c>
      <c r="I321" s="501">
        <v>30</v>
      </c>
      <c r="J321" s="501">
        <f t="shared" si="16"/>
        <v>995</v>
      </c>
      <c r="K321" s="503">
        <f t="shared" si="17"/>
        <v>16.583333333333332</v>
      </c>
      <c r="L321" s="501" t="s">
        <v>1531</v>
      </c>
    </row>
    <row r="322" spans="1:12" x14ac:dyDescent="0.25">
      <c r="A322" s="501" t="s">
        <v>1536</v>
      </c>
      <c r="B322" s="501" t="s">
        <v>1537</v>
      </c>
      <c r="C322" s="502" t="s">
        <v>1407</v>
      </c>
      <c r="D322" s="502">
        <v>300</v>
      </c>
      <c r="E322" s="502">
        <v>250</v>
      </c>
      <c r="F322" s="502">
        <v>315</v>
      </c>
      <c r="G322" s="502">
        <v>460</v>
      </c>
      <c r="H322" s="501">
        <f t="shared" si="15"/>
        <v>1025</v>
      </c>
      <c r="I322" s="501">
        <v>30</v>
      </c>
      <c r="J322" s="501">
        <f t="shared" si="16"/>
        <v>1055</v>
      </c>
      <c r="K322" s="503">
        <f t="shared" si="17"/>
        <v>17.583333333333332</v>
      </c>
      <c r="L322" s="501" t="s">
        <v>1531</v>
      </c>
    </row>
    <row r="323" spans="1:12" x14ac:dyDescent="0.25">
      <c r="A323" s="501" t="s">
        <v>1536</v>
      </c>
      <c r="B323" s="501" t="s">
        <v>1537</v>
      </c>
      <c r="C323" s="502" t="s">
        <v>1407</v>
      </c>
      <c r="D323" s="502">
        <v>600</v>
      </c>
      <c r="E323" s="504">
        <v>310</v>
      </c>
      <c r="F323" s="504">
        <v>345</v>
      </c>
      <c r="G323" s="504">
        <v>490</v>
      </c>
      <c r="H323" s="505">
        <f t="shared" si="15"/>
        <v>1145</v>
      </c>
      <c r="I323" s="505">
        <v>30</v>
      </c>
      <c r="J323" s="505">
        <f t="shared" si="16"/>
        <v>1175</v>
      </c>
      <c r="K323" s="503">
        <f t="shared" si="17"/>
        <v>19.583333333333332</v>
      </c>
      <c r="L323" s="505" t="s">
        <v>1533</v>
      </c>
    </row>
    <row r="324" spans="1:12" x14ac:dyDescent="0.25">
      <c r="A324" s="501" t="s">
        <v>1536</v>
      </c>
      <c r="B324" s="501" t="s">
        <v>1537</v>
      </c>
      <c r="C324" s="502" t="s">
        <v>1407</v>
      </c>
      <c r="D324" s="502">
        <v>800</v>
      </c>
      <c r="E324" s="504">
        <v>350</v>
      </c>
      <c r="F324" s="504">
        <v>365</v>
      </c>
      <c r="G324" s="504">
        <v>510</v>
      </c>
      <c r="H324" s="505">
        <f t="shared" si="15"/>
        <v>1225</v>
      </c>
      <c r="I324" s="505">
        <v>30</v>
      </c>
      <c r="J324" s="505">
        <f t="shared" si="16"/>
        <v>1255</v>
      </c>
      <c r="K324" s="503">
        <f t="shared" si="17"/>
        <v>20.916666666666668</v>
      </c>
      <c r="L324" s="505" t="s">
        <v>1533</v>
      </c>
    </row>
    <row r="325" spans="1:12" x14ac:dyDescent="0.25">
      <c r="A325" s="501" t="s">
        <v>1536</v>
      </c>
      <c r="B325" s="501" t="s">
        <v>1537</v>
      </c>
      <c r="C325" s="502" t="s">
        <v>1407</v>
      </c>
      <c r="D325" s="502">
        <v>900</v>
      </c>
      <c r="E325" s="504">
        <v>370</v>
      </c>
      <c r="F325" s="504">
        <v>375</v>
      </c>
      <c r="G325" s="504">
        <v>520</v>
      </c>
      <c r="H325" s="505">
        <f t="shared" si="15"/>
        <v>1265</v>
      </c>
      <c r="I325" s="505">
        <v>30</v>
      </c>
      <c r="J325" s="505">
        <f t="shared" si="16"/>
        <v>1295</v>
      </c>
      <c r="K325" s="503">
        <f t="shared" si="17"/>
        <v>21.583333333333332</v>
      </c>
      <c r="L325" s="505" t="s">
        <v>1533</v>
      </c>
    </row>
    <row r="326" spans="1:12" x14ac:dyDescent="0.25">
      <c r="A326" s="501" t="s">
        <v>1536</v>
      </c>
      <c r="B326" s="501" t="s">
        <v>1537</v>
      </c>
      <c r="C326" s="502" t="s">
        <v>1407</v>
      </c>
      <c r="D326" s="502">
        <v>1500</v>
      </c>
      <c r="E326" s="504">
        <v>490</v>
      </c>
      <c r="F326" s="504">
        <v>435</v>
      </c>
      <c r="G326" s="504">
        <v>580</v>
      </c>
      <c r="H326" s="505">
        <f t="shared" si="15"/>
        <v>1505</v>
      </c>
      <c r="I326" s="505">
        <v>30</v>
      </c>
      <c r="J326" s="505">
        <f t="shared" si="16"/>
        <v>1535</v>
      </c>
      <c r="K326" s="503">
        <f t="shared" si="17"/>
        <v>25.583333333333332</v>
      </c>
      <c r="L326" s="505" t="s">
        <v>1533</v>
      </c>
    </row>
    <row r="327" spans="1:12" x14ac:dyDescent="0.25">
      <c r="A327" s="501" t="s">
        <v>1536</v>
      </c>
      <c r="B327" s="501" t="s">
        <v>1537</v>
      </c>
      <c r="C327" s="502" t="s">
        <v>1408</v>
      </c>
      <c r="D327" s="502">
        <v>150</v>
      </c>
      <c r="E327" s="502">
        <v>270</v>
      </c>
      <c r="F327" s="502">
        <v>325</v>
      </c>
      <c r="G327" s="502">
        <v>475</v>
      </c>
      <c r="H327" s="501">
        <f t="shared" si="15"/>
        <v>1070</v>
      </c>
      <c r="I327" s="501">
        <v>30</v>
      </c>
      <c r="J327" s="501">
        <f t="shared" si="16"/>
        <v>1100</v>
      </c>
      <c r="K327" s="503">
        <f t="shared" si="17"/>
        <v>18.333333333333332</v>
      </c>
      <c r="L327" s="501" t="s">
        <v>1531</v>
      </c>
    </row>
    <row r="328" spans="1:12" x14ac:dyDescent="0.25">
      <c r="A328" s="501" t="s">
        <v>1536</v>
      </c>
      <c r="B328" s="501" t="s">
        <v>1537</v>
      </c>
      <c r="C328" s="502" t="s">
        <v>1408</v>
      </c>
      <c r="D328" s="502">
        <v>300</v>
      </c>
      <c r="E328" s="502">
        <v>280</v>
      </c>
      <c r="F328" s="502">
        <v>340</v>
      </c>
      <c r="G328" s="502">
        <v>490</v>
      </c>
      <c r="H328" s="501">
        <f t="shared" si="15"/>
        <v>1110</v>
      </c>
      <c r="I328" s="501">
        <v>30</v>
      </c>
      <c r="J328" s="501">
        <f t="shared" si="16"/>
        <v>1140</v>
      </c>
      <c r="K328" s="503">
        <f t="shared" si="17"/>
        <v>19</v>
      </c>
      <c r="L328" s="501" t="s">
        <v>1531</v>
      </c>
    </row>
    <row r="329" spans="1:12" x14ac:dyDescent="0.25">
      <c r="A329" s="501" t="s">
        <v>1536</v>
      </c>
      <c r="B329" s="501" t="s">
        <v>1537</v>
      </c>
      <c r="C329" s="502" t="s">
        <v>1408</v>
      </c>
      <c r="D329" s="502">
        <v>600</v>
      </c>
      <c r="E329" s="504">
        <v>300</v>
      </c>
      <c r="F329" s="504">
        <v>370</v>
      </c>
      <c r="G329" s="504">
        <v>520</v>
      </c>
      <c r="H329" s="505">
        <f t="shared" si="15"/>
        <v>1190</v>
      </c>
      <c r="I329" s="505">
        <v>30</v>
      </c>
      <c r="J329" s="505">
        <f t="shared" si="16"/>
        <v>1220</v>
      </c>
      <c r="K329" s="503">
        <f t="shared" si="17"/>
        <v>20.333333333333332</v>
      </c>
      <c r="L329" s="505" t="s">
        <v>1533</v>
      </c>
    </row>
    <row r="330" spans="1:12" x14ac:dyDescent="0.25">
      <c r="A330" s="501" t="s">
        <v>1536</v>
      </c>
      <c r="B330" s="501" t="s">
        <v>1537</v>
      </c>
      <c r="C330" s="502" t="s">
        <v>1408</v>
      </c>
      <c r="D330" s="502">
        <v>800</v>
      </c>
      <c r="E330" s="504">
        <v>313</v>
      </c>
      <c r="F330" s="504">
        <v>390</v>
      </c>
      <c r="G330" s="504">
        <v>540</v>
      </c>
      <c r="H330" s="505">
        <f t="shared" si="15"/>
        <v>1243</v>
      </c>
      <c r="I330" s="505">
        <v>30</v>
      </c>
      <c r="J330" s="505">
        <f t="shared" si="16"/>
        <v>1273</v>
      </c>
      <c r="K330" s="503">
        <f t="shared" si="17"/>
        <v>21.216666666666665</v>
      </c>
      <c r="L330" s="505" t="s">
        <v>1533</v>
      </c>
    </row>
    <row r="331" spans="1:12" x14ac:dyDescent="0.25">
      <c r="A331" s="501" t="s">
        <v>1536</v>
      </c>
      <c r="B331" s="501" t="s">
        <v>1537</v>
      </c>
      <c r="C331" s="502" t="s">
        <v>1408</v>
      </c>
      <c r="D331" s="502">
        <v>900</v>
      </c>
      <c r="E331" s="504">
        <v>320</v>
      </c>
      <c r="F331" s="504">
        <v>400</v>
      </c>
      <c r="G331" s="504">
        <v>550</v>
      </c>
      <c r="H331" s="505">
        <f t="shared" si="15"/>
        <v>1270</v>
      </c>
      <c r="I331" s="505">
        <v>30</v>
      </c>
      <c r="J331" s="505">
        <f t="shared" si="16"/>
        <v>1300</v>
      </c>
      <c r="K331" s="503">
        <f t="shared" si="17"/>
        <v>21.666666666666668</v>
      </c>
      <c r="L331" s="505" t="s">
        <v>1533</v>
      </c>
    </row>
    <row r="332" spans="1:12" x14ac:dyDescent="0.25">
      <c r="A332" s="501" t="s">
        <v>1536</v>
      </c>
      <c r="B332" s="501" t="s">
        <v>1537</v>
      </c>
      <c r="C332" s="502" t="s">
        <v>1408</v>
      </c>
      <c r="D332" s="502">
        <v>1500</v>
      </c>
      <c r="E332" s="504">
        <v>360</v>
      </c>
      <c r="F332" s="504">
        <v>460</v>
      </c>
      <c r="G332" s="504">
        <v>610</v>
      </c>
      <c r="H332" s="505">
        <f t="shared" si="15"/>
        <v>1430</v>
      </c>
      <c r="I332" s="505">
        <v>30</v>
      </c>
      <c r="J332" s="505">
        <f t="shared" si="16"/>
        <v>1460</v>
      </c>
      <c r="K332" s="503">
        <f t="shared" si="17"/>
        <v>24.333333333333332</v>
      </c>
      <c r="L332" s="505" t="s">
        <v>1533</v>
      </c>
    </row>
    <row r="333" spans="1:12" x14ac:dyDescent="0.25">
      <c r="A333" s="501" t="s">
        <v>1536</v>
      </c>
      <c r="B333" s="501" t="s">
        <v>1537</v>
      </c>
      <c r="C333" s="502" t="s">
        <v>1409</v>
      </c>
      <c r="D333" s="502">
        <v>150</v>
      </c>
      <c r="E333" s="502">
        <v>310</v>
      </c>
      <c r="F333" s="502">
        <v>350</v>
      </c>
      <c r="G333" s="502">
        <v>495</v>
      </c>
      <c r="H333" s="501">
        <f t="shared" si="15"/>
        <v>1155</v>
      </c>
      <c r="I333" s="501">
        <v>30</v>
      </c>
      <c r="J333" s="501">
        <f t="shared" si="16"/>
        <v>1185</v>
      </c>
      <c r="K333" s="503">
        <f t="shared" si="17"/>
        <v>19.75</v>
      </c>
      <c r="L333" s="501" t="s">
        <v>1531</v>
      </c>
    </row>
    <row r="334" spans="1:12" x14ac:dyDescent="0.25">
      <c r="A334" s="501" t="s">
        <v>1536</v>
      </c>
      <c r="B334" s="501" t="s">
        <v>1537</v>
      </c>
      <c r="C334" s="502" t="s">
        <v>1409</v>
      </c>
      <c r="D334" s="502">
        <v>300</v>
      </c>
      <c r="E334" s="502">
        <v>320</v>
      </c>
      <c r="F334" s="502">
        <v>365</v>
      </c>
      <c r="G334" s="502">
        <v>510</v>
      </c>
      <c r="H334" s="501">
        <f t="shared" si="15"/>
        <v>1195</v>
      </c>
      <c r="I334" s="501">
        <v>30</v>
      </c>
      <c r="J334" s="501">
        <f t="shared" si="16"/>
        <v>1225</v>
      </c>
      <c r="K334" s="503">
        <f t="shared" si="17"/>
        <v>20.416666666666668</v>
      </c>
      <c r="L334" s="501" t="s">
        <v>1531</v>
      </c>
    </row>
    <row r="335" spans="1:12" x14ac:dyDescent="0.25">
      <c r="A335" s="501" t="s">
        <v>1536</v>
      </c>
      <c r="B335" s="501" t="s">
        <v>1537</v>
      </c>
      <c r="C335" s="502" t="s">
        <v>1409</v>
      </c>
      <c r="D335" s="502">
        <v>600</v>
      </c>
      <c r="E335" s="504">
        <v>340</v>
      </c>
      <c r="F335" s="504">
        <v>395</v>
      </c>
      <c r="G335" s="504">
        <v>540</v>
      </c>
      <c r="H335" s="505">
        <f t="shared" ref="H335:H398" si="18">E335+F335+G335</f>
        <v>1275</v>
      </c>
      <c r="I335" s="505">
        <v>30</v>
      </c>
      <c r="J335" s="505">
        <f t="shared" ref="J335:J398" si="19">H335+I335</f>
        <v>1305</v>
      </c>
      <c r="K335" s="503">
        <f t="shared" ref="K335:K398" si="20">J335/60</f>
        <v>21.75</v>
      </c>
      <c r="L335" s="505" t="s">
        <v>1533</v>
      </c>
    </row>
    <row r="336" spans="1:12" x14ac:dyDescent="0.25">
      <c r="A336" s="501" t="s">
        <v>1536</v>
      </c>
      <c r="B336" s="501" t="s">
        <v>1537</v>
      </c>
      <c r="C336" s="502" t="s">
        <v>1409</v>
      </c>
      <c r="D336" s="502">
        <v>800</v>
      </c>
      <c r="E336" s="504">
        <v>353</v>
      </c>
      <c r="F336" s="504">
        <v>415</v>
      </c>
      <c r="G336" s="504">
        <v>560</v>
      </c>
      <c r="H336" s="505">
        <f t="shared" si="18"/>
        <v>1328</v>
      </c>
      <c r="I336" s="505">
        <v>30</v>
      </c>
      <c r="J336" s="505">
        <f t="shared" si="19"/>
        <v>1358</v>
      </c>
      <c r="K336" s="503">
        <f t="shared" si="20"/>
        <v>22.633333333333333</v>
      </c>
      <c r="L336" s="505" t="s">
        <v>1533</v>
      </c>
    </row>
    <row r="337" spans="1:12" x14ac:dyDescent="0.25">
      <c r="A337" s="501" t="s">
        <v>1536</v>
      </c>
      <c r="B337" s="501" t="s">
        <v>1537</v>
      </c>
      <c r="C337" s="502" t="s">
        <v>1409</v>
      </c>
      <c r="D337" s="502">
        <v>900</v>
      </c>
      <c r="E337" s="504">
        <v>360</v>
      </c>
      <c r="F337" s="504">
        <v>425</v>
      </c>
      <c r="G337" s="504">
        <v>570</v>
      </c>
      <c r="H337" s="505">
        <f t="shared" si="18"/>
        <v>1355</v>
      </c>
      <c r="I337" s="505">
        <v>30</v>
      </c>
      <c r="J337" s="505">
        <f t="shared" si="19"/>
        <v>1385</v>
      </c>
      <c r="K337" s="503">
        <f t="shared" si="20"/>
        <v>23.083333333333332</v>
      </c>
      <c r="L337" s="505" t="s">
        <v>1533</v>
      </c>
    </row>
    <row r="338" spans="1:12" x14ac:dyDescent="0.25">
      <c r="A338" s="501" t="s">
        <v>1536</v>
      </c>
      <c r="B338" s="501" t="s">
        <v>1537</v>
      </c>
      <c r="C338" s="502" t="s">
        <v>1409</v>
      </c>
      <c r="D338" s="502">
        <v>1500</v>
      </c>
      <c r="E338" s="504">
        <v>400</v>
      </c>
      <c r="F338" s="504">
        <v>485</v>
      </c>
      <c r="G338" s="504">
        <v>630</v>
      </c>
      <c r="H338" s="505">
        <f t="shared" si="18"/>
        <v>1515</v>
      </c>
      <c r="I338" s="505">
        <v>30</v>
      </c>
      <c r="J338" s="505">
        <f t="shared" si="19"/>
        <v>1545</v>
      </c>
      <c r="K338" s="503">
        <f t="shared" si="20"/>
        <v>25.75</v>
      </c>
      <c r="L338" s="505" t="s">
        <v>1533</v>
      </c>
    </row>
    <row r="339" spans="1:12" x14ac:dyDescent="0.25">
      <c r="A339" s="501" t="s">
        <v>1538</v>
      </c>
      <c r="B339" s="501" t="s">
        <v>1539</v>
      </c>
      <c r="C339" s="502" t="s">
        <v>1403</v>
      </c>
      <c r="D339" s="502">
        <v>150</v>
      </c>
      <c r="E339" s="502">
        <v>10</v>
      </c>
      <c r="F339" s="502">
        <v>15</v>
      </c>
      <c r="G339" s="502">
        <v>35</v>
      </c>
      <c r="H339" s="501">
        <f t="shared" si="18"/>
        <v>60</v>
      </c>
      <c r="I339" s="501">
        <v>15</v>
      </c>
      <c r="J339" s="501">
        <f t="shared" si="19"/>
        <v>75</v>
      </c>
      <c r="K339" s="503">
        <f t="shared" si="20"/>
        <v>1.25</v>
      </c>
      <c r="L339" s="501" t="s">
        <v>1531</v>
      </c>
    </row>
    <row r="340" spans="1:12" x14ac:dyDescent="0.25">
      <c r="A340" s="501" t="s">
        <v>1538</v>
      </c>
      <c r="B340" s="501" t="s">
        <v>1539</v>
      </c>
      <c r="C340" s="502" t="s">
        <v>1403</v>
      </c>
      <c r="D340" s="502">
        <v>300</v>
      </c>
      <c r="E340" s="502">
        <v>10</v>
      </c>
      <c r="F340" s="502">
        <v>15</v>
      </c>
      <c r="G340" s="502">
        <v>35</v>
      </c>
      <c r="H340" s="501">
        <f t="shared" si="18"/>
        <v>60</v>
      </c>
      <c r="I340" s="501">
        <v>15</v>
      </c>
      <c r="J340" s="501">
        <f t="shared" si="19"/>
        <v>75</v>
      </c>
      <c r="K340" s="503">
        <f t="shared" si="20"/>
        <v>1.25</v>
      </c>
      <c r="L340" s="501" t="s">
        <v>1531</v>
      </c>
    </row>
    <row r="341" spans="1:12" x14ac:dyDescent="0.25">
      <c r="A341" s="501" t="s">
        <v>1538</v>
      </c>
      <c r="B341" s="501" t="s">
        <v>1539</v>
      </c>
      <c r="C341" s="502" t="s">
        <v>1403</v>
      </c>
      <c r="D341" s="502">
        <v>600</v>
      </c>
      <c r="E341" s="504">
        <v>10</v>
      </c>
      <c r="F341" s="504">
        <v>15</v>
      </c>
      <c r="G341" s="504">
        <v>35</v>
      </c>
      <c r="H341" s="505">
        <f t="shared" si="18"/>
        <v>60</v>
      </c>
      <c r="I341" s="505">
        <v>15</v>
      </c>
      <c r="J341" s="505">
        <f t="shared" si="19"/>
        <v>75</v>
      </c>
      <c r="K341" s="503">
        <f t="shared" si="20"/>
        <v>1.25</v>
      </c>
      <c r="L341" s="505" t="s">
        <v>1532</v>
      </c>
    </row>
    <row r="342" spans="1:12" x14ac:dyDescent="0.25">
      <c r="A342" s="501" t="s">
        <v>1538</v>
      </c>
      <c r="B342" s="501" t="s">
        <v>1539</v>
      </c>
      <c r="C342" s="502" t="s">
        <v>1403</v>
      </c>
      <c r="D342" s="502">
        <v>800</v>
      </c>
      <c r="E342" s="502">
        <v>10</v>
      </c>
      <c r="F342" s="502">
        <v>15</v>
      </c>
      <c r="G342" s="502">
        <v>35</v>
      </c>
      <c r="H342" s="501">
        <f t="shared" si="18"/>
        <v>60</v>
      </c>
      <c r="I342" s="501">
        <v>15</v>
      </c>
      <c r="J342" s="501">
        <f t="shared" si="19"/>
        <v>75</v>
      </c>
      <c r="K342" s="503">
        <f t="shared" si="20"/>
        <v>1.25</v>
      </c>
      <c r="L342" s="501" t="s">
        <v>1531</v>
      </c>
    </row>
    <row r="343" spans="1:12" x14ac:dyDescent="0.25">
      <c r="A343" s="501" t="s">
        <v>1538</v>
      </c>
      <c r="B343" s="501" t="s">
        <v>1539</v>
      </c>
      <c r="C343" s="502" t="s">
        <v>1403</v>
      </c>
      <c r="D343" s="502">
        <v>900</v>
      </c>
      <c r="E343" s="504">
        <v>10</v>
      </c>
      <c r="F343" s="504">
        <v>15</v>
      </c>
      <c r="G343" s="504">
        <v>35</v>
      </c>
      <c r="H343" s="505">
        <f t="shared" si="18"/>
        <v>60</v>
      </c>
      <c r="I343" s="505">
        <v>15</v>
      </c>
      <c r="J343" s="505">
        <f t="shared" si="19"/>
        <v>75</v>
      </c>
      <c r="K343" s="503">
        <f t="shared" si="20"/>
        <v>1.25</v>
      </c>
      <c r="L343" s="505" t="s">
        <v>1532</v>
      </c>
    </row>
    <row r="344" spans="1:12" x14ac:dyDescent="0.25">
      <c r="A344" s="501" t="s">
        <v>1538</v>
      </c>
      <c r="B344" s="501" t="s">
        <v>1539</v>
      </c>
      <c r="C344" s="502" t="s">
        <v>1403</v>
      </c>
      <c r="D344" s="502">
        <v>1500</v>
      </c>
      <c r="E344" s="502">
        <v>10</v>
      </c>
      <c r="F344" s="502">
        <v>15</v>
      </c>
      <c r="G344" s="502">
        <v>35</v>
      </c>
      <c r="H344" s="501">
        <f t="shared" si="18"/>
        <v>60</v>
      </c>
      <c r="I344" s="501">
        <v>15</v>
      </c>
      <c r="J344" s="501">
        <f t="shared" si="19"/>
        <v>75</v>
      </c>
      <c r="K344" s="503">
        <f t="shared" si="20"/>
        <v>1.25</v>
      </c>
      <c r="L344" s="501" t="s">
        <v>1531</v>
      </c>
    </row>
    <row r="345" spans="1:12" x14ac:dyDescent="0.25">
      <c r="A345" s="501" t="s">
        <v>1538</v>
      </c>
      <c r="B345" s="501" t="s">
        <v>1539</v>
      </c>
      <c r="C345" s="502" t="s">
        <v>1404</v>
      </c>
      <c r="D345" s="502">
        <v>150</v>
      </c>
      <c r="E345" s="502">
        <v>10</v>
      </c>
      <c r="F345" s="502">
        <v>15</v>
      </c>
      <c r="G345" s="502">
        <v>35</v>
      </c>
      <c r="H345" s="501">
        <f t="shared" si="18"/>
        <v>60</v>
      </c>
      <c r="I345" s="501">
        <v>15</v>
      </c>
      <c r="J345" s="501">
        <f t="shared" si="19"/>
        <v>75</v>
      </c>
      <c r="K345" s="503">
        <f t="shared" si="20"/>
        <v>1.25</v>
      </c>
      <c r="L345" s="501" t="s">
        <v>1531</v>
      </c>
    </row>
    <row r="346" spans="1:12" x14ac:dyDescent="0.25">
      <c r="A346" s="501" t="s">
        <v>1538</v>
      </c>
      <c r="B346" s="501" t="s">
        <v>1539</v>
      </c>
      <c r="C346" s="502" t="s">
        <v>1404</v>
      </c>
      <c r="D346" s="502">
        <v>300</v>
      </c>
      <c r="E346" s="502">
        <v>10</v>
      </c>
      <c r="F346" s="502">
        <v>15</v>
      </c>
      <c r="G346" s="502">
        <v>35</v>
      </c>
      <c r="H346" s="501">
        <f t="shared" si="18"/>
        <v>60</v>
      </c>
      <c r="I346" s="501">
        <v>15</v>
      </c>
      <c r="J346" s="501">
        <f t="shared" si="19"/>
        <v>75</v>
      </c>
      <c r="K346" s="503">
        <f t="shared" si="20"/>
        <v>1.25</v>
      </c>
      <c r="L346" s="501" t="s">
        <v>1531</v>
      </c>
    </row>
    <row r="347" spans="1:12" x14ac:dyDescent="0.25">
      <c r="A347" s="501" t="s">
        <v>1538</v>
      </c>
      <c r="B347" s="501" t="s">
        <v>1539</v>
      </c>
      <c r="C347" s="502" t="s">
        <v>1404</v>
      </c>
      <c r="D347" s="502">
        <v>600</v>
      </c>
      <c r="E347" s="504">
        <v>13</v>
      </c>
      <c r="F347" s="504">
        <v>15</v>
      </c>
      <c r="G347" s="504">
        <v>35</v>
      </c>
      <c r="H347" s="505">
        <f t="shared" si="18"/>
        <v>63</v>
      </c>
      <c r="I347" s="505">
        <v>15</v>
      </c>
      <c r="J347" s="505">
        <f t="shared" si="19"/>
        <v>78</v>
      </c>
      <c r="K347" s="503">
        <f t="shared" si="20"/>
        <v>1.3</v>
      </c>
      <c r="L347" s="505" t="s">
        <v>1532</v>
      </c>
    </row>
    <row r="348" spans="1:12" x14ac:dyDescent="0.25">
      <c r="A348" s="501" t="s">
        <v>1538</v>
      </c>
      <c r="B348" s="501" t="s">
        <v>1539</v>
      </c>
      <c r="C348" s="502" t="s">
        <v>1404</v>
      </c>
      <c r="D348" s="502">
        <v>800</v>
      </c>
      <c r="E348" s="502">
        <v>15</v>
      </c>
      <c r="F348" s="502">
        <v>15</v>
      </c>
      <c r="G348" s="502">
        <v>35</v>
      </c>
      <c r="H348" s="501">
        <f t="shared" si="18"/>
        <v>65</v>
      </c>
      <c r="I348" s="501">
        <v>15</v>
      </c>
      <c r="J348" s="501">
        <f t="shared" si="19"/>
        <v>80</v>
      </c>
      <c r="K348" s="503">
        <f t="shared" si="20"/>
        <v>1.3333333333333333</v>
      </c>
      <c r="L348" s="501" t="s">
        <v>1531</v>
      </c>
    </row>
    <row r="349" spans="1:12" x14ac:dyDescent="0.25">
      <c r="A349" s="501" t="s">
        <v>1538</v>
      </c>
      <c r="B349" s="501" t="s">
        <v>1539</v>
      </c>
      <c r="C349" s="502" t="s">
        <v>1404</v>
      </c>
      <c r="D349" s="502">
        <v>900</v>
      </c>
      <c r="E349" s="504">
        <v>15</v>
      </c>
      <c r="F349" s="504">
        <v>15</v>
      </c>
      <c r="G349" s="504">
        <v>35</v>
      </c>
      <c r="H349" s="505">
        <f t="shared" si="18"/>
        <v>65</v>
      </c>
      <c r="I349" s="505">
        <v>15</v>
      </c>
      <c r="J349" s="505">
        <f t="shared" si="19"/>
        <v>80</v>
      </c>
      <c r="K349" s="503">
        <f t="shared" si="20"/>
        <v>1.3333333333333333</v>
      </c>
      <c r="L349" s="505" t="s">
        <v>1532</v>
      </c>
    </row>
    <row r="350" spans="1:12" x14ac:dyDescent="0.25">
      <c r="A350" s="501" t="s">
        <v>1538</v>
      </c>
      <c r="B350" s="501" t="s">
        <v>1539</v>
      </c>
      <c r="C350" s="502" t="s">
        <v>1404</v>
      </c>
      <c r="D350" s="502">
        <v>1500</v>
      </c>
      <c r="E350" s="502">
        <v>15</v>
      </c>
      <c r="F350" s="502">
        <v>15</v>
      </c>
      <c r="G350" s="502">
        <v>35</v>
      </c>
      <c r="H350" s="501">
        <f t="shared" si="18"/>
        <v>65</v>
      </c>
      <c r="I350" s="501">
        <v>15</v>
      </c>
      <c r="J350" s="501">
        <f t="shared" si="19"/>
        <v>80</v>
      </c>
      <c r="K350" s="503">
        <f t="shared" si="20"/>
        <v>1.3333333333333333</v>
      </c>
      <c r="L350" s="501" t="s">
        <v>1531</v>
      </c>
    </row>
    <row r="351" spans="1:12" x14ac:dyDescent="0.25">
      <c r="A351" s="501" t="s">
        <v>1538</v>
      </c>
      <c r="B351" s="501" t="s">
        <v>1539</v>
      </c>
      <c r="C351" s="502" t="s">
        <v>86</v>
      </c>
      <c r="D351" s="502">
        <v>150</v>
      </c>
      <c r="E351" s="502">
        <v>15</v>
      </c>
      <c r="F351" s="502">
        <v>25</v>
      </c>
      <c r="G351" s="502">
        <v>50</v>
      </c>
      <c r="H351" s="501">
        <f t="shared" si="18"/>
        <v>90</v>
      </c>
      <c r="I351" s="501">
        <v>15</v>
      </c>
      <c r="J351" s="501">
        <f t="shared" si="19"/>
        <v>105</v>
      </c>
      <c r="K351" s="503">
        <f t="shared" si="20"/>
        <v>1.75</v>
      </c>
      <c r="L351" s="501" t="s">
        <v>1531</v>
      </c>
    </row>
    <row r="352" spans="1:12" x14ac:dyDescent="0.25">
      <c r="A352" s="501" t="s">
        <v>1538</v>
      </c>
      <c r="B352" s="501" t="s">
        <v>1539</v>
      </c>
      <c r="C352" s="502" t="s">
        <v>86</v>
      </c>
      <c r="D352" s="502">
        <v>300</v>
      </c>
      <c r="E352" s="502">
        <v>15</v>
      </c>
      <c r="F352" s="502">
        <v>25</v>
      </c>
      <c r="G352" s="502">
        <v>50</v>
      </c>
      <c r="H352" s="501">
        <f t="shared" si="18"/>
        <v>90</v>
      </c>
      <c r="I352" s="501">
        <v>15</v>
      </c>
      <c r="J352" s="501">
        <f t="shared" si="19"/>
        <v>105</v>
      </c>
      <c r="K352" s="503">
        <f t="shared" si="20"/>
        <v>1.75</v>
      </c>
      <c r="L352" s="501" t="s">
        <v>1531</v>
      </c>
    </row>
    <row r="353" spans="1:12" x14ac:dyDescent="0.25">
      <c r="A353" s="501" t="s">
        <v>1538</v>
      </c>
      <c r="B353" s="501" t="s">
        <v>1539</v>
      </c>
      <c r="C353" s="502" t="s">
        <v>86</v>
      </c>
      <c r="D353" s="502">
        <v>600</v>
      </c>
      <c r="E353" s="504">
        <v>15</v>
      </c>
      <c r="F353" s="504">
        <v>25</v>
      </c>
      <c r="G353" s="504">
        <v>50</v>
      </c>
      <c r="H353" s="505">
        <f t="shared" si="18"/>
        <v>90</v>
      </c>
      <c r="I353" s="505">
        <v>15</v>
      </c>
      <c r="J353" s="505">
        <f t="shared" si="19"/>
        <v>105</v>
      </c>
      <c r="K353" s="503">
        <f t="shared" si="20"/>
        <v>1.75</v>
      </c>
      <c r="L353" s="505" t="s">
        <v>1532</v>
      </c>
    </row>
    <row r="354" spans="1:12" x14ac:dyDescent="0.25">
      <c r="A354" s="501" t="s">
        <v>1538</v>
      </c>
      <c r="B354" s="501" t="s">
        <v>1539</v>
      </c>
      <c r="C354" s="502" t="s">
        <v>86</v>
      </c>
      <c r="D354" s="502">
        <v>800</v>
      </c>
      <c r="E354" s="502">
        <v>15</v>
      </c>
      <c r="F354" s="502">
        <v>25</v>
      </c>
      <c r="G354" s="502">
        <v>50</v>
      </c>
      <c r="H354" s="501">
        <f t="shared" si="18"/>
        <v>90</v>
      </c>
      <c r="I354" s="501">
        <v>15</v>
      </c>
      <c r="J354" s="501">
        <f t="shared" si="19"/>
        <v>105</v>
      </c>
      <c r="K354" s="503">
        <f t="shared" si="20"/>
        <v>1.75</v>
      </c>
      <c r="L354" s="501" t="s">
        <v>1531</v>
      </c>
    </row>
    <row r="355" spans="1:12" x14ac:dyDescent="0.25">
      <c r="A355" s="501" t="s">
        <v>1538</v>
      </c>
      <c r="B355" s="501" t="s">
        <v>1539</v>
      </c>
      <c r="C355" s="502" t="s">
        <v>86</v>
      </c>
      <c r="D355" s="502">
        <v>900</v>
      </c>
      <c r="E355" s="504">
        <v>15</v>
      </c>
      <c r="F355" s="504">
        <v>25</v>
      </c>
      <c r="G355" s="504">
        <v>50</v>
      </c>
      <c r="H355" s="505">
        <f t="shared" si="18"/>
        <v>90</v>
      </c>
      <c r="I355" s="505">
        <v>15</v>
      </c>
      <c r="J355" s="505">
        <f t="shared" si="19"/>
        <v>105</v>
      </c>
      <c r="K355" s="503">
        <f t="shared" si="20"/>
        <v>1.75</v>
      </c>
      <c r="L355" s="505" t="s">
        <v>1532</v>
      </c>
    </row>
    <row r="356" spans="1:12" x14ac:dyDescent="0.25">
      <c r="A356" s="501" t="s">
        <v>1538</v>
      </c>
      <c r="B356" s="501" t="s">
        <v>1539</v>
      </c>
      <c r="C356" s="502" t="s">
        <v>86</v>
      </c>
      <c r="D356" s="502">
        <v>1500</v>
      </c>
      <c r="E356" s="502">
        <v>15</v>
      </c>
      <c r="F356" s="502">
        <v>25</v>
      </c>
      <c r="G356" s="502">
        <v>50</v>
      </c>
      <c r="H356" s="501">
        <f t="shared" si="18"/>
        <v>90</v>
      </c>
      <c r="I356" s="501">
        <v>15</v>
      </c>
      <c r="J356" s="501">
        <f t="shared" si="19"/>
        <v>105</v>
      </c>
      <c r="K356" s="503">
        <f t="shared" si="20"/>
        <v>1.75</v>
      </c>
      <c r="L356" s="501" t="s">
        <v>1531</v>
      </c>
    </row>
    <row r="357" spans="1:12" x14ac:dyDescent="0.25">
      <c r="A357" s="501" t="s">
        <v>1538</v>
      </c>
      <c r="B357" s="501" t="s">
        <v>1539</v>
      </c>
      <c r="C357" s="502" t="s">
        <v>85</v>
      </c>
      <c r="D357" s="502">
        <v>150</v>
      </c>
      <c r="E357" s="502">
        <v>20</v>
      </c>
      <c r="F357" s="502">
        <v>25</v>
      </c>
      <c r="G357" s="502">
        <v>50</v>
      </c>
      <c r="H357" s="501">
        <f t="shared" si="18"/>
        <v>95</v>
      </c>
      <c r="I357" s="501">
        <v>20</v>
      </c>
      <c r="J357" s="501">
        <f t="shared" si="19"/>
        <v>115</v>
      </c>
      <c r="K357" s="503">
        <f t="shared" si="20"/>
        <v>1.9166666666666667</v>
      </c>
      <c r="L357" s="501" t="s">
        <v>1531</v>
      </c>
    </row>
    <row r="358" spans="1:12" x14ac:dyDescent="0.25">
      <c r="A358" s="501" t="s">
        <v>1538</v>
      </c>
      <c r="B358" s="501" t="s">
        <v>1539</v>
      </c>
      <c r="C358" s="502" t="s">
        <v>1405</v>
      </c>
      <c r="D358" s="502">
        <v>150</v>
      </c>
      <c r="E358" s="502">
        <v>15</v>
      </c>
      <c r="F358" s="502">
        <v>25</v>
      </c>
      <c r="G358" s="502">
        <v>50</v>
      </c>
      <c r="H358" s="501">
        <f t="shared" si="18"/>
        <v>90</v>
      </c>
      <c r="I358" s="501">
        <v>20</v>
      </c>
      <c r="J358" s="501">
        <f t="shared" si="19"/>
        <v>110</v>
      </c>
      <c r="K358" s="503">
        <f t="shared" si="20"/>
        <v>1.8333333333333333</v>
      </c>
      <c r="L358" s="501" t="s">
        <v>1531</v>
      </c>
    </row>
    <row r="359" spans="1:12" x14ac:dyDescent="0.25">
      <c r="A359" s="501" t="s">
        <v>1538</v>
      </c>
      <c r="B359" s="501" t="s">
        <v>1539</v>
      </c>
      <c r="C359" s="502" t="s">
        <v>85</v>
      </c>
      <c r="D359" s="502">
        <v>300</v>
      </c>
      <c r="E359" s="504">
        <v>20</v>
      </c>
      <c r="F359" s="504">
        <v>25</v>
      </c>
      <c r="G359" s="504">
        <v>50</v>
      </c>
      <c r="H359" s="505">
        <f t="shared" si="18"/>
        <v>95</v>
      </c>
      <c r="I359" s="505">
        <v>20</v>
      </c>
      <c r="J359" s="505">
        <f t="shared" si="19"/>
        <v>115</v>
      </c>
      <c r="K359" s="503">
        <f t="shared" si="20"/>
        <v>1.9166666666666667</v>
      </c>
      <c r="L359" s="505" t="s">
        <v>1540</v>
      </c>
    </row>
    <row r="360" spans="1:12" x14ac:dyDescent="0.25">
      <c r="A360" s="501" t="s">
        <v>1538</v>
      </c>
      <c r="B360" s="501" t="s">
        <v>1539</v>
      </c>
      <c r="C360" s="502" t="s">
        <v>1405</v>
      </c>
      <c r="D360" s="502">
        <v>300</v>
      </c>
      <c r="E360" s="502">
        <v>15</v>
      </c>
      <c r="F360" s="502">
        <v>25</v>
      </c>
      <c r="G360" s="502">
        <v>50</v>
      </c>
      <c r="H360" s="501">
        <f t="shared" si="18"/>
        <v>90</v>
      </c>
      <c r="I360" s="501">
        <v>20</v>
      </c>
      <c r="J360" s="501">
        <f t="shared" si="19"/>
        <v>110</v>
      </c>
      <c r="K360" s="503">
        <f t="shared" si="20"/>
        <v>1.8333333333333333</v>
      </c>
      <c r="L360" s="501" t="s">
        <v>1531</v>
      </c>
    </row>
    <row r="361" spans="1:12" x14ac:dyDescent="0.25">
      <c r="A361" s="501" t="s">
        <v>1538</v>
      </c>
      <c r="B361" s="501" t="s">
        <v>1539</v>
      </c>
      <c r="C361" s="502" t="s">
        <v>85</v>
      </c>
      <c r="D361" s="502">
        <v>600</v>
      </c>
      <c r="E361" s="504">
        <v>20</v>
      </c>
      <c r="F361" s="504">
        <v>25</v>
      </c>
      <c r="G361" s="504">
        <v>50</v>
      </c>
      <c r="H361" s="505">
        <f t="shared" si="18"/>
        <v>95</v>
      </c>
      <c r="I361" s="505">
        <v>20</v>
      </c>
      <c r="J361" s="505">
        <f t="shared" si="19"/>
        <v>115</v>
      </c>
      <c r="K361" s="503">
        <f t="shared" si="20"/>
        <v>1.9166666666666667</v>
      </c>
      <c r="L361" s="505" t="s">
        <v>1540</v>
      </c>
    </row>
    <row r="362" spans="1:12" x14ac:dyDescent="0.25">
      <c r="A362" s="501" t="s">
        <v>1538</v>
      </c>
      <c r="B362" s="501" t="s">
        <v>1539</v>
      </c>
      <c r="C362" s="502" t="s">
        <v>1405</v>
      </c>
      <c r="D362" s="502">
        <v>600</v>
      </c>
      <c r="E362" s="504">
        <v>15</v>
      </c>
      <c r="F362" s="504">
        <v>25</v>
      </c>
      <c r="G362" s="504">
        <v>50</v>
      </c>
      <c r="H362" s="505">
        <f t="shared" si="18"/>
        <v>90</v>
      </c>
      <c r="I362" s="505">
        <v>20</v>
      </c>
      <c r="J362" s="505">
        <f t="shared" si="19"/>
        <v>110</v>
      </c>
      <c r="K362" s="503">
        <f t="shared" si="20"/>
        <v>1.8333333333333333</v>
      </c>
      <c r="L362" s="505" t="s">
        <v>1532</v>
      </c>
    </row>
    <row r="363" spans="1:12" x14ac:dyDescent="0.25">
      <c r="A363" s="501" t="s">
        <v>1538</v>
      </c>
      <c r="B363" s="501" t="s">
        <v>1539</v>
      </c>
      <c r="C363" s="502" t="s">
        <v>85</v>
      </c>
      <c r="D363" s="502">
        <v>800</v>
      </c>
      <c r="E363" s="504">
        <v>20</v>
      </c>
      <c r="F363" s="504">
        <v>25</v>
      </c>
      <c r="G363" s="504">
        <v>50</v>
      </c>
      <c r="H363" s="505">
        <f t="shared" si="18"/>
        <v>95</v>
      </c>
      <c r="I363" s="505">
        <v>20</v>
      </c>
      <c r="J363" s="505">
        <f t="shared" si="19"/>
        <v>115</v>
      </c>
      <c r="K363" s="503">
        <f t="shared" si="20"/>
        <v>1.9166666666666667</v>
      </c>
      <c r="L363" s="505" t="s">
        <v>1540</v>
      </c>
    </row>
    <row r="364" spans="1:12" x14ac:dyDescent="0.25">
      <c r="A364" s="501" t="s">
        <v>1538</v>
      </c>
      <c r="B364" s="501" t="s">
        <v>1539</v>
      </c>
      <c r="C364" s="502" t="s">
        <v>1405</v>
      </c>
      <c r="D364" s="502">
        <v>800</v>
      </c>
      <c r="E364" s="502">
        <v>15</v>
      </c>
      <c r="F364" s="502">
        <v>25</v>
      </c>
      <c r="G364" s="502">
        <v>50</v>
      </c>
      <c r="H364" s="501">
        <f t="shared" si="18"/>
        <v>90</v>
      </c>
      <c r="I364" s="501">
        <v>20</v>
      </c>
      <c r="J364" s="501">
        <f t="shared" si="19"/>
        <v>110</v>
      </c>
      <c r="K364" s="503">
        <f t="shared" si="20"/>
        <v>1.8333333333333333</v>
      </c>
      <c r="L364" s="501" t="s">
        <v>1531</v>
      </c>
    </row>
    <row r="365" spans="1:12" x14ac:dyDescent="0.25">
      <c r="A365" s="501" t="s">
        <v>1538</v>
      </c>
      <c r="B365" s="501" t="s">
        <v>1539</v>
      </c>
      <c r="C365" s="502" t="s">
        <v>85</v>
      </c>
      <c r="D365" s="502">
        <v>900</v>
      </c>
      <c r="E365" s="504">
        <v>20</v>
      </c>
      <c r="F365" s="504">
        <v>25</v>
      </c>
      <c r="G365" s="504">
        <v>50</v>
      </c>
      <c r="H365" s="505">
        <f t="shared" si="18"/>
        <v>95</v>
      </c>
      <c r="I365" s="505">
        <v>20</v>
      </c>
      <c r="J365" s="505">
        <f t="shared" si="19"/>
        <v>115</v>
      </c>
      <c r="K365" s="503">
        <f t="shared" si="20"/>
        <v>1.9166666666666667</v>
      </c>
      <c r="L365" s="505" t="s">
        <v>1540</v>
      </c>
    </row>
    <row r="366" spans="1:12" x14ac:dyDescent="0.25">
      <c r="A366" s="501" t="s">
        <v>1538</v>
      </c>
      <c r="B366" s="501" t="s">
        <v>1539</v>
      </c>
      <c r="C366" s="502" t="s">
        <v>1405</v>
      </c>
      <c r="D366" s="502">
        <v>900</v>
      </c>
      <c r="E366" s="504">
        <v>15</v>
      </c>
      <c r="F366" s="504">
        <v>25</v>
      </c>
      <c r="G366" s="504">
        <v>50</v>
      </c>
      <c r="H366" s="505">
        <f t="shared" si="18"/>
        <v>90</v>
      </c>
      <c r="I366" s="505">
        <v>20</v>
      </c>
      <c r="J366" s="505">
        <f t="shared" si="19"/>
        <v>110</v>
      </c>
      <c r="K366" s="503">
        <f t="shared" si="20"/>
        <v>1.8333333333333333</v>
      </c>
      <c r="L366" s="505" t="s">
        <v>1532</v>
      </c>
    </row>
    <row r="367" spans="1:12" x14ac:dyDescent="0.25">
      <c r="A367" s="501" t="s">
        <v>1538</v>
      </c>
      <c r="B367" s="501" t="s">
        <v>1539</v>
      </c>
      <c r="C367" s="502" t="s">
        <v>85</v>
      </c>
      <c r="D367" s="502">
        <v>1500</v>
      </c>
      <c r="E367" s="504">
        <v>20</v>
      </c>
      <c r="F367" s="504">
        <v>25</v>
      </c>
      <c r="G367" s="504">
        <v>50</v>
      </c>
      <c r="H367" s="505">
        <f t="shared" si="18"/>
        <v>95</v>
      </c>
      <c r="I367" s="505">
        <v>20</v>
      </c>
      <c r="J367" s="505">
        <f t="shared" si="19"/>
        <v>115</v>
      </c>
      <c r="K367" s="503">
        <f t="shared" si="20"/>
        <v>1.9166666666666667</v>
      </c>
      <c r="L367" s="505" t="s">
        <v>1540</v>
      </c>
    </row>
    <row r="368" spans="1:12" x14ac:dyDescent="0.25">
      <c r="A368" s="501" t="s">
        <v>1538</v>
      </c>
      <c r="B368" s="501" t="s">
        <v>1539</v>
      </c>
      <c r="C368" s="502" t="s">
        <v>1405</v>
      </c>
      <c r="D368" s="502">
        <v>1500</v>
      </c>
      <c r="E368" s="502">
        <v>15</v>
      </c>
      <c r="F368" s="502">
        <v>25</v>
      </c>
      <c r="G368" s="502">
        <v>50</v>
      </c>
      <c r="H368" s="501">
        <f t="shared" si="18"/>
        <v>90</v>
      </c>
      <c r="I368" s="501">
        <v>20</v>
      </c>
      <c r="J368" s="501">
        <f t="shared" si="19"/>
        <v>110</v>
      </c>
      <c r="K368" s="503">
        <f t="shared" si="20"/>
        <v>1.8333333333333333</v>
      </c>
      <c r="L368" s="501" t="s">
        <v>1531</v>
      </c>
    </row>
    <row r="369" spans="1:12" x14ac:dyDescent="0.25">
      <c r="A369" s="501" t="s">
        <v>1538</v>
      </c>
      <c r="B369" s="501" t="s">
        <v>1539</v>
      </c>
      <c r="C369" s="502" t="s">
        <v>84</v>
      </c>
      <c r="D369" s="502">
        <v>150</v>
      </c>
      <c r="E369" s="502">
        <v>25</v>
      </c>
      <c r="F369" s="502">
        <v>30</v>
      </c>
      <c r="G369" s="502">
        <v>50</v>
      </c>
      <c r="H369" s="501">
        <f t="shared" si="18"/>
        <v>105</v>
      </c>
      <c r="I369" s="501">
        <v>20</v>
      </c>
      <c r="J369" s="501">
        <f t="shared" si="19"/>
        <v>125</v>
      </c>
      <c r="K369" s="503">
        <f t="shared" si="20"/>
        <v>2.0833333333333335</v>
      </c>
      <c r="L369" s="501" t="s">
        <v>1531</v>
      </c>
    </row>
    <row r="370" spans="1:12" x14ac:dyDescent="0.25">
      <c r="A370" s="501" t="s">
        <v>1538</v>
      </c>
      <c r="B370" s="501" t="s">
        <v>1539</v>
      </c>
      <c r="C370" s="502" t="s">
        <v>84</v>
      </c>
      <c r="D370" s="502">
        <v>300</v>
      </c>
      <c r="E370" s="502">
        <v>20</v>
      </c>
      <c r="F370" s="502">
        <v>30</v>
      </c>
      <c r="G370" s="502">
        <v>50</v>
      </c>
      <c r="H370" s="501">
        <f t="shared" si="18"/>
        <v>100</v>
      </c>
      <c r="I370" s="501">
        <v>20</v>
      </c>
      <c r="J370" s="501">
        <f t="shared" si="19"/>
        <v>120</v>
      </c>
      <c r="K370" s="503">
        <f t="shared" si="20"/>
        <v>2</v>
      </c>
      <c r="L370" s="501" t="s">
        <v>1531</v>
      </c>
    </row>
    <row r="371" spans="1:12" x14ac:dyDescent="0.25">
      <c r="A371" s="501" t="s">
        <v>1538</v>
      </c>
      <c r="B371" s="501" t="s">
        <v>1539</v>
      </c>
      <c r="C371" s="502" t="s">
        <v>84</v>
      </c>
      <c r="D371" s="502">
        <v>600</v>
      </c>
      <c r="E371" s="504">
        <v>10</v>
      </c>
      <c r="F371" s="504">
        <v>30</v>
      </c>
      <c r="G371" s="504">
        <v>50</v>
      </c>
      <c r="H371" s="505">
        <f t="shared" si="18"/>
        <v>90</v>
      </c>
      <c r="I371" s="505">
        <v>20</v>
      </c>
      <c r="J371" s="505">
        <f t="shared" si="19"/>
        <v>110</v>
      </c>
      <c r="K371" s="503">
        <f t="shared" si="20"/>
        <v>1.8333333333333333</v>
      </c>
      <c r="L371" s="505" t="s">
        <v>1533</v>
      </c>
    </row>
    <row r="372" spans="1:12" x14ac:dyDescent="0.25">
      <c r="A372" s="501" t="s">
        <v>1538</v>
      </c>
      <c r="B372" s="501" t="s">
        <v>1539</v>
      </c>
      <c r="C372" s="502" t="s">
        <v>84</v>
      </c>
      <c r="D372" s="502">
        <v>800</v>
      </c>
      <c r="E372" s="504">
        <v>3</v>
      </c>
      <c r="F372" s="504">
        <v>30</v>
      </c>
      <c r="G372" s="504">
        <v>50</v>
      </c>
      <c r="H372" s="505">
        <f t="shared" si="18"/>
        <v>83</v>
      </c>
      <c r="I372" s="505">
        <v>20</v>
      </c>
      <c r="J372" s="505">
        <f t="shared" si="19"/>
        <v>103</v>
      </c>
      <c r="K372" s="503">
        <f t="shared" si="20"/>
        <v>1.7166666666666666</v>
      </c>
      <c r="L372" s="505" t="s">
        <v>1533</v>
      </c>
    </row>
    <row r="373" spans="1:12" x14ac:dyDescent="0.25">
      <c r="A373" s="501" t="s">
        <v>1538</v>
      </c>
      <c r="B373" s="501" t="s">
        <v>1539</v>
      </c>
      <c r="C373" s="502" t="s">
        <v>84</v>
      </c>
      <c r="D373" s="502">
        <v>900</v>
      </c>
      <c r="E373" s="504">
        <v>0</v>
      </c>
      <c r="F373" s="504">
        <v>30</v>
      </c>
      <c r="G373" s="504">
        <v>50</v>
      </c>
      <c r="H373" s="505">
        <f t="shared" si="18"/>
        <v>80</v>
      </c>
      <c r="I373" s="505">
        <v>20</v>
      </c>
      <c r="J373" s="505">
        <f t="shared" si="19"/>
        <v>100</v>
      </c>
      <c r="K373" s="503">
        <f t="shared" si="20"/>
        <v>1.6666666666666667</v>
      </c>
      <c r="L373" s="505" t="s">
        <v>1533</v>
      </c>
    </row>
    <row r="374" spans="1:12" x14ac:dyDescent="0.25">
      <c r="A374" s="501" t="s">
        <v>1538</v>
      </c>
      <c r="B374" s="501" t="s">
        <v>1539</v>
      </c>
      <c r="C374" s="502" t="s">
        <v>84</v>
      </c>
      <c r="D374" s="502">
        <v>1500</v>
      </c>
      <c r="E374" s="504">
        <v>0</v>
      </c>
      <c r="F374" s="504">
        <v>30</v>
      </c>
      <c r="G374" s="504">
        <v>50</v>
      </c>
      <c r="H374" s="505">
        <f t="shared" si="18"/>
        <v>80</v>
      </c>
      <c r="I374" s="505">
        <v>20</v>
      </c>
      <c r="J374" s="505">
        <f t="shared" si="19"/>
        <v>100</v>
      </c>
      <c r="K374" s="503">
        <f t="shared" si="20"/>
        <v>1.6666666666666667</v>
      </c>
      <c r="L374" s="505" t="s">
        <v>1533</v>
      </c>
    </row>
    <row r="375" spans="1:12" x14ac:dyDescent="0.25">
      <c r="A375" s="501" t="s">
        <v>1538</v>
      </c>
      <c r="B375" s="501" t="s">
        <v>1539</v>
      </c>
      <c r="C375" s="502" t="s">
        <v>82</v>
      </c>
      <c r="D375" s="502">
        <v>150</v>
      </c>
      <c r="E375" s="502">
        <v>30</v>
      </c>
      <c r="F375" s="502">
        <v>40</v>
      </c>
      <c r="G375" s="502">
        <v>80</v>
      </c>
      <c r="H375" s="501">
        <f t="shared" si="18"/>
        <v>150</v>
      </c>
      <c r="I375" s="501">
        <v>20</v>
      </c>
      <c r="J375" s="501">
        <f t="shared" si="19"/>
        <v>170</v>
      </c>
      <c r="K375" s="503">
        <f t="shared" si="20"/>
        <v>2.8333333333333335</v>
      </c>
      <c r="L375" s="501" t="s">
        <v>1531</v>
      </c>
    </row>
    <row r="376" spans="1:12" x14ac:dyDescent="0.25">
      <c r="A376" s="501" t="s">
        <v>1538</v>
      </c>
      <c r="B376" s="501" t="s">
        <v>1539</v>
      </c>
      <c r="C376" s="502" t="s">
        <v>82</v>
      </c>
      <c r="D376" s="502">
        <v>300</v>
      </c>
      <c r="E376" s="502">
        <v>25</v>
      </c>
      <c r="F376" s="502">
        <v>40</v>
      </c>
      <c r="G376" s="502">
        <v>80</v>
      </c>
      <c r="H376" s="501">
        <f t="shared" si="18"/>
        <v>145</v>
      </c>
      <c r="I376" s="501">
        <v>20</v>
      </c>
      <c r="J376" s="501">
        <f t="shared" si="19"/>
        <v>165</v>
      </c>
      <c r="K376" s="503">
        <f t="shared" si="20"/>
        <v>2.75</v>
      </c>
      <c r="L376" s="501" t="s">
        <v>1531</v>
      </c>
    </row>
    <row r="377" spans="1:12" x14ac:dyDescent="0.25">
      <c r="A377" s="501" t="s">
        <v>1538</v>
      </c>
      <c r="B377" s="501" t="s">
        <v>1539</v>
      </c>
      <c r="C377" s="502" t="s">
        <v>82</v>
      </c>
      <c r="D377" s="502">
        <v>600</v>
      </c>
      <c r="E377" s="504">
        <v>15</v>
      </c>
      <c r="F377" s="504">
        <v>40</v>
      </c>
      <c r="G377" s="504">
        <v>80</v>
      </c>
      <c r="H377" s="505">
        <f t="shared" si="18"/>
        <v>135</v>
      </c>
      <c r="I377" s="505">
        <v>20</v>
      </c>
      <c r="J377" s="505">
        <f t="shared" si="19"/>
        <v>155</v>
      </c>
      <c r="K377" s="503">
        <f t="shared" si="20"/>
        <v>2.5833333333333335</v>
      </c>
      <c r="L377" s="505" t="s">
        <v>1533</v>
      </c>
    </row>
    <row r="378" spans="1:12" x14ac:dyDescent="0.25">
      <c r="A378" s="501" t="s">
        <v>1538</v>
      </c>
      <c r="B378" s="501" t="s">
        <v>1539</v>
      </c>
      <c r="C378" s="502" t="s">
        <v>82</v>
      </c>
      <c r="D378" s="502">
        <v>800</v>
      </c>
      <c r="E378" s="504">
        <v>8</v>
      </c>
      <c r="F378" s="504">
        <v>40</v>
      </c>
      <c r="G378" s="504">
        <v>80</v>
      </c>
      <c r="H378" s="505">
        <f t="shared" si="18"/>
        <v>128</v>
      </c>
      <c r="I378" s="505">
        <v>20</v>
      </c>
      <c r="J378" s="505">
        <f t="shared" si="19"/>
        <v>148</v>
      </c>
      <c r="K378" s="503">
        <f t="shared" si="20"/>
        <v>2.4666666666666668</v>
      </c>
      <c r="L378" s="505" t="s">
        <v>1533</v>
      </c>
    </row>
    <row r="379" spans="1:12" x14ac:dyDescent="0.25">
      <c r="A379" s="501" t="s">
        <v>1538</v>
      </c>
      <c r="B379" s="501" t="s">
        <v>1539</v>
      </c>
      <c r="C379" s="502" t="s">
        <v>82</v>
      </c>
      <c r="D379" s="502">
        <v>900</v>
      </c>
      <c r="E379" s="504">
        <v>5</v>
      </c>
      <c r="F379" s="504">
        <v>40</v>
      </c>
      <c r="G379" s="504">
        <v>80</v>
      </c>
      <c r="H379" s="505">
        <f t="shared" si="18"/>
        <v>125</v>
      </c>
      <c r="I379" s="505">
        <v>20</v>
      </c>
      <c r="J379" s="505">
        <f t="shared" si="19"/>
        <v>145</v>
      </c>
      <c r="K379" s="503">
        <f t="shared" si="20"/>
        <v>2.4166666666666665</v>
      </c>
      <c r="L379" s="505" t="s">
        <v>1533</v>
      </c>
    </row>
    <row r="380" spans="1:12" x14ac:dyDescent="0.25">
      <c r="A380" s="501" t="s">
        <v>1538</v>
      </c>
      <c r="B380" s="501" t="s">
        <v>1539</v>
      </c>
      <c r="C380" s="502" t="s">
        <v>82</v>
      </c>
      <c r="D380" s="502">
        <v>1500</v>
      </c>
      <c r="E380" s="504">
        <v>0</v>
      </c>
      <c r="F380" s="504">
        <v>40</v>
      </c>
      <c r="G380" s="504">
        <v>80</v>
      </c>
      <c r="H380" s="505">
        <f t="shared" si="18"/>
        <v>120</v>
      </c>
      <c r="I380" s="505">
        <v>20</v>
      </c>
      <c r="J380" s="505">
        <f t="shared" si="19"/>
        <v>140</v>
      </c>
      <c r="K380" s="503">
        <f t="shared" si="20"/>
        <v>2.3333333333333335</v>
      </c>
      <c r="L380" s="505" t="s">
        <v>1533</v>
      </c>
    </row>
    <row r="381" spans="1:12" x14ac:dyDescent="0.25">
      <c r="A381" s="501" t="s">
        <v>1538</v>
      </c>
      <c r="B381" s="501" t="s">
        <v>1539</v>
      </c>
      <c r="C381" s="502" t="s">
        <v>120</v>
      </c>
      <c r="D381" s="502">
        <v>150</v>
      </c>
      <c r="E381" s="502">
        <v>40</v>
      </c>
      <c r="F381" s="502">
        <v>45</v>
      </c>
      <c r="G381" s="502">
        <v>100</v>
      </c>
      <c r="H381" s="501">
        <f t="shared" si="18"/>
        <v>185</v>
      </c>
      <c r="I381" s="501">
        <v>20</v>
      </c>
      <c r="J381" s="501">
        <f t="shared" si="19"/>
        <v>205</v>
      </c>
      <c r="K381" s="503">
        <f t="shared" si="20"/>
        <v>3.4166666666666665</v>
      </c>
      <c r="L381" s="501" t="s">
        <v>1531</v>
      </c>
    </row>
    <row r="382" spans="1:12" x14ac:dyDescent="0.25">
      <c r="A382" s="501" t="s">
        <v>1538</v>
      </c>
      <c r="B382" s="501" t="s">
        <v>1539</v>
      </c>
      <c r="C382" s="502" t="s">
        <v>120</v>
      </c>
      <c r="D382" s="502">
        <v>300</v>
      </c>
      <c r="E382" s="502">
        <v>30</v>
      </c>
      <c r="F382" s="502">
        <v>45</v>
      </c>
      <c r="G382" s="502">
        <v>100</v>
      </c>
      <c r="H382" s="501">
        <f t="shared" si="18"/>
        <v>175</v>
      </c>
      <c r="I382" s="501">
        <v>20</v>
      </c>
      <c r="J382" s="501">
        <f t="shared" si="19"/>
        <v>195</v>
      </c>
      <c r="K382" s="503">
        <f t="shared" si="20"/>
        <v>3.25</v>
      </c>
      <c r="L382" s="501" t="s">
        <v>1531</v>
      </c>
    </row>
    <row r="383" spans="1:12" x14ac:dyDescent="0.25">
      <c r="A383" s="501" t="s">
        <v>1538</v>
      </c>
      <c r="B383" s="501" t="s">
        <v>1539</v>
      </c>
      <c r="C383" s="502" t="s">
        <v>120</v>
      </c>
      <c r="D383" s="502">
        <v>600</v>
      </c>
      <c r="E383" s="504">
        <v>10</v>
      </c>
      <c r="F383" s="504">
        <v>45</v>
      </c>
      <c r="G383" s="504">
        <v>100</v>
      </c>
      <c r="H383" s="505">
        <f t="shared" si="18"/>
        <v>155</v>
      </c>
      <c r="I383" s="505">
        <v>20</v>
      </c>
      <c r="J383" s="505">
        <f t="shared" si="19"/>
        <v>175</v>
      </c>
      <c r="K383" s="503">
        <f t="shared" si="20"/>
        <v>2.9166666666666665</v>
      </c>
      <c r="L383" s="505" t="s">
        <v>1533</v>
      </c>
    </row>
    <row r="384" spans="1:12" x14ac:dyDescent="0.25">
      <c r="A384" s="501" t="s">
        <v>1538</v>
      </c>
      <c r="B384" s="501" t="s">
        <v>1539</v>
      </c>
      <c r="C384" s="502" t="s">
        <v>120</v>
      </c>
      <c r="D384" s="502">
        <v>800</v>
      </c>
      <c r="E384" s="504">
        <v>0</v>
      </c>
      <c r="F384" s="504">
        <v>45</v>
      </c>
      <c r="G384" s="504">
        <v>100</v>
      </c>
      <c r="H384" s="505">
        <f t="shared" si="18"/>
        <v>145</v>
      </c>
      <c r="I384" s="505">
        <v>20</v>
      </c>
      <c r="J384" s="505">
        <f t="shared" si="19"/>
        <v>165</v>
      </c>
      <c r="K384" s="503">
        <f t="shared" si="20"/>
        <v>2.75</v>
      </c>
      <c r="L384" s="505" t="s">
        <v>1533</v>
      </c>
    </row>
    <row r="385" spans="1:12" x14ac:dyDescent="0.25">
      <c r="A385" s="501" t="s">
        <v>1538</v>
      </c>
      <c r="B385" s="501" t="s">
        <v>1539</v>
      </c>
      <c r="C385" s="502" t="s">
        <v>120</v>
      </c>
      <c r="D385" s="502">
        <v>900</v>
      </c>
      <c r="E385" s="504">
        <v>0</v>
      </c>
      <c r="F385" s="504">
        <v>45</v>
      </c>
      <c r="G385" s="504">
        <v>100</v>
      </c>
      <c r="H385" s="505">
        <f t="shared" si="18"/>
        <v>145</v>
      </c>
      <c r="I385" s="505">
        <v>20</v>
      </c>
      <c r="J385" s="505">
        <f t="shared" si="19"/>
        <v>165</v>
      </c>
      <c r="K385" s="503">
        <f t="shared" si="20"/>
        <v>2.75</v>
      </c>
      <c r="L385" s="505" t="s">
        <v>1533</v>
      </c>
    </row>
    <row r="386" spans="1:12" x14ac:dyDescent="0.25">
      <c r="A386" s="501" t="s">
        <v>1538</v>
      </c>
      <c r="B386" s="501" t="s">
        <v>1539</v>
      </c>
      <c r="C386" s="502" t="s">
        <v>120</v>
      </c>
      <c r="D386" s="502">
        <v>1500</v>
      </c>
      <c r="E386" s="504">
        <v>0</v>
      </c>
      <c r="F386" s="504">
        <v>45</v>
      </c>
      <c r="G386" s="504">
        <v>100</v>
      </c>
      <c r="H386" s="505">
        <f t="shared" si="18"/>
        <v>145</v>
      </c>
      <c r="I386" s="505">
        <v>20</v>
      </c>
      <c r="J386" s="505">
        <f t="shared" si="19"/>
        <v>165</v>
      </c>
      <c r="K386" s="503">
        <f t="shared" si="20"/>
        <v>2.75</v>
      </c>
      <c r="L386" s="505" t="s">
        <v>1533</v>
      </c>
    </row>
    <row r="387" spans="1:12" x14ac:dyDescent="0.25">
      <c r="A387" s="501" t="s">
        <v>1538</v>
      </c>
      <c r="B387" s="501" t="s">
        <v>1539</v>
      </c>
      <c r="C387" s="502" t="s">
        <v>80</v>
      </c>
      <c r="D387" s="502">
        <v>150</v>
      </c>
      <c r="E387" s="502">
        <v>45</v>
      </c>
      <c r="F387" s="502">
        <v>50</v>
      </c>
      <c r="G387" s="502">
        <v>130</v>
      </c>
      <c r="H387" s="501">
        <f t="shared" si="18"/>
        <v>225</v>
      </c>
      <c r="I387" s="501">
        <v>20</v>
      </c>
      <c r="J387" s="501">
        <f t="shared" si="19"/>
        <v>245</v>
      </c>
      <c r="K387" s="503">
        <f t="shared" si="20"/>
        <v>4.083333333333333</v>
      </c>
      <c r="L387" s="501" t="s">
        <v>1531</v>
      </c>
    </row>
    <row r="388" spans="1:12" x14ac:dyDescent="0.25">
      <c r="A388" s="501" t="s">
        <v>1538</v>
      </c>
      <c r="B388" s="501" t="s">
        <v>1539</v>
      </c>
      <c r="C388" s="502" t="s">
        <v>80</v>
      </c>
      <c r="D388" s="502">
        <v>300</v>
      </c>
      <c r="E388" s="502">
        <v>40</v>
      </c>
      <c r="F388" s="502">
        <v>50</v>
      </c>
      <c r="G388" s="502">
        <v>130</v>
      </c>
      <c r="H388" s="501">
        <f t="shared" si="18"/>
        <v>220</v>
      </c>
      <c r="I388" s="501">
        <v>20</v>
      </c>
      <c r="J388" s="501">
        <f t="shared" si="19"/>
        <v>240</v>
      </c>
      <c r="K388" s="503">
        <f t="shared" si="20"/>
        <v>4</v>
      </c>
      <c r="L388" s="501" t="s">
        <v>1531</v>
      </c>
    </row>
    <row r="389" spans="1:12" x14ac:dyDescent="0.25">
      <c r="A389" s="501" t="s">
        <v>1538</v>
      </c>
      <c r="B389" s="501" t="s">
        <v>1539</v>
      </c>
      <c r="C389" s="502" t="s">
        <v>80</v>
      </c>
      <c r="D389" s="502">
        <v>600</v>
      </c>
      <c r="E389" s="504">
        <v>30</v>
      </c>
      <c r="F389" s="504">
        <v>50</v>
      </c>
      <c r="G389" s="504">
        <v>130</v>
      </c>
      <c r="H389" s="505">
        <f t="shared" si="18"/>
        <v>210</v>
      </c>
      <c r="I389" s="505">
        <v>20</v>
      </c>
      <c r="J389" s="505">
        <f t="shared" si="19"/>
        <v>230</v>
      </c>
      <c r="K389" s="503">
        <f t="shared" si="20"/>
        <v>3.8333333333333335</v>
      </c>
      <c r="L389" s="505" t="s">
        <v>1533</v>
      </c>
    </row>
    <row r="390" spans="1:12" x14ac:dyDescent="0.25">
      <c r="A390" s="501" t="s">
        <v>1538</v>
      </c>
      <c r="B390" s="501" t="s">
        <v>1539</v>
      </c>
      <c r="C390" s="502" t="s">
        <v>80</v>
      </c>
      <c r="D390" s="502">
        <v>800</v>
      </c>
      <c r="E390" s="504">
        <v>23</v>
      </c>
      <c r="F390" s="504">
        <v>50</v>
      </c>
      <c r="G390" s="504">
        <v>130</v>
      </c>
      <c r="H390" s="505">
        <f t="shared" si="18"/>
        <v>203</v>
      </c>
      <c r="I390" s="505">
        <v>20</v>
      </c>
      <c r="J390" s="505">
        <f t="shared" si="19"/>
        <v>223</v>
      </c>
      <c r="K390" s="503">
        <f t="shared" si="20"/>
        <v>3.7166666666666668</v>
      </c>
      <c r="L390" s="505" t="s">
        <v>1533</v>
      </c>
    </row>
    <row r="391" spans="1:12" x14ac:dyDescent="0.25">
      <c r="A391" s="501" t="s">
        <v>1538</v>
      </c>
      <c r="B391" s="501" t="s">
        <v>1539</v>
      </c>
      <c r="C391" s="502" t="s">
        <v>80</v>
      </c>
      <c r="D391" s="502">
        <v>900</v>
      </c>
      <c r="E391" s="504">
        <v>20</v>
      </c>
      <c r="F391" s="504">
        <v>50</v>
      </c>
      <c r="G391" s="504">
        <v>130</v>
      </c>
      <c r="H391" s="505">
        <f t="shared" si="18"/>
        <v>200</v>
      </c>
      <c r="I391" s="505">
        <v>20</v>
      </c>
      <c r="J391" s="505">
        <f t="shared" si="19"/>
        <v>220</v>
      </c>
      <c r="K391" s="503">
        <f t="shared" si="20"/>
        <v>3.6666666666666665</v>
      </c>
      <c r="L391" s="505" t="s">
        <v>1533</v>
      </c>
    </row>
    <row r="392" spans="1:12" x14ac:dyDescent="0.25">
      <c r="A392" s="501" t="s">
        <v>1538</v>
      </c>
      <c r="B392" s="501" t="s">
        <v>1539</v>
      </c>
      <c r="C392" s="502" t="s">
        <v>80</v>
      </c>
      <c r="D392" s="502">
        <v>1500</v>
      </c>
      <c r="E392" s="504">
        <v>0</v>
      </c>
      <c r="F392" s="504">
        <v>50</v>
      </c>
      <c r="G392" s="504">
        <v>130</v>
      </c>
      <c r="H392" s="505">
        <f t="shared" si="18"/>
        <v>180</v>
      </c>
      <c r="I392" s="505">
        <v>20</v>
      </c>
      <c r="J392" s="505">
        <f t="shared" si="19"/>
        <v>200</v>
      </c>
      <c r="K392" s="503">
        <f t="shared" si="20"/>
        <v>3.3333333333333335</v>
      </c>
      <c r="L392" s="505" t="s">
        <v>1533</v>
      </c>
    </row>
    <row r="393" spans="1:12" x14ac:dyDescent="0.25">
      <c r="A393" s="501" t="s">
        <v>1538</v>
      </c>
      <c r="B393" s="501" t="s">
        <v>1539</v>
      </c>
      <c r="C393" s="502" t="s">
        <v>119</v>
      </c>
      <c r="D393" s="502">
        <v>150</v>
      </c>
      <c r="E393" s="502">
        <v>50</v>
      </c>
      <c r="F393" s="502">
        <v>60</v>
      </c>
      <c r="G393" s="502">
        <v>150</v>
      </c>
      <c r="H393" s="501">
        <f t="shared" si="18"/>
        <v>260</v>
      </c>
      <c r="I393" s="501">
        <v>20</v>
      </c>
      <c r="J393" s="501">
        <f t="shared" si="19"/>
        <v>280</v>
      </c>
      <c r="K393" s="503">
        <f t="shared" si="20"/>
        <v>4.666666666666667</v>
      </c>
      <c r="L393" s="501" t="s">
        <v>1531</v>
      </c>
    </row>
    <row r="394" spans="1:12" x14ac:dyDescent="0.25">
      <c r="A394" s="501" t="s">
        <v>1538</v>
      </c>
      <c r="B394" s="501" t="s">
        <v>1539</v>
      </c>
      <c r="C394" s="502" t="s">
        <v>119</v>
      </c>
      <c r="D394" s="502">
        <v>300</v>
      </c>
      <c r="E394" s="502">
        <v>45</v>
      </c>
      <c r="F394" s="502">
        <v>60</v>
      </c>
      <c r="G394" s="502">
        <v>150</v>
      </c>
      <c r="H394" s="501">
        <f t="shared" si="18"/>
        <v>255</v>
      </c>
      <c r="I394" s="501">
        <v>20</v>
      </c>
      <c r="J394" s="501">
        <f t="shared" si="19"/>
        <v>275</v>
      </c>
      <c r="K394" s="503">
        <f t="shared" si="20"/>
        <v>4.583333333333333</v>
      </c>
      <c r="L394" s="501" t="s">
        <v>1531</v>
      </c>
    </row>
    <row r="395" spans="1:12" x14ac:dyDescent="0.25">
      <c r="A395" s="501" t="s">
        <v>1538</v>
      </c>
      <c r="B395" s="501" t="s">
        <v>1539</v>
      </c>
      <c r="C395" s="502" t="s">
        <v>119</v>
      </c>
      <c r="D395" s="502">
        <v>600</v>
      </c>
      <c r="E395" s="504">
        <v>35</v>
      </c>
      <c r="F395" s="504">
        <v>60</v>
      </c>
      <c r="G395" s="504">
        <v>150</v>
      </c>
      <c r="H395" s="505">
        <f t="shared" si="18"/>
        <v>245</v>
      </c>
      <c r="I395" s="505">
        <v>20</v>
      </c>
      <c r="J395" s="505">
        <f t="shared" si="19"/>
        <v>265</v>
      </c>
      <c r="K395" s="503">
        <f t="shared" si="20"/>
        <v>4.416666666666667</v>
      </c>
      <c r="L395" s="505" t="s">
        <v>1533</v>
      </c>
    </row>
    <row r="396" spans="1:12" x14ac:dyDescent="0.25">
      <c r="A396" s="501" t="s">
        <v>1538</v>
      </c>
      <c r="B396" s="501" t="s">
        <v>1539</v>
      </c>
      <c r="C396" s="502" t="s">
        <v>119</v>
      </c>
      <c r="D396" s="502">
        <v>800</v>
      </c>
      <c r="E396" s="504">
        <v>28</v>
      </c>
      <c r="F396" s="504">
        <v>60</v>
      </c>
      <c r="G396" s="504">
        <v>150</v>
      </c>
      <c r="H396" s="505">
        <f t="shared" si="18"/>
        <v>238</v>
      </c>
      <c r="I396" s="505">
        <v>20</v>
      </c>
      <c r="J396" s="505">
        <f t="shared" si="19"/>
        <v>258</v>
      </c>
      <c r="K396" s="503">
        <f t="shared" si="20"/>
        <v>4.3</v>
      </c>
      <c r="L396" s="505" t="s">
        <v>1533</v>
      </c>
    </row>
    <row r="397" spans="1:12" x14ac:dyDescent="0.25">
      <c r="A397" s="501" t="s">
        <v>1538</v>
      </c>
      <c r="B397" s="501" t="s">
        <v>1539</v>
      </c>
      <c r="C397" s="502" t="s">
        <v>119</v>
      </c>
      <c r="D397" s="502">
        <v>900</v>
      </c>
      <c r="E397" s="504">
        <v>25</v>
      </c>
      <c r="F397" s="504">
        <v>60</v>
      </c>
      <c r="G397" s="504">
        <v>150</v>
      </c>
      <c r="H397" s="505">
        <f t="shared" si="18"/>
        <v>235</v>
      </c>
      <c r="I397" s="505">
        <v>20</v>
      </c>
      <c r="J397" s="505">
        <f t="shared" si="19"/>
        <v>255</v>
      </c>
      <c r="K397" s="503">
        <f t="shared" si="20"/>
        <v>4.25</v>
      </c>
      <c r="L397" s="505" t="s">
        <v>1533</v>
      </c>
    </row>
    <row r="398" spans="1:12" x14ac:dyDescent="0.25">
      <c r="A398" s="501" t="s">
        <v>1538</v>
      </c>
      <c r="B398" s="501" t="s">
        <v>1539</v>
      </c>
      <c r="C398" s="502" t="s">
        <v>119</v>
      </c>
      <c r="D398" s="502">
        <v>1500</v>
      </c>
      <c r="E398" s="504">
        <v>5</v>
      </c>
      <c r="F398" s="504">
        <v>60</v>
      </c>
      <c r="G398" s="504">
        <v>150</v>
      </c>
      <c r="H398" s="505">
        <f t="shared" si="18"/>
        <v>215</v>
      </c>
      <c r="I398" s="505">
        <v>20</v>
      </c>
      <c r="J398" s="505">
        <f t="shared" si="19"/>
        <v>235</v>
      </c>
      <c r="K398" s="503">
        <f t="shared" si="20"/>
        <v>3.9166666666666665</v>
      </c>
      <c r="L398" s="505" t="s">
        <v>1533</v>
      </c>
    </row>
    <row r="399" spans="1:12" x14ac:dyDescent="0.25">
      <c r="A399" s="501" t="s">
        <v>1538</v>
      </c>
      <c r="B399" s="501" t="s">
        <v>1539</v>
      </c>
      <c r="C399" s="502" t="s">
        <v>179</v>
      </c>
      <c r="D399" s="502">
        <v>150</v>
      </c>
      <c r="E399" s="502">
        <v>55</v>
      </c>
      <c r="F399" s="502">
        <v>70</v>
      </c>
      <c r="G399" s="502">
        <v>180</v>
      </c>
      <c r="H399" s="501">
        <f t="shared" ref="H399:H462" si="21">E399+F399+G399</f>
        <v>305</v>
      </c>
      <c r="I399" s="501">
        <v>25</v>
      </c>
      <c r="J399" s="501">
        <f t="shared" ref="J399:J462" si="22">H399+I399</f>
        <v>330</v>
      </c>
      <c r="K399" s="503">
        <f t="shared" ref="K399:K462" si="23">J399/60</f>
        <v>5.5</v>
      </c>
      <c r="L399" s="501" t="s">
        <v>1531</v>
      </c>
    </row>
    <row r="400" spans="1:12" x14ac:dyDescent="0.25">
      <c r="A400" s="501" t="s">
        <v>1538</v>
      </c>
      <c r="B400" s="501" t="s">
        <v>1539</v>
      </c>
      <c r="C400" s="502" t="s">
        <v>179</v>
      </c>
      <c r="D400" s="502">
        <v>300</v>
      </c>
      <c r="E400" s="502">
        <v>60</v>
      </c>
      <c r="F400" s="502">
        <v>105</v>
      </c>
      <c r="G400" s="502">
        <v>180</v>
      </c>
      <c r="H400" s="501">
        <f t="shared" si="21"/>
        <v>345</v>
      </c>
      <c r="I400" s="501">
        <v>25</v>
      </c>
      <c r="J400" s="501">
        <f t="shared" si="22"/>
        <v>370</v>
      </c>
      <c r="K400" s="503">
        <f t="shared" si="23"/>
        <v>6.166666666666667</v>
      </c>
      <c r="L400" s="501" t="s">
        <v>1531</v>
      </c>
    </row>
    <row r="401" spans="1:12" x14ac:dyDescent="0.25">
      <c r="A401" s="501" t="s">
        <v>1538</v>
      </c>
      <c r="B401" s="501" t="s">
        <v>1539</v>
      </c>
      <c r="C401" s="502" t="s">
        <v>179</v>
      </c>
      <c r="D401" s="502">
        <v>600</v>
      </c>
      <c r="E401" s="504">
        <v>70</v>
      </c>
      <c r="F401" s="504">
        <v>175</v>
      </c>
      <c r="G401" s="504">
        <v>180</v>
      </c>
      <c r="H401" s="505">
        <f t="shared" si="21"/>
        <v>425</v>
      </c>
      <c r="I401" s="505">
        <v>25</v>
      </c>
      <c r="J401" s="505">
        <f t="shared" si="22"/>
        <v>450</v>
      </c>
      <c r="K401" s="503">
        <f t="shared" si="23"/>
        <v>7.5</v>
      </c>
      <c r="L401" s="505" t="s">
        <v>1533</v>
      </c>
    </row>
    <row r="402" spans="1:12" x14ac:dyDescent="0.25">
      <c r="A402" s="501" t="s">
        <v>1538</v>
      </c>
      <c r="B402" s="501" t="s">
        <v>1539</v>
      </c>
      <c r="C402" s="502" t="s">
        <v>179</v>
      </c>
      <c r="D402" s="502">
        <v>800</v>
      </c>
      <c r="E402" s="504">
        <v>77</v>
      </c>
      <c r="F402" s="504">
        <v>222</v>
      </c>
      <c r="G402" s="504">
        <v>180</v>
      </c>
      <c r="H402" s="505">
        <f t="shared" si="21"/>
        <v>479</v>
      </c>
      <c r="I402" s="505">
        <v>25</v>
      </c>
      <c r="J402" s="505">
        <f t="shared" si="22"/>
        <v>504</v>
      </c>
      <c r="K402" s="503">
        <f t="shared" si="23"/>
        <v>8.4</v>
      </c>
      <c r="L402" s="505" t="s">
        <v>1533</v>
      </c>
    </row>
    <row r="403" spans="1:12" x14ac:dyDescent="0.25">
      <c r="A403" s="501" t="s">
        <v>1538</v>
      </c>
      <c r="B403" s="501" t="s">
        <v>1539</v>
      </c>
      <c r="C403" s="502" t="s">
        <v>179</v>
      </c>
      <c r="D403" s="502">
        <v>900</v>
      </c>
      <c r="E403" s="504">
        <v>80</v>
      </c>
      <c r="F403" s="504">
        <v>245</v>
      </c>
      <c r="G403" s="504">
        <v>180</v>
      </c>
      <c r="H403" s="505">
        <f t="shared" si="21"/>
        <v>505</v>
      </c>
      <c r="I403" s="505">
        <v>25</v>
      </c>
      <c r="J403" s="505">
        <f t="shared" si="22"/>
        <v>530</v>
      </c>
      <c r="K403" s="503">
        <f t="shared" si="23"/>
        <v>8.8333333333333339</v>
      </c>
      <c r="L403" s="505" t="s">
        <v>1533</v>
      </c>
    </row>
    <row r="404" spans="1:12" x14ac:dyDescent="0.25">
      <c r="A404" s="501" t="s">
        <v>1538</v>
      </c>
      <c r="B404" s="501" t="s">
        <v>1539</v>
      </c>
      <c r="C404" s="502" t="s">
        <v>179</v>
      </c>
      <c r="D404" s="502">
        <v>1500</v>
      </c>
      <c r="E404" s="504">
        <v>100</v>
      </c>
      <c r="F404" s="504">
        <v>385</v>
      </c>
      <c r="G404" s="504">
        <v>180</v>
      </c>
      <c r="H404" s="505">
        <f t="shared" si="21"/>
        <v>665</v>
      </c>
      <c r="I404" s="505">
        <v>25</v>
      </c>
      <c r="J404" s="505">
        <f t="shared" si="22"/>
        <v>690</v>
      </c>
      <c r="K404" s="503">
        <f t="shared" si="23"/>
        <v>11.5</v>
      </c>
      <c r="L404" s="505" t="s">
        <v>1533</v>
      </c>
    </row>
    <row r="405" spans="1:12" x14ac:dyDescent="0.25">
      <c r="A405" s="501" t="s">
        <v>1538</v>
      </c>
      <c r="B405" s="501" t="s">
        <v>1539</v>
      </c>
      <c r="C405" s="502" t="s">
        <v>118</v>
      </c>
      <c r="D405" s="502">
        <v>150</v>
      </c>
      <c r="E405" s="502">
        <v>60</v>
      </c>
      <c r="F405" s="502">
        <v>75</v>
      </c>
      <c r="G405" s="502">
        <v>225</v>
      </c>
      <c r="H405" s="501">
        <f t="shared" si="21"/>
        <v>360</v>
      </c>
      <c r="I405" s="501">
        <v>25</v>
      </c>
      <c r="J405" s="501">
        <f t="shared" si="22"/>
        <v>385</v>
      </c>
      <c r="K405" s="503">
        <f t="shared" si="23"/>
        <v>6.416666666666667</v>
      </c>
      <c r="L405" s="501" t="s">
        <v>1531</v>
      </c>
    </row>
    <row r="406" spans="1:12" x14ac:dyDescent="0.25">
      <c r="A406" s="501" t="s">
        <v>1538</v>
      </c>
      <c r="B406" s="501" t="s">
        <v>1539</v>
      </c>
      <c r="C406" s="502" t="s">
        <v>118</v>
      </c>
      <c r="D406" s="502">
        <v>300</v>
      </c>
      <c r="E406" s="502">
        <v>70</v>
      </c>
      <c r="F406" s="502">
        <v>120</v>
      </c>
      <c r="G406" s="502">
        <v>225</v>
      </c>
      <c r="H406" s="501">
        <f t="shared" si="21"/>
        <v>415</v>
      </c>
      <c r="I406" s="501">
        <v>25</v>
      </c>
      <c r="J406" s="501">
        <f t="shared" si="22"/>
        <v>440</v>
      </c>
      <c r="K406" s="503">
        <f t="shared" si="23"/>
        <v>7.333333333333333</v>
      </c>
      <c r="L406" s="501" t="s">
        <v>1531</v>
      </c>
    </row>
    <row r="407" spans="1:12" x14ac:dyDescent="0.25">
      <c r="A407" s="501" t="s">
        <v>1538</v>
      </c>
      <c r="B407" s="501" t="s">
        <v>1539</v>
      </c>
      <c r="C407" s="502" t="s">
        <v>118</v>
      </c>
      <c r="D407" s="502">
        <v>600</v>
      </c>
      <c r="E407" s="504">
        <v>90</v>
      </c>
      <c r="F407" s="504">
        <v>210</v>
      </c>
      <c r="G407" s="504">
        <v>225</v>
      </c>
      <c r="H407" s="505">
        <f t="shared" si="21"/>
        <v>525</v>
      </c>
      <c r="I407" s="505">
        <v>25</v>
      </c>
      <c r="J407" s="505">
        <f t="shared" si="22"/>
        <v>550</v>
      </c>
      <c r="K407" s="503">
        <f t="shared" si="23"/>
        <v>9.1666666666666661</v>
      </c>
      <c r="L407" s="505" t="s">
        <v>1533</v>
      </c>
    </row>
    <row r="408" spans="1:12" x14ac:dyDescent="0.25">
      <c r="A408" s="501" t="s">
        <v>1538</v>
      </c>
      <c r="B408" s="501" t="s">
        <v>1539</v>
      </c>
      <c r="C408" s="502" t="s">
        <v>118</v>
      </c>
      <c r="D408" s="502">
        <v>800</v>
      </c>
      <c r="E408" s="504">
        <v>103</v>
      </c>
      <c r="F408" s="504">
        <v>270</v>
      </c>
      <c r="G408" s="504">
        <v>225</v>
      </c>
      <c r="H408" s="505">
        <f t="shared" si="21"/>
        <v>598</v>
      </c>
      <c r="I408" s="505">
        <v>25</v>
      </c>
      <c r="J408" s="505">
        <f t="shared" si="22"/>
        <v>623</v>
      </c>
      <c r="K408" s="503">
        <f t="shared" si="23"/>
        <v>10.383333333333333</v>
      </c>
      <c r="L408" s="505" t="s">
        <v>1533</v>
      </c>
    </row>
    <row r="409" spans="1:12" x14ac:dyDescent="0.25">
      <c r="A409" s="501" t="s">
        <v>1538</v>
      </c>
      <c r="B409" s="501" t="s">
        <v>1539</v>
      </c>
      <c r="C409" s="502" t="s">
        <v>118</v>
      </c>
      <c r="D409" s="502">
        <v>900</v>
      </c>
      <c r="E409" s="504">
        <v>110</v>
      </c>
      <c r="F409" s="504">
        <v>300</v>
      </c>
      <c r="G409" s="504">
        <v>225</v>
      </c>
      <c r="H409" s="505">
        <f t="shared" si="21"/>
        <v>635</v>
      </c>
      <c r="I409" s="505">
        <v>25</v>
      </c>
      <c r="J409" s="505">
        <f t="shared" si="22"/>
        <v>660</v>
      </c>
      <c r="K409" s="503">
        <f t="shared" si="23"/>
        <v>11</v>
      </c>
      <c r="L409" s="505" t="s">
        <v>1533</v>
      </c>
    </row>
    <row r="410" spans="1:12" x14ac:dyDescent="0.25">
      <c r="A410" s="501" t="s">
        <v>1538</v>
      </c>
      <c r="B410" s="501" t="s">
        <v>1539</v>
      </c>
      <c r="C410" s="502" t="s">
        <v>118</v>
      </c>
      <c r="D410" s="502">
        <v>1500</v>
      </c>
      <c r="E410" s="504">
        <v>150</v>
      </c>
      <c r="F410" s="504">
        <v>480</v>
      </c>
      <c r="G410" s="504">
        <v>225</v>
      </c>
      <c r="H410" s="505">
        <f t="shared" si="21"/>
        <v>855</v>
      </c>
      <c r="I410" s="505">
        <v>25</v>
      </c>
      <c r="J410" s="505">
        <f t="shared" si="22"/>
        <v>880</v>
      </c>
      <c r="K410" s="503">
        <f t="shared" si="23"/>
        <v>14.666666666666666</v>
      </c>
      <c r="L410" s="505" t="s">
        <v>1533</v>
      </c>
    </row>
    <row r="411" spans="1:12" x14ac:dyDescent="0.25">
      <c r="A411" s="501" t="s">
        <v>1538</v>
      </c>
      <c r="B411" s="501" t="s">
        <v>1539</v>
      </c>
      <c r="C411" s="502" t="s">
        <v>688</v>
      </c>
      <c r="D411" s="502">
        <v>150</v>
      </c>
      <c r="E411" s="502">
        <v>70</v>
      </c>
      <c r="F411" s="502">
        <v>85</v>
      </c>
      <c r="G411" s="502">
        <v>270</v>
      </c>
      <c r="H411" s="501">
        <f t="shared" si="21"/>
        <v>425</v>
      </c>
      <c r="I411" s="501">
        <v>25</v>
      </c>
      <c r="J411" s="501">
        <f t="shared" si="22"/>
        <v>450</v>
      </c>
      <c r="K411" s="503">
        <f t="shared" si="23"/>
        <v>7.5</v>
      </c>
      <c r="L411" s="501" t="s">
        <v>1531</v>
      </c>
    </row>
    <row r="412" spans="1:12" x14ac:dyDescent="0.25">
      <c r="A412" s="501" t="s">
        <v>1538</v>
      </c>
      <c r="B412" s="501" t="s">
        <v>1539</v>
      </c>
      <c r="C412" s="502" t="s">
        <v>688</v>
      </c>
      <c r="D412" s="502">
        <v>300</v>
      </c>
      <c r="E412" s="502">
        <v>90</v>
      </c>
      <c r="F412" s="502">
        <v>140</v>
      </c>
      <c r="G412" s="502">
        <v>270</v>
      </c>
      <c r="H412" s="501">
        <f t="shared" si="21"/>
        <v>500</v>
      </c>
      <c r="I412" s="501">
        <v>25</v>
      </c>
      <c r="J412" s="501">
        <f t="shared" si="22"/>
        <v>525</v>
      </c>
      <c r="K412" s="503">
        <f t="shared" si="23"/>
        <v>8.75</v>
      </c>
      <c r="L412" s="501" t="s">
        <v>1531</v>
      </c>
    </row>
    <row r="413" spans="1:12" x14ac:dyDescent="0.25">
      <c r="A413" s="501" t="s">
        <v>1538</v>
      </c>
      <c r="B413" s="501" t="s">
        <v>1539</v>
      </c>
      <c r="C413" s="502" t="s">
        <v>688</v>
      </c>
      <c r="D413" s="502">
        <v>600</v>
      </c>
      <c r="E413" s="504">
        <v>130</v>
      </c>
      <c r="F413" s="504">
        <v>250</v>
      </c>
      <c r="G413" s="504">
        <v>270</v>
      </c>
      <c r="H413" s="505">
        <f t="shared" si="21"/>
        <v>650</v>
      </c>
      <c r="I413" s="505">
        <v>25</v>
      </c>
      <c r="J413" s="505">
        <f t="shared" si="22"/>
        <v>675</v>
      </c>
      <c r="K413" s="503">
        <f t="shared" si="23"/>
        <v>11.25</v>
      </c>
      <c r="L413" s="505" t="s">
        <v>1533</v>
      </c>
    </row>
    <row r="414" spans="1:12" x14ac:dyDescent="0.25">
      <c r="A414" s="501" t="s">
        <v>1538</v>
      </c>
      <c r="B414" s="501" t="s">
        <v>1539</v>
      </c>
      <c r="C414" s="502" t="s">
        <v>688</v>
      </c>
      <c r="D414" s="502">
        <v>800</v>
      </c>
      <c r="E414" s="504">
        <v>157</v>
      </c>
      <c r="F414" s="504">
        <v>323</v>
      </c>
      <c r="G414" s="504">
        <v>270</v>
      </c>
      <c r="H414" s="505">
        <f t="shared" si="21"/>
        <v>750</v>
      </c>
      <c r="I414" s="505">
        <v>25</v>
      </c>
      <c r="J414" s="505">
        <f t="shared" si="22"/>
        <v>775</v>
      </c>
      <c r="K414" s="503">
        <f t="shared" si="23"/>
        <v>12.916666666666666</v>
      </c>
      <c r="L414" s="505" t="s">
        <v>1533</v>
      </c>
    </row>
    <row r="415" spans="1:12" x14ac:dyDescent="0.25">
      <c r="A415" s="501" t="s">
        <v>1538</v>
      </c>
      <c r="B415" s="501" t="s">
        <v>1539</v>
      </c>
      <c r="C415" s="502" t="s">
        <v>688</v>
      </c>
      <c r="D415" s="502">
        <v>900</v>
      </c>
      <c r="E415" s="504">
        <v>170</v>
      </c>
      <c r="F415" s="504">
        <v>360</v>
      </c>
      <c r="G415" s="504">
        <v>270</v>
      </c>
      <c r="H415" s="505">
        <f t="shared" si="21"/>
        <v>800</v>
      </c>
      <c r="I415" s="505">
        <v>25</v>
      </c>
      <c r="J415" s="505">
        <f t="shared" si="22"/>
        <v>825</v>
      </c>
      <c r="K415" s="503">
        <f t="shared" si="23"/>
        <v>13.75</v>
      </c>
      <c r="L415" s="505" t="s">
        <v>1533</v>
      </c>
    </row>
    <row r="416" spans="1:12" x14ac:dyDescent="0.25">
      <c r="A416" s="501" t="s">
        <v>1538</v>
      </c>
      <c r="B416" s="501" t="s">
        <v>1539</v>
      </c>
      <c r="C416" s="502" t="s">
        <v>688</v>
      </c>
      <c r="D416" s="502">
        <v>1500</v>
      </c>
      <c r="E416" s="504">
        <v>250</v>
      </c>
      <c r="F416" s="504">
        <v>580</v>
      </c>
      <c r="G416" s="504">
        <v>270</v>
      </c>
      <c r="H416" s="505">
        <f t="shared" si="21"/>
        <v>1100</v>
      </c>
      <c r="I416" s="505">
        <v>25</v>
      </c>
      <c r="J416" s="505">
        <f t="shared" si="22"/>
        <v>1125</v>
      </c>
      <c r="K416" s="503">
        <f t="shared" si="23"/>
        <v>18.75</v>
      </c>
      <c r="L416" s="505" t="s">
        <v>1533</v>
      </c>
    </row>
    <row r="417" spans="1:12" x14ac:dyDescent="0.25">
      <c r="A417" s="501" t="s">
        <v>1538</v>
      </c>
      <c r="B417" s="501" t="s">
        <v>1539</v>
      </c>
      <c r="C417" s="502" t="s">
        <v>171</v>
      </c>
      <c r="D417" s="502">
        <v>150</v>
      </c>
      <c r="E417" s="502">
        <v>90</v>
      </c>
      <c r="F417" s="502">
        <v>95</v>
      </c>
      <c r="G417" s="502">
        <v>300</v>
      </c>
      <c r="H417" s="501">
        <f t="shared" si="21"/>
        <v>485</v>
      </c>
      <c r="I417" s="501">
        <v>25</v>
      </c>
      <c r="J417" s="501">
        <f t="shared" si="22"/>
        <v>510</v>
      </c>
      <c r="K417" s="503">
        <f t="shared" si="23"/>
        <v>8.5</v>
      </c>
      <c r="L417" s="501" t="s">
        <v>1531</v>
      </c>
    </row>
    <row r="418" spans="1:12" x14ac:dyDescent="0.25">
      <c r="A418" s="501" t="s">
        <v>1538</v>
      </c>
      <c r="B418" s="501" t="s">
        <v>1539</v>
      </c>
      <c r="C418" s="502" t="s">
        <v>171</v>
      </c>
      <c r="D418" s="502">
        <v>300</v>
      </c>
      <c r="E418" s="502">
        <v>105</v>
      </c>
      <c r="F418" s="502">
        <v>155</v>
      </c>
      <c r="G418" s="502">
        <v>300</v>
      </c>
      <c r="H418" s="501">
        <f t="shared" si="21"/>
        <v>560</v>
      </c>
      <c r="I418" s="501">
        <v>25</v>
      </c>
      <c r="J418" s="501">
        <f t="shared" si="22"/>
        <v>585</v>
      </c>
      <c r="K418" s="503">
        <f t="shared" si="23"/>
        <v>9.75</v>
      </c>
      <c r="L418" s="501" t="s">
        <v>1531</v>
      </c>
    </row>
    <row r="419" spans="1:12" x14ac:dyDescent="0.25">
      <c r="A419" s="501" t="s">
        <v>1538</v>
      </c>
      <c r="B419" s="501" t="s">
        <v>1539</v>
      </c>
      <c r="C419" s="502" t="s">
        <v>171</v>
      </c>
      <c r="D419" s="502">
        <v>600</v>
      </c>
      <c r="E419" s="504">
        <v>135</v>
      </c>
      <c r="F419" s="504">
        <v>275</v>
      </c>
      <c r="G419" s="504">
        <v>300</v>
      </c>
      <c r="H419" s="505">
        <f t="shared" si="21"/>
        <v>710</v>
      </c>
      <c r="I419" s="505">
        <v>25</v>
      </c>
      <c r="J419" s="505">
        <f t="shared" si="22"/>
        <v>735</v>
      </c>
      <c r="K419" s="503">
        <f t="shared" si="23"/>
        <v>12.25</v>
      </c>
      <c r="L419" s="505" t="s">
        <v>1533</v>
      </c>
    </row>
    <row r="420" spans="1:12" x14ac:dyDescent="0.25">
      <c r="A420" s="501" t="s">
        <v>1538</v>
      </c>
      <c r="B420" s="501" t="s">
        <v>1539</v>
      </c>
      <c r="C420" s="502" t="s">
        <v>171</v>
      </c>
      <c r="D420" s="502">
        <v>800</v>
      </c>
      <c r="E420" s="504">
        <v>155</v>
      </c>
      <c r="F420" s="504">
        <v>355</v>
      </c>
      <c r="G420" s="504">
        <v>300</v>
      </c>
      <c r="H420" s="505">
        <f t="shared" si="21"/>
        <v>810</v>
      </c>
      <c r="I420" s="505">
        <v>25</v>
      </c>
      <c r="J420" s="505">
        <f t="shared" si="22"/>
        <v>835</v>
      </c>
      <c r="K420" s="503">
        <f t="shared" si="23"/>
        <v>13.916666666666666</v>
      </c>
      <c r="L420" s="505" t="s">
        <v>1533</v>
      </c>
    </row>
    <row r="421" spans="1:12" x14ac:dyDescent="0.25">
      <c r="A421" s="501" t="s">
        <v>1538</v>
      </c>
      <c r="B421" s="501" t="s">
        <v>1539</v>
      </c>
      <c r="C421" s="502" t="s">
        <v>171</v>
      </c>
      <c r="D421" s="502">
        <v>900</v>
      </c>
      <c r="E421" s="504">
        <v>165</v>
      </c>
      <c r="F421" s="504">
        <v>395</v>
      </c>
      <c r="G421" s="504">
        <v>300</v>
      </c>
      <c r="H421" s="505">
        <f t="shared" si="21"/>
        <v>860</v>
      </c>
      <c r="I421" s="505">
        <v>25</v>
      </c>
      <c r="J421" s="505">
        <f t="shared" si="22"/>
        <v>885</v>
      </c>
      <c r="K421" s="503">
        <f t="shared" si="23"/>
        <v>14.75</v>
      </c>
      <c r="L421" s="505" t="s">
        <v>1533</v>
      </c>
    </row>
    <row r="422" spans="1:12" x14ac:dyDescent="0.25">
      <c r="A422" s="501" t="s">
        <v>1538</v>
      </c>
      <c r="B422" s="501" t="s">
        <v>1539</v>
      </c>
      <c r="C422" s="502" t="s">
        <v>171</v>
      </c>
      <c r="D422" s="502">
        <v>1500</v>
      </c>
      <c r="E422" s="504">
        <v>225</v>
      </c>
      <c r="F422" s="504">
        <v>635</v>
      </c>
      <c r="G422" s="504">
        <v>300</v>
      </c>
      <c r="H422" s="505">
        <f t="shared" si="21"/>
        <v>1160</v>
      </c>
      <c r="I422" s="505">
        <v>25</v>
      </c>
      <c r="J422" s="505">
        <f t="shared" si="22"/>
        <v>1185</v>
      </c>
      <c r="K422" s="503">
        <f t="shared" si="23"/>
        <v>19.75</v>
      </c>
      <c r="L422" s="505" t="s">
        <v>1533</v>
      </c>
    </row>
    <row r="423" spans="1:12" x14ac:dyDescent="0.25">
      <c r="A423" s="501" t="s">
        <v>1538</v>
      </c>
      <c r="B423" s="501" t="s">
        <v>1539</v>
      </c>
      <c r="C423" s="502" t="s">
        <v>195</v>
      </c>
      <c r="D423" s="502">
        <v>150</v>
      </c>
      <c r="E423" s="502">
        <v>105</v>
      </c>
      <c r="F423" s="502">
        <v>115</v>
      </c>
      <c r="G423" s="502">
        <v>330</v>
      </c>
      <c r="H423" s="501">
        <f t="shared" si="21"/>
        <v>550</v>
      </c>
      <c r="I423" s="501">
        <v>25</v>
      </c>
      <c r="J423" s="501">
        <f t="shared" si="22"/>
        <v>575</v>
      </c>
      <c r="K423" s="503">
        <f t="shared" si="23"/>
        <v>9.5833333333333339</v>
      </c>
      <c r="L423" s="501" t="s">
        <v>1531</v>
      </c>
    </row>
    <row r="424" spans="1:12" x14ac:dyDescent="0.25">
      <c r="A424" s="501" t="s">
        <v>1538</v>
      </c>
      <c r="B424" s="501" t="s">
        <v>1539</v>
      </c>
      <c r="C424" s="502" t="s">
        <v>195</v>
      </c>
      <c r="D424" s="502">
        <v>300</v>
      </c>
      <c r="E424" s="502">
        <v>125</v>
      </c>
      <c r="F424" s="502">
        <v>175</v>
      </c>
      <c r="G424" s="502">
        <v>330</v>
      </c>
      <c r="H424" s="501">
        <f t="shared" si="21"/>
        <v>630</v>
      </c>
      <c r="I424" s="501">
        <v>25</v>
      </c>
      <c r="J424" s="501">
        <f t="shared" si="22"/>
        <v>655</v>
      </c>
      <c r="K424" s="503">
        <f t="shared" si="23"/>
        <v>10.916666666666666</v>
      </c>
      <c r="L424" s="501" t="s">
        <v>1531</v>
      </c>
    </row>
    <row r="425" spans="1:12" x14ac:dyDescent="0.25">
      <c r="A425" s="501" t="s">
        <v>1538</v>
      </c>
      <c r="B425" s="501" t="s">
        <v>1539</v>
      </c>
      <c r="C425" s="502" t="s">
        <v>195</v>
      </c>
      <c r="D425" s="502">
        <v>600</v>
      </c>
      <c r="E425" s="504">
        <v>165</v>
      </c>
      <c r="F425" s="504">
        <v>295</v>
      </c>
      <c r="G425" s="504">
        <v>330</v>
      </c>
      <c r="H425" s="505">
        <f t="shared" si="21"/>
        <v>790</v>
      </c>
      <c r="I425" s="505">
        <v>25</v>
      </c>
      <c r="J425" s="505">
        <f t="shared" si="22"/>
        <v>815</v>
      </c>
      <c r="K425" s="503">
        <f t="shared" si="23"/>
        <v>13.583333333333334</v>
      </c>
      <c r="L425" s="505" t="s">
        <v>1533</v>
      </c>
    </row>
    <row r="426" spans="1:12" x14ac:dyDescent="0.25">
      <c r="A426" s="501" t="s">
        <v>1538</v>
      </c>
      <c r="B426" s="501" t="s">
        <v>1539</v>
      </c>
      <c r="C426" s="502" t="s">
        <v>195</v>
      </c>
      <c r="D426" s="502">
        <v>800</v>
      </c>
      <c r="E426" s="504">
        <v>192</v>
      </c>
      <c r="F426" s="504">
        <v>375</v>
      </c>
      <c r="G426" s="504">
        <v>330</v>
      </c>
      <c r="H426" s="505">
        <f t="shared" si="21"/>
        <v>897</v>
      </c>
      <c r="I426" s="505">
        <v>25</v>
      </c>
      <c r="J426" s="505">
        <f t="shared" si="22"/>
        <v>922</v>
      </c>
      <c r="K426" s="503">
        <f t="shared" si="23"/>
        <v>15.366666666666667</v>
      </c>
      <c r="L426" s="505" t="s">
        <v>1533</v>
      </c>
    </row>
    <row r="427" spans="1:12" x14ac:dyDescent="0.25">
      <c r="A427" s="501" t="s">
        <v>1538</v>
      </c>
      <c r="B427" s="501" t="s">
        <v>1539</v>
      </c>
      <c r="C427" s="502" t="s">
        <v>195</v>
      </c>
      <c r="D427" s="502">
        <v>900</v>
      </c>
      <c r="E427" s="504">
        <v>205</v>
      </c>
      <c r="F427" s="504">
        <v>415</v>
      </c>
      <c r="G427" s="504">
        <v>330</v>
      </c>
      <c r="H427" s="505">
        <f t="shared" si="21"/>
        <v>950</v>
      </c>
      <c r="I427" s="505">
        <v>25</v>
      </c>
      <c r="J427" s="505">
        <f t="shared" si="22"/>
        <v>975</v>
      </c>
      <c r="K427" s="503">
        <f t="shared" si="23"/>
        <v>16.25</v>
      </c>
      <c r="L427" s="505" t="s">
        <v>1533</v>
      </c>
    </row>
    <row r="428" spans="1:12" x14ac:dyDescent="0.25">
      <c r="A428" s="501" t="s">
        <v>1538</v>
      </c>
      <c r="B428" s="501" t="s">
        <v>1539</v>
      </c>
      <c r="C428" s="502" t="s">
        <v>195</v>
      </c>
      <c r="D428" s="502">
        <v>1500</v>
      </c>
      <c r="E428" s="504">
        <v>285</v>
      </c>
      <c r="F428" s="504">
        <v>655</v>
      </c>
      <c r="G428" s="504">
        <v>330</v>
      </c>
      <c r="H428" s="505">
        <f t="shared" si="21"/>
        <v>1270</v>
      </c>
      <c r="I428" s="505">
        <v>25</v>
      </c>
      <c r="J428" s="505">
        <f t="shared" si="22"/>
        <v>1295</v>
      </c>
      <c r="K428" s="503">
        <f t="shared" si="23"/>
        <v>21.583333333333332</v>
      </c>
      <c r="L428" s="505" t="s">
        <v>1533</v>
      </c>
    </row>
    <row r="429" spans="1:12" x14ac:dyDescent="0.25">
      <c r="A429" s="501" t="s">
        <v>1538</v>
      </c>
      <c r="B429" s="501" t="s">
        <v>1539</v>
      </c>
      <c r="C429" s="502" t="s">
        <v>1406</v>
      </c>
      <c r="D429" s="502">
        <v>150</v>
      </c>
      <c r="E429" s="502">
        <v>125</v>
      </c>
      <c r="F429" s="502">
        <v>130</v>
      </c>
      <c r="G429" s="502">
        <v>385</v>
      </c>
      <c r="H429" s="501">
        <f t="shared" si="21"/>
        <v>640</v>
      </c>
      <c r="I429" s="501">
        <v>30</v>
      </c>
      <c r="J429" s="501">
        <f t="shared" si="22"/>
        <v>670</v>
      </c>
      <c r="K429" s="503">
        <f t="shared" si="23"/>
        <v>11.166666666666666</v>
      </c>
      <c r="L429" s="501" t="s">
        <v>1531</v>
      </c>
    </row>
    <row r="430" spans="1:12" x14ac:dyDescent="0.25">
      <c r="A430" s="501" t="s">
        <v>1538</v>
      </c>
      <c r="B430" s="501" t="s">
        <v>1539</v>
      </c>
      <c r="C430" s="502" t="s">
        <v>1406</v>
      </c>
      <c r="D430" s="502">
        <v>300</v>
      </c>
      <c r="E430" s="502">
        <v>140</v>
      </c>
      <c r="F430" s="502">
        <v>205</v>
      </c>
      <c r="G430" s="502">
        <v>385</v>
      </c>
      <c r="H430" s="501">
        <f t="shared" si="21"/>
        <v>730</v>
      </c>
      <c r="I430" s="501">
        <v>30</v>
      </c>
      <c r="J430" s="501">
        <f t="shared" si="22"/>
        <v>760</v>
      </c>
      <c r="K430" s="503">
        <f t="shared" si="23"/>
        <v>12.666666666666666</v>
      </c>
      <c r="L430" s="501" t="s">
        <v>1531</v>
      </c>
    </row>
    <row r="431" spans="1:12" x14ac:dyDescent="0.25">
      <c r="A431" s="501" t="s">
        <v>1538</v>
      </c>
      <c r="B431" s="501" t="s">
        <v>1539</v>
      </c>
      <c r="C431" s="502" t="s">
        <v>1406</v>
      </c>
      <c r="D431" s="502">
        <v>600</v>
      </c>
      <c r="E431" s="504">
        <v>170</v>
      </c>
      <c r="F431" s="504">
        <v>355</v>
      </c>
      <c r="G431" s="504">
        <v>385</v>
      </c>
      <c r="H431" s="505">
        <f t="shared" si="21"/>
        <v>910</v>
      </c>
      <c r="I431" s="505">
        <v>30</v>
      </c>
      <c r="J431" s="505">
        <f t="shared" si="22"/>
        <v>940</v>
      </c>
      <c r="K431" s="503">
        <f t="shared" si="23"/>
        <v>15.666666666666666</v>
      </c>
      <c r="L431" s="505" t="s">
        <v>1533</v>
      </c>
    </row>
    <row r="432" spans="1:12" x14ac:dyDescent="0.25">
      <c r="A432" s="501" t="s">
        <v>1538</v>
      </c>
      <c r="B432" s="501" t="s">
        <v>1539</v>
      </c>
      <c r="C432" s="502" t="s">
        <v>1406</v>
      </c>
      <c r="D432" s="502">
        <v>800</v>
      </c>
      <c r="E432" s="504">
        <v>190</v>
      </c>
      <c r="F432" s="504">
        <v>455</v>
      </c>
      <c r="G432" s="504">
        <v>385</v>
      </c>
      <c r="H432" s="505">
        <f t="shared" si="21"/>
        <v>1030</v>
      </c>
      <c r="I432" s="505">
        <v>30</v>
      </c>
      <c r="J432" s="505">
        <f t="shared" si="22"/>
        <v>1060</v>
      </c>
      <c r="K432" s="503">
        <f t="shared" si="23"/>
        <v>17.666666666666668</v>
      </c>
      <c r="L432" s="505" t="s">
        <v>1533</v>
      </c>
    </row>
    <row r="433" spans="1:12" x14ac:dyDescent="0.25">
      <c r="A433" s="501" t="s">
        <v>1538</v>
      </c>
      <c r="B433" s="501" t="s">
        <v>1539</v>
      </c>
      <c r="C433" s="502" t="s">
        <v>1406</v>
      </c>
      <c r="D433" s="502">
        <v>900</v>
      </c>
      <c r="E433" s="504">
        <v>200</v>
      </c>
      <c r="F433" s="504">
        <v>505</v>
      </c>
      <c r="G433" s="504">
        <v>385</v>
      </c>
      <c r="H433" s="505">
        <f t="shared" si="21"/>
        <v>1090</v>
      </c>
      <c r="I433" s="505">
        <v>30</v>
      </c>
      <c r="J433" s="505">
        <f t="shared" si="22"/>
        <v>1120</v>
      </c>
      <c r="K433" s="503">
        <f t="shared" si="23"/>
        <v>18.666666666666668</v>
      </c>
      <c r="L433" s="505" t="s">
        <v>1533</v>
      </c>
    </row>
    <row r="434" spans="1:12" x14ac:dyDescent="0.25">
      <c r="A434" s="501" t="s">
        <v>1538</v>
      </c>
      <c r="B434" s="501" t="s">
        <v>1539</v>
      </c>
      <c r="C434" s="502" t="s">
        <v>1406</v>
      </c>
      <c r="D434" s="502">
        <v>1500</v>
      </c>
      <c r="E434" s="504">
        <v>260</v>
      </c>
      <c r="F434" s="504">
        <v>805</v>
      </c>
      <c r="G434" s="504">
        <v>385</v>
      </c>
      <c r="H434" s="505">
        <f t="shared" si="21"/>
        <v>1450</v>
      </c>
      <c r="I434" s="505">
        <v>30</v>
      </c>
      <c r="J434" s="505">
        <f t="shared" si="22"/>
        <v>1480</v>
      </c>
      <c r="K434" s="503">
        <f t="shared" si="23"/>
        <v>24.666666666666668</v>
      </c>
      <c r="L434" s="505" t="s">
        <v>1533</v>
      </c>
    </row>
    <row r="435" spans="1:12" x14ac:dyDescent="0.25">
      <c r="A435" s="501" t="s">
        <v>1538</v>
      </c>
      <c r="B435" s="501" t="s">
        <v>1539</v>
      </c>
      <c r="C435" s="502" t="s">
        <v>1407</v>
      </c>
      <c r="D435" s="502">
        <v>150</v>
      </c>
      <c r="E435" s="502">
        <v>140</v>
      </c>
      <c r="F435" s="502">
        <v>155</v>
      </c>
      <c r="G435" s="502">
        <v>440</v>
      </c>
      <c r="H435" s="501">
        <f t="shared" si="21"/>
        <v>735</v>
      </c>
      <c r="I435" s="501">
        <v>30</v>
      </c>
      <c r="J435" s="501">
        <f t="shared" si="22"/>
        <v>765</v>
      </c>
      <c r="K435" s="503">
        <f t="shared" si="23"/>
        <v>12.75</v>
      </c>
      <c r="L435" s="501" t="s">
        <v>1531</v>
      </c>
    </row>
    <row r="436" spans="1:12" x14ac:dyDescent="0.25">
      <c r="A436" s="501" t="s">
        <v>1538</v>
      </c>
      <c r="B436" s="501" t="s">
        <v>1539</v>
      </c>
      <c r="C436" s="502" t="s">
        <v>1407</v>
      </c>
      <c r="D436" s="502">
        <v>300</v>
      </c>
      <c r="E436" s="502">
        <v>160</v>
      </c>
      <c r="F436" s="502">
        <v>220</v>
      </c>
      <c r="G436" s="502">
        <v>440</v>
      </c>
      <c r="H436" s="501">
        <f t="shared" si="21"/>
        <v>820</v>
      </c>
      <c r="I436" s="501">
        <v>30</v>
      </c>
      <c r="J436" s="501">
        <f t="shared" si="22"/>
        <v>850</v>
      </c>
      <c r="K436" s="503">
        <f t="shared" si="23"/>
        <v>14.166666666666666</v>
      </c>
      <c r="L436" s="501" t="s">
        <v>1531</v>
      </c>
    </row>
    <row r="437" spans="1:12" x14ac:dyDescent="0.25">
      <c r="A437" s="501" t="s">
        <v>1538</v>
      </c>
      <c r="B437" s="501" t="s">
        <v>1539</v>
      </c>
      <c r="C437" s="502" t="s">
        <v>1407</v>
      </c>
      <c r="D437" s="502">
        <v>600</v>
      </c>
      <c r="E437" s="504">
        <v>200</v>
      </c>
      <c r="F437" s="504">
        <v>350</v>
      </c>
      <c r="G437" s="504">
        <v>440</v>
      </c>
      <c r="H437" s="505">
        <f t="shared" si="21"/>
        <v>990</v>
      </c>
      <c r="I437" s="505">
        <v>30</v>
      </c>
      <c r="J437" s="505">
        <f t="shared" si="22"/>
        <v>1020</v>
      </c>
      <c r="K437" s="503">
        <f t="shared" si="23"/>
        <v>17</v>
      </c>
      <c r="L437" s="505" t="s">
        <v>1533</v>
      </c>
    </row>
    <row r="438" spans="1:12" x14ac:dyDescent="0.25">
      <c r="A438" s="501" t="s">
        <v>1538</v>
      </c>
      <c r="B438" s="501" t="s">
        <v>1539</v>
      </c>
      <c r="C438" s="502" t="s">
        <v>1407</v>
      </c>
      <c r="D438" s="502">
        <v>800</v>
      </c>
      <c r="E438" s="504">
        <v>227</v>
      </c>
      <c r="F438" s="504">
        <v>437</v>
      </c>
      <c r="G438" s="504">
        <v>440</v>
      </c>
      <c r="H438" s="505">
        <f t="shared" si="21"/>
        <v>1104</v>
      </c>
      <c r="I438" s="505">
        <v>30</v>
      </c>
      <c r="J438" s="505">
        <f t="shared" si="22"/>
        <v>1134</v>
      </c>
      <c r="K438" s="503">
        <f t="shared" si="23"/>
        <v>18.899999999999999</v>
      </c>
      <c r="L438" s="505" t="s">
        <v>1533</v>
      </c>
    </row>
    <row r="439" spans="1:12" x14ac:dyDescent="0.25">
      <c r="A439" s="501" t="s">
        <v>1538</v>
      </c>
      <c r="B439" s="501" t="s">
        <v>1539</v>
      </c>
      <c r="C439" s="502" t="s">
        <v>1407</v>
      </c>
      <c r="D439" s="502">
        <v>900</v>
      </c>
      <c r="E439" s="504">
        <v>240</v>
      </c>
      <c r="F439" s="504">
        <v>480</v>
      </c>
      <c r="G439" s="504">
        <v>440</v>
      </c>
      <c r="H439" s="505">
        <f t="shared" si="21"/>
        <v>1160</v>
      </c>
      <c r="I439" s="505">
        <v>30</v>
      </c>
      <c r="J439" s="505">
        <f t="shared" si="22"/>
        <v>1190</v>
      </c>
      <c r="K439" s="503">
        <f t="shared" si="23"/>
        <v>19.833333333333332</v>
      </c>
      <c r="L439" s="505" t="s">
        <v>1533</v>
      </c>
    </row>
    <row r="440" spans="1:12" x14ac:dyDescent="0.25">
      <c r="A440" s="501" t="s">
        <v>1538</v>
      </c>
      <c r="B440" s="501" t="s">
        <v>1539</v>
      </c>
      <c r="C440" s="502" t="s">
        <v>1407</v>
      </c>
      <c r="D440" s="502">
        <v>1500</v>
      </c>
      <c r="E440" s="504">
        <v>320</v>
      </c>
      <c r="F440" s="504">
        <v>740</v>
      </c>
      <c r="G440" s="504">
        <v>440</v>
      </c>
      <c r="H440" s="505">
        <f t="shared" si="21"/>
        <v>1500</v>
      </c>
      <c r="I440" s="505">
        <v>30</v>
      </c>
      <c r="J440" s="505">
        <f t="shared" si="22"/>
        <v>1530</v>
      </c>
      <c r="K440" s="503">
        <f t="shared" si="23"/>
        <v>25.5</v>
      </c>
      <c r="L440" s="505" t="s">
        <v>1533</v>
      </c>
    </row>
    <row r="441" spans="1:12" x14ac:dyDescent="0.25">
      <c r="A441" s="501" t="s">
        <v>1538</v>
      </c>
      <c r="B441" s="501" t="s">
        <v>1539</v>
      </c>
      <c r="C441" s="502" t="s">
        <v>1408</v>
      </c>
      <c r="D441" s="502">
        <v>150</v>
      </c>
      <c r="E441" s="502">
        <v>160</v>
      </c>
      <c r="F441" s="502">
        <v>195</v>
      </c>
      <c r="G441" s="502">
        <v>560</v>
      </c>
      <c r="H441" s="501">
        <f t="shared" si="21"/>
        <v>915</v>
      </c>
      <c r="I441" s="501">
        <v>30</v>
      </c>
      <c r="J441" s="501">
        <f t="shared" si="22"/>
        <v>945</v>
      </c>
      <c r="K441" s="503">
        <f t="shared" si="23"/>
        <v>15.75</v>
      </c>
      <c r="L441" s="501" t="s">
        <v>1531</v>
      </c>
    </row>
    <row r="442" spans="1:12" x14ac:dyDescent="0.25">
      <c r="A442" s="501" t="s">
        <v>1538</v>
      </c>
      <c r="B442" s="501" t="s">
        <v>1539</v>
      </c>
      <c r="C442" s="502" t="s">
        <v>1408</v>
      </c>
      <c r="D442" s="502">
        <v>300</v>
      </c>
      <c r="E442" s="502">
        <v>180</v>
      </c>
      <c r="F442" s="502">
        <v>245</v>
      </c>
      <c r="G442" s="502">
        <v>560</v>
      </c>
      <c r="H442" s="501">
        <f t="shared" si="21"/>
        <v>985</v>
      </c>
      <c r="I442" s="501">
        <v>30</v>
      </c>
      <c r="J442" s="501">
        <f t="shared" si="22"/>
        <v>1015</v>
      </c>
      <c r="K442" s="503">
        <f t="shared" si="23"/>
        <v>16.916666666666668</v>
      </c>
      <c r="L442" s="501" t="s">
        <v>1531</v>
      </c>
    </row>
    <row r="443" spans="1:12" x14ac:dyDescent="0.25">
      <c r="A443" s="501" t="s">
        <v>1538</v>
      </c>
      <c r="B443" s="501" t="s">
        <v>1539</v>
      </c>
      <c r="C443" s="502" t="s">
        <v>1408</v>
      </c>
      <c r="D443" s="502">
        <v>600</v>
      </c>
      <c r="E443" s="504">
        <v>220</v>
      </c>
      <c r="F443" s="504">
        <v>345</v>
      </c>
      <c r="G443" s="504">
        <v>560</v>
      </c>
      <c r="H443" s="505">
        <f t="shared" si="21"/>
        <v>1125</v>
      </c>
      <c r="I443" s="505">
        <v>30</v>
      </c>
      <c r="J443" s="505">
        <f t="shared" si="22"/>
        <v>1155</v>
      </c>
      <c r="K443" s="503">
        <f t="shared" si="23"/>
        <v>19.25</v>
      </c>
      <c r="L443" s="505" t="s">
        <v>1533</v>
      </c>
    </row>
    <row r="444" spans="1:12" x14ac:dyDescent="0.25">
      <c r="A444" s="501" t="s">
        <v>1538</v>
      </c>
      <c r="B444" s="501" t="s">
        <v>1539</v>
      </c>
      <c r="C444" s="502" t="s">
        <v>1408</v>
      </c>
      <c r="D444" s="502">
        <v>800</v>
      </c>
      <c r="E444" s="504">
        <v>247</v>
      </c>
      <c r="F444" s="504">
        <v>412</v>
      </c>
      <c r="G444" s="504">
        <v>560</v>
      </c>
      <c r="H444" s="505">
        <f t="shared" si="21"/>
        <v>1219</v>
      </c>
      <c r="I444" s="505">
        <v>30</v>
      </c>
      <c r="J444" s="505">
        <f t="shared" si="22"/>
        <v>1249</v>
      </c>
      <c r="K444" s="503">
        <f t="shared" si="23"/>
        <v>20.816666666666666</v>
      </c>
      <c r="L444" s="505" t="s">
        <v>1533</v>
      </c>
    </row>
    <row r="445" spans="1:12" x14ac:dyDescent="0.25">
      <c r="A445" s="501" t="s">
        <v>1538</v>
      </c>
      <c r="B445" s="501" t="s">
        <v>1539</v>
      </c>
      <c r="C445" s="502" t="s">
        <v>1408</v>
      </c>
      <c r="D445" s="502">
        <v>900</v>
      </c>
      <c r="E445" s="504">
        <v>260</v>
      </c>
      <c r="F445" s="504">
        <v>445</v>
      </c>
      <c r="G445" s="504">
        <v>560</v>
      </c>
      <c r="H445" s="505">
        <f t="shared" si="21"/>
        <v>1265</v>
      </c>
      <c r="I445" s="505">
        <v>30</v>
      </c>
      <c r="J445" s="505">
        <f t="shared" si="22"/>
        <v>1295</v>
      </c>
      <c r="K445" s="503">
        <f t="shared" si="23"/>
        <v>21.583333333333332</v>
      </c>
      <c r="L445" s="505" t="s">
        <v>1533</v>
      </c>
    </row>
    <row r="446" spans="1:12" x14ac:dyDescent="0.25">
      <c r="A446" s="501" t="s">
        <v>1538</v>
      </c>
      <c r="B446" s="501" t="s">
        <v>1539</v>
      </c>
      <c r="C446" s="502" t="s">
        <v>1408</v>
      </c>
      <c r="D446" s="502">
        <v>1500</v>
      </c>
      <c r="E446" s="504">
        <v>340</v>
      </c>
      <c r="F446" s="504">
        <v>645</v>
      </c>
      <c r="G446" s="504">
        <v>560</v>
      </c>
      <c r="H446" s="505">
        <f t="shared" si="21"/>
        <v>1545</v>
      </c>
      <c r="I446" s="505">
        <v>30</v>
      </c>
      <c r="J446" s="505">
        <f t="shared" si="22"/>
        <v>1575</v>
      </c>
      <c r="K446" s="503">
        <f t="shared" si="23"/>
        <v>26.25</v>
      </c>
      <c r="L446" s="505" t="s">
        <v>1533</v>
      </c>
    </row>
    <row r="447" spans="1:12" x14ac:dyDescent="0.25">
      <c r="A447" s="501" t="s">
        <v>1538</v>
      </c>
      <c r="B447" s="501" t="s">
        <v>1539</v>
      </c>
      <c r="C447" s="502" t="s">
        <v>1409</v>
      </c>
      <c r="D447" s="502">
        <v>150</v>
      </c>
      <c r="E447" s="502">
        <v>180</v>
      </c>
      <c r="F447" s="502">
        <v>235</v>
      </c>
      <c r="G447" s="502">
        <v>650</v>
      </c>
      <c r="H447" s="501">
        <f t="shared" si="21"/>
        <v>1065</v>
      </c>
      <c r="I447" s="501">
        <v>30</v>
      </c>
      <c r="J447" s="501">
        <f t="shared" si="22"/>
        <v>1095</v>
      </c>
      <c r="K447" s="503">
        <f t="shared" si="23"/>
        <v>18.25</v>
      </c>
      <c r="L447" s="501" t="s">
        <v>1531</v>
      </c>
    </row>
    <row r="448" spans="1:12" x14ac:dyDescent="0.25">
      <c r="A448" s="501" t="s">
        <v>1538</v>
      </c>
      <c r="B448" s="501" t="s">
        <v>1539</v>
      </c>
      <c r="C448" s="502" t="s">
        <v>1409</v>
      </c>
      <c r="D448" s="502">
        <v>300</v>
      </c>
      <c r="E448" s="502">
        <v>200</v>
      </c>
      <c r="F448" s="502">
        <v>275</v>
      </c>
      <c r="G448" s="502">
        <v>650</v>
      </c>
      <c r="H448" s="501">
        <f t="shared" si="21"/>
        <v>1125</v>
      </c>
      <c r="I448" s="501">
        <v>30</v>
      </c>
      <c r="J448" s="501">
        <f t="shared" si="22"/>
        <v>1155</v>
      </c>
      <c r="K448" s="503">
        <f t="shared" si="23"/>
        <v>19.25</v>
      </c>
      <c r="L448" s="501" t="s">
        <v>1531</v>
      </c>
    </row>
    <row r="449" spans="1:12" x14ac:dyDescent="0.25">
      <c r="A449" s="501" t="s">
        <v>1538</v>
      </c>
      <c r="B449" s="501" t="s">
        <v>1539</v>
      </c>
      <c r="C449" s="502" t="s">
        <v>1409</v>
      </c>
      <c r="D449" s="502">
        <v>600</v>
      </c>
      <c r="E449" s="504">
        <v>240</v>
      </c>
      <c r="F449" s="504">
        <v>355</v>
      </c>
      <c r="G449" s="504">
        <v>650</v>
      </c>
      <c r="H449" s="505">
        <f t="shared" si="21"/>
        <v>1245</v>
      </c>
      <c r="I449" s="505">
        <v>30</v>
      </c>
      <c r="J449" s="505">
        <f t="shared" si="22"/>
        <v>1275</v>
      </c>
      <c r="K449" s="503">
        <f t="shared" si="23"/>
        <v>21.25</v>
      </c>
      <c r="L449" s="505" t="s">
        <v>1533</v>
      </c>
    </row>
    <row r="450" spans="1:12" x14ac:dyDescent="0.25">
      <c r="A450" s="501" t="s">
        <v>1538</v>
      </c>
      <c r="B450" s="501" t="s">
        <v>1539</v>
      </c>
      <c r="C450" s="502" t="s">
        <v>1409</v>
      </c>
      <c r="D450" s="502">
        <v>800</v>
      </c>
      <c r="E450" s="504">
        <v>267</v>
      </c>
      <c r="F450" s="504">
        <v>408</v>
      </c>
      <c r="G450" s="504">
        <v>650</v>
      </c>
      <c r="H450" s="505">
        <f t="shared" si="21"/>
        <v>1325</v>
      </c>
      <c r="I450" s="505">
        <v>30</v>
      </c>
      <c r="J450" s="505">
        <f t="shared" si="22"/>
        <v>1355</v>
      </c>
      <c r="K450" s="503">
        <f t="shared" si="23"/>
        <v>22.583333333333332</v>
      </c>
      <c r="L450" s="505" t="s">
        <v>1533</v>
      </c>
    </row>
    <row r="451" spans="1:12" x14ac:dyDescent="0.25">
      <c r="A451" s="501" t="s">
        <v>1538</v>
      </c>
      <c r="B451" s="501" t="s">
        <v>1539</v>
      </c>
      <c r="C451" s="502" t="s">
        <v>1409</v>
      </c>
      <c r="D451" s="502">
        <v>900</v>
      </c>
      <c r="E451" s="504">
        <v>280</v>
      </c>
      <c r="F451" s="504">
        <v>435</v>
      </c>
      <c r="G451" s="504">
        <v>650</v>
      </c>
      <c r="H451" s="505">
        <f t="shared" si="21"/>
        <v>1365</v>
      </c>
      <c r="I451" s="505">
        <v>30</v>
      </c>
      <c r="J451" s="505">
        <f t="shared" si="22"/>
        <v>1395</v>
      </c>
      <c r="K451" s="503">
        <f t="shared" si="23"/>
        <v>23.25</v>
      </c>
      <c r="L451" s="505" t="s">
        <v>1533</v>
      </c>
    </row>
    <row r="452" spans="1:12" x14ac:dyDescent="0.25">
      <c r="A452" s="501" t="s">
        <v>1538</v>
      </c>
      <c r="B452" s="501" t="s">
        <v>1539</v>
      </c>
      <c r="C452" s="502" t="s">
        <v>1409</v>
      </c>
      <c r="D452" s="502">
        <v>1500</v>
      </c>
      <c r="E452" s="504">
        <v>360</v>
      </c>
      <c r="F452" s="504">
        <v>595</v>
      </c>
      <c r="G452" s="504">
        <v>650</v>
      </c>
      <c r="H452" s="505">
        <f t="shared" si="21"/>
        <v>1605</v>
      </c>
      <c r="I452" s="505">
        <v>30</v>
      </c>
      <c r="J452" s="505">
        <f t="shared" si="22"/>
        <v>1635</v>
      </c>
      <c r="K452" s="503">
        <f t="shared" si="23"/>
        <v>27.25</v>
      </c>
      <c r="L452" s="505" t="s">
        <v>1533</v>
      </c>
    </row>
    <row r="453" spans="1:12" ht="13" x14ac:dyDescent="0.3">
      <c r="A453" s="506" t="s">
        <v>1541</v>
      </c>
      <c r="B453" s="506" t="s">
        <v>1542</v>
      </c>
      <c r="C453" s="507" t="s">
        <v>1403</v>
      </c>
      <c r="D453" s="507">
        <v>150</v>
      </c>
      <c r="E453" s="507">
        <v>11</v>
      </c>
      <c r="F453" s="507">
        <v>11</v>
      </c>
      <c r="G453" s="507">
        <v>26</v>
      </c>
      <c r="H453" s="506">
        <f t="shared" si="21"/>
        <v>48</v>
      </c>
      <c r="I453" s="506">
        <v>15</v>
      </c>
      <c r="J453" s="506">
        <f t="shared" si="22"/>
        <v>63</v>
      </c>
      <c r="K453" s="508">
        <f t="shared" si="23"/>
        <v>1.05</v>
      </c>
      <c r="L453" s="509" t="s">
        <v>1543</v>
      </c>
    </row>
    <row r="454" spans="1:12" ht="13" x14ac:dyDescent="0.3">
      <c r="A454" s="506" t="s">
        <v>1541</v>
      </c>
      <c r="B454" s="506" t="s">
        <v>1542</v>
      </c>
      <c r="C454" s="507" t="s">
        <v>1403</v>
      </c>
      <c r="D454" s="507">
        <v>300</v>
      </c>
      <c r="E454" s="507">
        <v>11</v>
      </c>
      <c r="F454" s="507">
        <v>15</v>
      </c>
      <c r="G454" s="507">
        <v>26</v>
      </c>
      <c r="H454" s="506">
        <f t="shared" si="21"/>
        <v>52</v>
      </c>
      <c r="I454" s="506">
        <v>15</v>
      </c>
      <c r="J454" s="506">
        <f t="shared" si="22"/>
        <v>67</v>
      </c>
      <c r="K454" s="508">
        <f t="shared" si="23"/>
        <v>1.1166666666666667</v>
      </c>
      <c r="L454" s="509" t="s">
        <v>1543</v>
      </c>
    </row>
    <row r="455" spans="1:12" ht="13" x14ac:dyDescent="0.3">
      <c r="A455" s="506" t="s">
        <v>1541</v>
      </c>
      <c r="B455" s="506" t="s">
        <v>1542</v>
      </c>
      <c r="C455" s="507" t="s">
        <v>1403</v>
      </c>
      <c r="D455" s="507">
        <v>600</v>
      </c>
      <c r="E455" s="507">
        <v>11</v>
      </c>
      <c r="F455" s="507">
        <v>13</v>
      </c>
      <c r="G455" s="507">
        <v>26</v>
      </c>
      <c r="H455" s="506">
        <f t="shared" si="21"/>
        <v>50</v>
      </c>
      <c r="I455" s="506">
        <v>15</v>
      </c>
      <c r="J455" s="506">
        <f t="shared" si="22"/>
        <v>65</v>
      </c>
      <c r="K455" s="508">
        <f t="shared" si="23"/>
        <v>1.0833333333333333</v>
      </c>
      <c r="L455" s="509" t="s">
        <v>1543</v>
      </c>
    </row>
    <row r="456" spans="1:12" ht="13" x14ac:dyDescent="0.3">
      <c r="A456" s="506" t="s">
        <v>1541</v>
      </c>
      <c r="B456" s="506" t="s">
        <v>1542</v>
      </c>
      <c r="C456" s="507" t="s">
        <v>1403</v>
      </c>
      <c r="D456" s="507">
        <v>800</v>
      </c>
      <c r="E456" s="507">
        <v>11</v>
      </c>
      <c r="F456" s="507">
        <v>11</v>
      </c>
      <c r="G456" s="507">
        <v>26</v>
      </c>
      <c r="H456" s="506">
        <f t="shared" si="21"/>
        <v>48</v>
      </c>
      <c r="I456" s="506">
        <v>15</v>
      </c>
      <c r="J456" s="506">
        <f t="shared" si="22"/>
        <v>63</v>
      </c>
      <c r="K456" s="508">
        <f t="shared" si="23"/>
        <v>1.05</v>
      </c>
      <c r="L456" s="509" t="s">
        <v>1543</v>
      </c>
    </row>
    <row r="457" spans="1:12" ht="13" x14ac:dyDescent="0.3">
      <c r="A457" s="506" t="s">
        <v>1541</v>
      </c>
      <c r="B457" s="506" t="s">
        <v>1542</v>
      </c>
      <c r="C457" s="507" t="s">
        <v>1403</v>
      </c>
      <c r="D457" s="507">
        <v>900</v>
      </c>
      <c r="E457" s="507">
        <v>11</v>
      </c>
      <c r="F457" s="507">
        <v>12</v>
      </c>
      <c r="G457" s="507">
        <v>26</v>
      </c>
      <c r="H457" s="506">
        <f t="shared" si="21"/>
        <v>49</v>
      </c>
      <c r="I457" s="506">
        <v>15</v>
      </c>
      <c r="J457" s="506">
        <f t="shared" si="22"/>
        <v>64</v>
      </c>
      <c r="K457" s="508">
        <f t="shared" si="23"/>
        <v>1.0666666666666667</v>
      </c>
      <c r="L457" s="509" t="s">
        <v>1543</v>
      </c>
    </row>
    <row r="458" spans="1:12" ht="13" x14ac:dyDescent="0.3">
      <c r="A458" s="506" t="s">
        <v>1541</v>
      </c>
      <c r="B458" s="506" t="s">
        <v>1542</v>
      </c>
      <c r="C458" s="507" t="s">
        <v>1403</v>
      </c>
      <c r="D458" s="507">
        <v>1500</v>
      </c>
      <c r="E458" s="507">
        <v>11</v>
      </c>
      <c r="F458" s="507">
        <v>15</v>
      </c>
      <c r="G458" s="507">
        <v>26</v>
      </c>
      <c r="H458" s="506">
        <f t="shared" si="21"/>
        <v>52</v>
      </c>
      <c r="I458" s="506">
        <v>15</v>
      </c>
      <c r="J458" s="506">
        <f t="shared" si="22"/>
        <v>67</v>
      </c>
      <c r="K458" s="508">
        <f t="shared" si="23"/>
        <v>1.1166666666666667</v>
      </c>
      <c r="L458" s="509" t="s">
        <v>1543</v>
      </c>
    </row>
    <row r="459" spans="1:12" ht="13" x14ac:dyDescent="0.3">
      <c r="A459" s="506" t="s">
        <v>1541</v>
      </c>
      <c r="B459" s="506" t="s">
        <v>1542</v>
      </c>
      <c r="C459" s="507" t="s">
        <v>1404</v>
      </c>
      <c r="D459" s="507">
        <v>150</v>
      </c>
      <c r="E459" s="507">
        <v>15</v>
      </c>
      <c r="F459" s="507">
        <v>11</v>
      </c>
      <c r="G459" s="507">
        <v>26</v>
      </c>
      <c r="H459" s="506">
        <f t="shared" si="21"/>
        <v>52</v>
      </c>
      <c r="I459" s="506">
        <v>15</v>
      </c>
      <c r="J459" s="506">
        <f t="shared" si="22"/>
        <v>67</v>
      </c>
      <c r="K459" s="508">
        <f t="shared" si="23"/>
        <v>1.1166666666666667</v>
      </c>
      <c r="L459" s="509" t="s">
        <v>1543</v>
      </c>
    </row>
    <row r="460" spans="1:12" ht="13" x14ac:dyDescent="0.3">
      <c r="A460" s="506" t="s">
        <v>1541</v>
      </c>
      <c r="B460" s="506" t="s">
        <v>1542</v>
      </c>
      <c r="C460" s="507" t="s">
        <v>1404</v>
      </c>
      <c r="D460" s="507">
        <v>300</v>
      </c>
      <c r="E460" s="507">
        <v>15</v>
      </c>
      <c r="F460" s="507">
        <v>19</v>
      </c>
      <c r="G460" s="507">
        <v>26</v>
      </c>
      <c r="H460" s="506">
        <f t="shared" si="21"/>
        <v>60</v>
      </c>
      <c r="I460" s="506">
        <v>15</v>
      </c>
      <c r="J460" s="506">
        <f t="shared" si="22"/>
        <v>75</v>
      </c>
      <c r="K460" s="508">
        <f t="shared" si="23"/>
        <v>1.25</v>
      </c>
      <c r="L460" s="509" t="s">
        <v>1543</v>
      </c>
    </row>
    <row r="461" spans="1:12" ht="13" x14ac:dyDescent="0.3">
      <c r="A461" s="506" t="s">
        <v>1541</v>
      </c>
      <c r="B461" s="506" t="s">
        <v>1542</v>
      </c>
      <c r="C461" s="507" t="s">
        <v>1404</v>
      </c>
      <c r="D461" s="507">
        <v>600</v>
      </c>
      <c r="E461" s="507">
        <v>15</v>
      </c>
      <c r="F461" s="507">
        <v>14</v>
      </c>
      <c r="G461" s="507">
        <v>26</v>
      </c>
      <c r="H461" s="506">
        <f t="shared" si="21"/>
        <v>55</v>
      </c>
      <c r="I461" s="506">
        <v>15</v>
      </c>
      <c r="J461" s="506">
        <f t="shared" si="22"/>
        <v>70</v>
      </c>
      <c r="K461" s="508">
        <f t="shared" si="23"/>
        <v>1.1666666666666667</v>
      </c>
      <c r="L461" s="509" t="s">
        <v>1543</v>
      </c>
    </row>
    <row r="462" spans="1:12" ht="13" x14ac:dyDescent="0.3">
      <c r="A462" s="506" t="s">
        <v>1541</v>
      </c>
      <c r="B462" s="506" t="s">
        <v>1542</v>
      </c>
      <c r="C462" s="507" t="s">
        <v>1404</v>
      </c>
      <c r="D462" s="507">
        <v>800</v>
      </c>
      <c r="E462" s="507">
        <v>15</v>
      </c>
      <c r="F462" s="507">
        <v>11</v>
      </c>
      <c r="G462" s="507">
        <v>26</v>
      </c>
      <c r="H462" s="506">
        <f t="shared" si="21"/>
        <v>52</v>
      </c>
      <c r="I462" s="506">
        <v>15</v>
      </c>
      <c r="J462" s="506">
        <f t="shared" si="22"/>
        <v>67</v>
      </c>
      <c r="K462" s="508">
        <f t="shared" si="23"/>
        <v>1.1166666666666667</v>
      </c>
      <c r="L462" s="509" t="s">
        <v>1543</v>
      </c>
    </row>
    <row r="463" spans="1:12" ht="13" x14ac:dyDescent="0.3">
      <c r="A463" s="506" t="s">
        <v>1541</v>
      </c>
      <c r="B463" s="506" t="s">
        <v>1542</v>
      </c>
      <c r="C463" s="507" t="s">
        <v>1404</v>
      </c>
      <c r="D463" s="507">
        <v>900</v>
      </c>
      <c r="E463" s="507">
        <v>15</v>
      </c>
      <c r="F463" s="507">
        <v>12</v>
      </c>
      <c r="G463" s="507">
        <v>26</v>
      </c>
      <c r="H463" s="506">
        <f t="shared" ref="H463:H526" si="24">E463+F463+G463</f>
        <v>53</v>
      </c>
      <c r="I463" s="506">
        <v>15</v>
      </c>
      <c r="J463" s="506">
        <f t="shared" ref="J463:J526" si="25">H463+I463</f>
        <v>68</v>
      </c>
      <c r="K463" s="508">
        <f t="shared" ref="K463:K526" si="26">J463/60</f>
        <v>1.1333333333333333</v>
      </c>
      <c r="L463" s="509" t="s">
        <v>1543</v>
      </c>
    </row>
    <row r="464" spans="1:12" ht="13" x14ac:dyDescent="0.3">
      <c r="A464" s="506" t="s">
        <v>1541</v>
      </c>
      <c r="B464" s="506" t="s">
        <v>1542</v>
      </c>
      <c r="C464" s="507" t="s">
        <v>1404</v>
      </c>
      <c r="D464" s="507">
        <v>1500</v>
      </c>
      <c r="E464" s="507">
        <v>15</v>
      </c>
      <c r="F464" s="507">
        <v>19</v>
      </c>
      <c r="G464" s="507">
        <v>26</v>
      </c>
      <c r="H464" s="506">
        <f t="shared" si="24"/>
        <v>60</v>
      </c>
      <c r="I464" s="506">
        <v>15</v>
      </c>
      <c r="J464" s="506">
        <f t="shared" si="25"/>
        <v>75</v>
      </c>
      <c r="K464" s="508">
        <f t="shared" si="26"/>
        <v>1.25</v>
      </c>
      <c r="L464" s="509" t="s">
        <v>1543</v>
      </c>
    </row>
    <row r="465" spans="1:12" ht="13" x14ac:dyDescent="0.3">
      <c r="A465" s="506" t="s">
        <v>1541</v>
      </c>
      <c r="B465" s="506" t="s">
        <v>1542</v>
      </c>
      <c r="C465" s="507" t="s">
        <v>86</v>
      </c>
      <c r="D465" s="507">
        <v>150</v>
      </c>
      <c r="E465" s="507">
        <v>19</v>
      </c>
      <c r="F465" s="507">
        <v>19</v>
      </c>
      <c r="G465" s="507">
        <v>38</v>
      </c>
      <c r="H465" s="506">
        <f t="shared" si="24"/>
        <v>76</v>
      </c>
      <c r="I465" s="506">
        <v>15</v>
      </c>
      <c r="J465" s="506">
        <f t="shared" si="25"/>
        <v>91</v>
      </c>
      <c r="K465" s="508">
        <f t="shared" si="26"/>
        <v>1.5166666666666666</v>
      </c>
      <c r="L465" s="509" t="s">
        <v>1543</v>
      </c>
    </row>
    <row r="466" spans="1:12" ht="13" x14ac:dyDescent="0.3">
      <c r="A466" s="506" t="s">
        <v>1541</v>
      </c>
      <c r="B466" s="506" t="s">
        <v>1542</v>
      </c>
      <c r="C466" s="507" t="s">
        <v>86</v>
      </c>
      <c r="D466" s="507">
        <v>300</v>
      </c>
      <c r="E466" s="507">
        <v>19</v>
      </c>
      <c r="F466" s="507">
        <v>22</v>
      </c>
      <c r="G466" s="507">
        <v>38</v>
      </c>
      <c r="H466" s="506">
        <f t="shared" si="24"/>
        <v>79</v>
      </c>
      <c r="I466" s="506">
        <v>15</v>
      </c>
      <c r="J466" s="506">
        <f t="shared" si="25"/>
        <v>94</v>
      </c>
      <c r="K466" s="508">
        <f t="shared" si="26"/>
        <v>1.5666666666666667</v>
      </c>
      <c r="L466" s="509" t="s">
        <v>1543</v>
      </c>
    </row>
    <row r="467" spans="1:12" ht="13" x14ac:dyDescent="0.3">
      <c r="A467" s="506" t="s">
        <v>1541</v>
      </c>
      <c r="B467" s="506" t="s">
        <v>1542</v>
      </c>
      <c r="C467" s="507" t="s">
        <v>86</v>
      </c>
      <c r="D467" s="507">
        <v>600</v>
      </c>
      <c r="E467" s="507">
        <v>19</v>
      </c>
      <c r="F467" s="507">
        <v>20</v>
      </c>
      <c r="G467" s="507">
        <v>38</v>
      </c>
      <c r="H467" s="506">
        <f t="shared" si="24"/>
        <v>77</v>
      </c>
      <c r="I467" s="506">
        <v>15</v>
      </c>
      <c r="J467" s="506">
        <f t="shared" si="25"/>
        <v>92</v>
      </c>
      <c r="K467" s="508">
        <f t="shared" si="26"/>
        <v>1.5333333333333334</v>
      </c>
      <c r="L467" s="509" t="s">
        <v>1543</v>
      </c>
    </row>
    <row r="468" spans="1:12" ht="13" x14ac:dyDescent="0.3">
      <c r="A468" s="506" t="s">
        <v>1541</v>
      </c>
      <c r="B468" s="506" t="s">
        <v>1542</v>
      </c>
      <c r="C468" s="507" t="s">
        <v>86</v>
      </c>
      <c r="D468" s="507">
        <v>800</v>
      </c>
      <c r="E468" s="507">
        <v>19</v>
      </c>
      <c r="F468" s="507">
        <v>19</v>
      </c>
      <c r="G468" s="507">
        <v>38</v>
      </c>
      <c r="H468" s="506">
        <f t="shared" si="24"/>
        <v>76</v>
      </c>
      <c r="I468" s="506">
        <v>15</v>
      </c>
      <c r="J468" s="506">
        <f t="shared" si="25"/>
        <v>91</v>
      </c>
      <c r="K468" s="508">
        <f t="shared" si="26"/>
        <v>1.5166666666666666</v>
      </c>
      <c r="L468" s="509" t="s">
        <v>1543</v>
      </c>
    </row>
    <row r="469" spans="1:12" ht="13" x14ac:dyDescent="0.3">
      <c r="A469" s="506" t="s">
        <v>1541</v>
      </c>
      <c r="B469" s="506" t="s">
        <v>1542</v>
      </c>
      <c r="C469" s="507" t="s">
        <v>86</v>
      </c>
      <c r="D469" s="507">
        <v>900</v>
      </c>
      <c r="E469" s="507">
        <v>20</v>
      </c>
      <c r="F469" s="507">
        <v>20</v>
      </c>
      <c r="G469" s="507">
        <v>38</v>
      </c>
      <c r="H469" s="506">
        <f t="shared" si="24"/>
        <v>78</v>
      </c>
      <c r="I469" s="506">
        <v>15</v>
      </c>
      <c r="J469" s="506">
        <f t="shared" si="25"/>
        <v>93</v>
      </c>
      <c r="K469" s="508">
        <f t="shared" si="26"/>
        <v>1.55</v>
      </c>
      <c r="L469" s="509" t="s">
        <v>1543</v>
      </c>
    </row>
    <row r="470" spans="1:12" ht="13" x14ac:dyDescent="0.3">
      <c r="A470" s="506" t="s">
        <v>1541</v>
      </c>
      <c r="B470" s="506" t="s">
        <v>1542</v>
      </c>
      <c r="C470" s="507" t="s">
        <v>86</v>
      </c>
      <c r="D470" s="507">
        <v>1500</v>
      </c>
      <c r="E470" s="507">
        <v>22</v>
      </c>
      <c r="F470" s="507">
        <v>22</v>
      </c>
      <c r="G470" s="507">
        <v>38</v>
      </c>
      <c r="H470" s="506">
        <f t="shared" si="24"/>
        <v>82</v>
      </c>
      <c r="I470" s="506">
        <v>15</v>
      </c>
      <c r="J470" s="506">
        <f t="shared" si="25"/>
        <v>97</v>
      </c>
      <c r="K470" s="508">
        <f t="shared" si="26"/>
        <v>1.6166666666666667</v>
      </c>
      <c r="L470" s="509" t="s">
        <v>1543</v>
      </c>
    </row>
    <row r="471" spans="1:12" ht="13" x14ac:dyDescent="0.3">
      <c r="A471" s="506" t="s">
        <v>1541</v>
      </c>
      <c r="B471" s="506" t="s">
        <v>1542</v>
      </c>
      <c r="C471" s="507" t="s">
        <v>1405</v>
      </c>
      <c r="D471" s="507">
        <v>150</v>
      </c>
      <c r="E471" s="507">
        <v>19</v>
      </c>
      <c r="F471" s="507">
        <v>19</v>
      </c>
      <c r="G471" s="507">
        <v>38</v>
      </c>
      <c r="H471" s="506">
        <f t="shared" si="24"/>
        <v>76</v>
      </c>
      <c r="I471" s="506">
        <v>20</v>
      </c>
      <c r="J471" s="506">
        <f t="shared" si="25"/>
        <v>96</v>
      </c>
      <c r="K471" s="508">
        <f t="shared" si="26"/>
        <v>1.6</v>
      </c>
      <c r="L471" s="509" t="s">
        <v>1543</v>
      </c>
    </row>
    <row r="472" spans="1:12" ht="13" x14ac:dyDescent="0.3">
      <c r="A472" s="506" t="s">
        <v>1541</v>
      </c>
      <c r="B472" s="506" t="s">
        <v>1542</v>
      </c>
      <c r="C472" s="507" t="s">
        <v>1405</v>
      </c>
      <c r="D472" s="507">
        <v>300</v>
      </c>
      <c r="E472" s="507">
        <v>19</v>
      </c>
      <c r="F472" s="507">
        <v>22</v>
      </c>
      <c r="G472" s="507">
        <v>38</v>
      </c>
      <c r="H472" s="506">
        <f t="shared" si="24"/>
        <v>79</v>
      </c>
      <c r="I472" s="506">
        <v>20</v>
      </c>
      <c r="J472" s="506">
        <f t="shared" si="25"/>
        <v>99</v>
      </c>
      <c r="K472" s="508">
        <f t="shared" si="26"/>
        <v>1.65</v>
      </c>
      <c r="L472" s="509" t="s">
        <v>1543</v>
      </c>
    </row>
    <row r="473" spans="1:12" ht="13" x14ac:dyDescent="0.3">
      <c r="A473" s="506" t="s">
        <v>1541</v>
      </c>
      <c r="B473" s="506" t="s">
        <v>1542</v>
      </c>
      <c r="C473" s="507" t="s">
        <v>1405</v>
      </c>
      <c r="D473" s="507">
        <v>600</v>
      </c>
      <c r="E473" s="507">
        <v>19</v>
      </c>
      <c r="F473" s="507">
        <v>20</v>
      </c>
      <c r="G473" s="507">
        <v>38</v>
      </c>
      <c r="H473" s="506">
        <f t="shared" si="24"/>
        <v>77</v>
      </c>
      <c r="I473" s="506">
        <v>20</v>
      </c>
      <c r="J473" s="506">
        <f t="shared" si="25"/>
        <v>97</v>
      </c>
      <c r="K473" s="508">
        <f t="shared" si="26"/>
        <v>1.6166666666666667</v>
      </c>
      <c r="L473" s="509" t="s">
        <v>1543</v>
      </c>
    </row>
    <row r="474" spans="1:12" ht="13" x14ac:dyDescent="0.3">
      <c r="A474" s="506" t="s">
        <v>1541</v>
      </c>
      <c r="B474" s="506" t="s">
        <v>1542</v>
      </c>
      <c r="C474" s="507" t="s">
        <v>1405</v>
      </c>
      <c r="D474" s="507">
        <v>800</v>
      </c>
      <c r="E474" s="507">
        <v>19</v>
      </c>
      <c r="F474" s="507">
        <v>19</v>
      </c>
      <c r="G474" s="507">
        <v>38</v>
      </c>
      <c r="H474" s="506">
        <f t="shared" si="24"/>
        <v>76</v>
      </c>
      <c r="I474" s="506">
        <v>20</v>
      </c>
      <c r="J474" s="506">
        <f t="shared" si="25"/>
        <v>96</v>
      </c>
      <c r="K474" s="508">
        <f t="shared" si="26"/>
        <v>1.6</v>
      </c>
      <c r="L474" s="509" t="s">
        <v>1543</v>
      </c>
    </row>
    <row r="475" spans="1:12" ht="13" x14ac:dyDescent="0.3">
      <c r="A475" s="506" t="s">
        <v>1541</v>
      </c>
      <c r="B475" s="506" t="s">
        <v>1542</v>
      </c>
      <c r="C475" s="507" t="s">
        <v>1405</v>
      </c>
      <c r="D475" s="507">
        <v>900</v>
      </c>
      <c r="E475" s="507">
        <v>20</v>
      </c>
      <c r="F475" s="507">
        <v>20</v>
      </c>
      <c r="G475" s="507">
        <v>38</v>
      </c>
      <c r="H475" s="506">
        <f t="shared" si="24"/>
        <v>78</v>
      </c>
      <c r="I475" s="506">
        <v>20</v>
      </c>
      <c r="J475" s="506">
        <f t="shared" si="25"/>
        <v>98</v>
      </c>
      <c r="K475" s="508">
        <f t="shared" si="26"/>
        <v>1.6333333333333333</v>
      </c>
      <c r="L475" s="509" t="s">
        <v>1543</v>
      </c>
    </row>
    <row r="476" spans="1:12" ht="13" x14ac:dyDescent="0.3">
      <c r="A476" s="506" t="s">
        <v>1541</v>
      </c>
      <c r="B476" s="506" t="s">
        <v>1542</v>
      </c>
      <c r="C476" s="507" t="s">
        <v>1405</v>
      </c>
      <c r="D476" s="507">
        <v>1500</v>
      </c>
      <c r="E476" s="507">
        <v>22</v>
      </c>
      <c r="F476" s="507">
        <v>22</v>
      </c>
      <c r="G476" s="507">
        <v>38</v>
      </c>
      <c r="H476" s="506">
        <f t="shared" si="24"/>
        <v>82</v>
      </c>
      <c r="I476" s="506">
        <v>20</v>
      </c>
      <c r="J476" s="506">
        <f t="shared" si="25"/>
        <v>102</v>
      </c>
      <c r="K476" s="508">
        <f t="shared" si="26"/>
        <v>1.7</v>
      </c>
      <c r="L476" s="509" t="s">
        <v>1543</v>
      </c>
    </row>
    <row r="477" spans="1:12" ht="13" x14ac:dyDescent="0.3">
      <c r="A477" s="506" t="s">
        <v>1541</v>
      </c>
      <c r="B477" s="506" t="s">
        <v>1542</v>
      </c>
      <c r="C477" s="507" t="s">
        <v>84</v>
      </c>
      <c r="D477" s="507">
        <v>150</v>
      </c>
      <c r="E477" s="507">
        <v>22</v>
      </c>
      <c r="F477" s="507">
        <v>22</v>
      </c>
      <c r="G477" s="507">
        <v>38</v>
      </c>
      <c r="H477" s="506">
        <f t="shared" si="24"/>
        <v>82</v>
      </c>
      <c r="I477" s="506">
        <v>20</v>
      </c>
      <c r="J477" s="506">
        <f t="shared" si="25"/>
        <v>102</v>
      </c>
      <c r="K477" s="508">
        <f t="shared" si="26"/>
        <v>1.7</v>
      </c>
      <c r="L477" s="509" t="s">
        <v>1543</v>
      </c>
    </row>
    <row r="478" spans="1:12" ht="13" x14ac:dyDescent="0.3">
      <c r="A478" s="506" t="s">
        <v>1541</v>
      </c>
      <c r="B478" s="506" t="s">
        <v>1542</v>
      </c>
      <c r="C478" s="507" t="s">
        <v>84</v>
      </c>
      <c r="D478" s="507">
        <v>300</v>
      </c>
      <c r="E478" s="507">
        <v>22</v>
      </c>
      <c r="F478" s="507">
        <v>30</v>
      </c>
      <c r="G478" s="507">
        <v>38</v>
      </c>
      <c r="H478" s="506">
        <f t="shared" si="24"/>
        <v>90</v>
      </c>
      <c r="I478" s="506">
        <v>20</v>
      </c>
      <c r="J478" s="506">
        <f t="shared" si="25"/>
        <v>110</v>
      </c>
      <c r="K478" s="508">
        <f t="shared" si="26"/>
        <v>1.8333333333333333</v>
      </c>
      <c r="L478" s="509" t="s">
        <v>1543</v>
      </c>
    </row>
    <row r="479" spans="1:12" ht="13" x14ac:dyDescent="0.3">
      <c r="A479" s="506" t="s">
        <v>1541</v>
      </c>
      <c r="B479" s="506" t="s">
        <v>1542</v>
      </c>
      <c r="C479" s="507" t="s">
        <v>84</v>
      </c>
      <c r="D479" s="507">
        <v>600</v>
      </c>
      <c r="E479" s="507">
        <v>22</v>
      </c>
      <c r="F479" s="507">
        <v>45</v>
      </c>
      <c r="G479" s="507">
        <v>38</v>
      </c>
      <c r="H479" s="506">
        <f t="shared" si="24"/>
        <v>105</v>
      </c>
      <c r="I479" s="506">
        <v>20</v>
      </c>
      <c r="J479" s="506">
        <f t="shared" si="25"/>
        <v>125</v>
      </c>
      <c r="K479" s="508">
        <f t="shared" si="26"/>
        <v>2.0833333333333335</v>
      </c>
      <c r="L479" s="509" t="s">
        <v>1543</v>
      </c>
    </row>
    <row r="480" spans="1:12" ht="13" x14ac:dyDescent="0.3">
      <c r="A480" s="506" t="s">
        <v>1541</v>
      </c>
      <c r="B480" s="506" t="s">
        <v>1542</v>
      </c>
      <c r="C480" s="507" t="s">
        <v>84</v>
      </c>
      <c r="D480" s="507">
        <v>800</v>
      </c>
      <c r="E480" s="507">
        <v>22</v>
      </c>
      <c r="F480" s="507">
        <v>55</v>
      </c>
      <c r="G480" s="507">
        <v>38</v>
      </c>
      <c r="H480" s="506">
        <f t="shared" si="24"/>
        <v>115</v>
      </c>
      <c r="I480" s="506">
        <v>20</v>
      </c>
      <c r="J480" s="506">
        <f t="shared" si="25"/>
        <v>135</v>
      </c>
      <c r="K480" s="508">
        <f t="shared" si="26"/>
        <v>2.25</v>
      </c>
      <c r="L480" s="509" t="s">
        <v>1543</v>
      </c>
    </row>
    <row r="481" spans="1:12" ht="13" x14ac:dyDescent="0.3">
      <c r="A481" s="506" t="s">
        <v>1541</v>
      </c>
      <c r="B481" s="506" t="s">
        <v>1542</v>
      </c>
      <c r="C481" s="507" t="s">
        <v>84</v>
      </c>
      <c r="D481" s="507">
        <v>900</v>
      </c>
      <c r="E481" s="507">
        <v>22</v>
      </c>
      <c r="F481" s="507">
        <v>60</v>
      </c>
      <c r="G481" s="507">
        <v>38</v>
      </c>
      <c r="H481" s="506">
        <f t="shared" si="24"/>
        <v>120</v>
      </c>
      <c r="I481" s="506">
        <v>20</v>
      </c>
      <c r="J481" s="506">
        <f t="shared" si="25"/>
        <v>140</v>
      </c>
      <c r="K481" s="508">
        <f t="shared" si="26"/>
        <v>2.3333333333333335</v>
      </c>
      <c r="L481" s="509" t="s">
        <v>1543</v>
      </c>
    </row>
    <row r="482" spans="1:12" ht="13" x14ac:dyDescent="0.3">
      <c r="A482" s="506" t="s">
        <v>1541</v>
      </c>
      <c r="B482" s="506" t="s">
        <v>1542</v>
      </c>
      <c r="C482" s="507" t="s">
        <v>84</v>
      </c>
      <c r="D482" s="507">
        <v>1500</v>
      </c>
      <c r="E482" s="507">
        <v>22</v>
      </c>
      <c r="F482" s="507">
        <v>90</v>
      </c>
      <c r="G482" s="507">
        <v>38</v>
      </c>
      <c r="H482" s="506">
        <f t="shared" si="24"/>
        <v>150</v>
      </c>
      <c r="I482" s="506">
        <v>20</v>
      </c>
      <c r="J482" s="506">
        <f t="shared" si="25"/>
        <v>170</v>
      </c>
      <c r="K482" s="508">
        <f t="shared" si="26"/>
        <v>2.8333333333333335</v>
      </c>
      <c r="L482" s="509" t="s">
        <v>1543</v>
      </c>
    </row>
    <row r="483" spans="1:12" ht="13" x14ac:dyDescent="0.3">
      <c r="A483" s="506" t="s">
        <v>1541</v>
      </c>
      <c r="B483" s="506" t="s">
        <v>1542</v>
      </c>
      <c r="C483" s="507" t="s">
        <v>82</v>
      </c>
      <c r="D483" s="507">
        <v>150</v>
      </c>
      <c r="E483" s="507">
        <v>34</v>
      </c>
      <c r="F483" s="507">
        <v>30</v>
      </c>
      <c r="G483" s="507">
        <v>60</v>
      </c>
      <c r="H483" s="506">
        <f t="shared" si="24"/>
        <v>124</v>
      </c>
      <c r="I483" s="506">
        <v>20</v>
      </c>
      <c r="J483" s="506">
        <f t="shared" si="25"/>
        <v>144</v>
      </c>
      <c r="K483" s="508">
        <f t="shared" si="26"/>
        <v>2.4</v>
      </c>
      <c r="L483" s="509" t="s">
        <v>1543</v>
      </c>
    </row>
    <row r="484" spans="1:12" ht="13" x14ac:dyDescent="0.3">
      <c r="A484" s="506" t="s">
        <v>1541</v>
      </c>
      <c r="B484" s="506" t="s">
        <v>1542</v>
      </c>
      <c r="C484" s="507" t="s">
        <v>82</v>
      </c>
      <c r="D484" s="507">
        <v>300</v>
      </c>
      <c r="E484" s="507">
        <v>34</v>
      </c>
      <c r="F484" s="507">
        <v>41</v>
      </c>
      <c r="G484" s="507">
        <v>60</v>
      </c>
      <c r="H484" s="506">
        <f t="shared" si="24"/>
        <v>135</v>
      </c>
      <c r="I484" s="506">
        <v>20</v>
      </c>
      <c r="J484" s="506">
        <f t="shared" si="25"/>
        <v>155</v>
      </c>
      <c r="K484" s="508">
        <f t="shared" si="26"/>
        <v>2.5833333333333335</v>
      </c>
      <c r="L484" s="509" t="s">
        <v>1543</v>
      </c>
    </row>
    <row r="485" spans="1:12" ht="13" x14ac:dyDescent="0.3">
      <c r="A485" s="506" t="s">
        <v>1541</v>
      </c>
      <c r="B485" s="506" t="s">
        <v>1542</v>
      </c>
      <c r="C485" s="507" t="s">
        <v>82</v>
      </c>
      <c r="D485" s="507">
        <v>600</v>
      </c>
      <c r="E485" s="507">
        <v>34</v>
      </c>
      <c r="F485" s="507">
        <v>64</v>
      </c>
      <c r="G485" s="507">
        <v>60</v>
      </c>
      <c r="H485" s="506">
        <f t="shared" si="24"/>
        <v>158</v>
      </c>
      <c r="I485" s="506">
        <v>20</v>
      </c>
      <c r="J485" s="506">
        <f t="shared" si="25"/>
        <v>178</v>
      </c>
      <c r="K485" s="508">
        <f t="shared" si="26"/>
        <v>2.9666666666666668</v>
      </c>
      <c r="L485" s="509" t="s">
        <v>1543</v>
      </c>
    </row>
    <row r="486" spans="1:12" ht="13" x14ac:dyDescent="0.3">
      <c r="A486" s="506" t="s">
        <v>1541</v>
      </c>
      <c r="B486" s="506" t="s">
        <v>1542</v>
      </c>
      <c r="C486" s="507" t="s">
        <v>82</v>
      </c>
      <c r="D486" s="507">
        <v>800</v>
      </c>
      <c r="E486" s="507">
        <v>34</v>
      </c>
      <c r="F486" s="507">
        <v>79</v>
      </c>
      <c r="G486" s="507">
        <v>60</v>
      </c>
      <c r="H486" s="506">
        <f t="shared" si="24"/>
        <v>173</v>
      </c>
      <c r="I486" s="506">
        <v>20</v>
      </c>
      <c r="J486" s="506">
        <f t="shared" si="25"/>
        <v>193</v>
      </c>
      <c r="K486" s="508">
        <f t="shared" si="26"/>
        <v>3.2166666666666668</v>
      </c>
      <c r="L486" s="509" t="s">
        <v>1543</v>
      </c>
    </row>
    <row r="487" spans="1:12" ht="13" x14ac:dyDescent="0.3">
      <c r="A487" s="506" t="s">
        <v>1541</v>
      </c>
      <c r="B487" s="506" t="s">
        <v>1542</v>
      </c>
      <c r="C487" s="507" t="s">
        <v>82</v>
      </c>
      <c r="D487" s="507">
        <v>900</v>
      </c>
      <c r="E487" s="507">
        <v>34</v>
      </c>
      <c r="F487" s="507">
        <v>86</v>
      </c>
      <c r="G487" s="507">
        <v>60</v>
      </c>
      <c r="H487" s="506">
        <f t="shared" si="24"/>
        <v>180</v>
      </c>
      <c r="I487" s="506">
        <v>20</v>
      </c>
      <c r="J487" s="506">
        <f t="shared" si="25"/>
        <v>200</v>
      </c>
      <c r="K487" s="508">
        <f t="shared" si="26"/>
        <v>3.3333333333333335</v>
      </c>
      <c r="L487" s="509" t="s">
        <v>1543</v>
      </c>
    </row>
    <row r="488" spans="1:12" ht="13" x14ac:dyDescent="0.3">
      <c r="A488" s="506" t="s">
        <v>1541</v>
      </c>
      <c r="B488" s="506" t="s">
        <v>1542</v>
      </c>
      <c r="C488" s="507" t="s">
        <v>82</v>
      </c>
      <c r="D488" s="507">
        <v>1500</v>
      </c>
      <c r="E488" s="507">
        <v>34</v>
      </c>
      <c r="F488" s="507">
        <v>131</v>
      </c>
      <c r="G488" s="507">
        <v>60</v>
      </c>
      <c r="H488" s="506">
        <f t="shared" si="24"/>
        <v>225</v>
      </c>
      <c r="I488" s="506">
        <v>20</v>
      </c>
      <c r="J488" s="506">
        <f t="shared" si="25"/>
        <v>245</v>
      </c>
      <c r="K488" s="508">
        <f t="shared" si="26"/>
        <v>4.083333333333333</v>
      </c>
      <c r="L488" s="509" t="s">
        <v>1543</v>
      </c>
    </row>
    <row r="489" spans="1:12" ht="13" x14ac:dyDescent="0.3">
      <c r="A489" s="506" t="s">
        <v>1541</v>
      </c>
      <c r="B489" s="506" t="s">
        <v>1542</v>
      </c>
      <c r="C489" s="507" t="s">
        <v>120</v>
      </c>
      <c r="D489" s="507">
        <v>150</v>
      </c>
      <c r="E489" s="507">
        <v>41</v>
      </c>
      <c r="F489" s="507">
        <v>34</v>
      </c>
      <c r="G489" s="507">
        <v>75</v>
      </c>
      <c r="H489" s="506">
        <f t="shared" si="24"/>
        <v>150</v>
      </c>
      <c r="I489" s="506">
        <v>20</v>
      </c>
      <c r="J489" s="506">
        <f t="shared" si="25"/>
        <v>170</v>
      </c>
      <c r="K489" s="508">
        <f t="shared" si="26"/>
        <v>2.8333333333333335</v>
      </c>
      <c r="L489" s="509" t="s">
        <v>1543</v>
      </c>
    </row>
    <row r="490" spans="1:12" ht="13" x14ac:dyDescent="0.3">
      <c r="A490" s="506" t="s">
        <v>1541</v>
      </c>
      <c r="B490" s="506" t="s">
        <v>1542</v>
      </c>
      <c r="C490" s="507" t="s">
        <v>120</v>
      </c>
      <c r="D490" s="507">
        <v>300</v>
      </c>
      <c r="E490" s="507">
        <v>41</v>
      </c>
      <c r="F490" s="507">
        <v>52</v>
      </c>
      <c r="G490" s="507">
        <v>75</v>
      </c>
      <c r="H490" s="506">
        <f t="shared" si="24"/>
        <v>168</v>
      </c>
      <c r="I490" s="506">
        <v>20</v>
      </c>
      <c r="J490" s="506">
        <f t="shared" si="25"/>
        <v>188</v>
      </c>
      <c r="K490" s="508">
        <f t="shared" si="26"/>
        <v>3.1333333333333333</v>
      </c>
      <c r="L490" s="509" t="s">
        <v>1543</v>
      </c>
    </row>
    <row r="491" spans="1:12" ht="13" x14ac:dyDescent="0.3">
      <c r="A491" s="506" t="s">
        <v>1541</v>
      </c>
      <c r="B491" s="506" t="s">
        <v>1542</v>
      </c>
      <c r="C491" s="507" t="s">
        <v>120</v>
      </c>
      <c r="D491" s="507">
        <v>600</v>
      </c>
      <c r="E491" s="507">
        <v>41</v>
      </c>
      <c r="F491" s="507">
        <v>90</v>
      </c>
      <c r="G491" s="507">
        <v>75</v>
      </c>
      <c r="H491" s="506">
        <f t="shared" si="24"/>
        <v>206</v>
      </c>
      <c r="I491" s="506">
        <v>20</v>
      </c>
      <c r="J491" s="506">
        <f t="shared" si="25"/>
        <v>226</v>
      </c>
      <c r="K491" s="508">
        <f t="shared" si="26"/>
        <v>3.7666666666666666</v>
      </c>
      <c r="L491" s="509" t="s">
        <v>1543</v>
      </c>
    </row>
    <row r="492" spans="1:12" ht="13" x14ac:dyDescent="0.3">
      <c r="A492" s="506" t="s">
        <v>1541</v>
      </c>
      <c r="B492" s="506" t="s">
        <v>1542</v>
      </c>
      <c r="C492" s="507" t="s">
        <v>120</v>
      </c>
      <c r="D492" s="507">
        <v>800</v>
      </c>
      <c r="E492" s="507">
        <v>41</v>
      </c>
      <c r="F492" s="507">
        <v>115</v>
      </c>
      <c r="G492" s="507">
        <v>75</v>
      </c>
      <c r="H492" s="506">
        <f t="shared" si="24"/>
        <v>231</v>
      </c>
      <c r="I492" s="506">
        <v>20</v>
      </c>
      <c r="J492" s="506">
        <f t="shared" si="25"/>
        <v>251</v>
      </c>
      <c r="K492" s="508">
        <f t="shared" si="26"/>
        <v>4.1833333333333336</v>
      </c>
      <c r="L492" s="509" t="s">
        <v>1543</v>
      </c>
    </row>
    <row r="493" spans="1:12" ht="13" x14ac:dyDescent="0.3">
      <c r="A493" s="506" t="s">
        <v>1541</v>
      </c>
      <c r="B493" s="506" t="s">
        <v>1542</v>
      </c>
      <c r="C493" s="507" t="s">
        <v>120</v>
      </c>
      <c r="D493" s="507">
        <v>900</v>
      </c>
      <c r="E493" s="507">
        <v>41</v>
      </c>
      <c r="F493" s="507">
        <v>128</v>
      </c>
      <c r="G493" s="507">
        <v>75</v>
      </c>
      <c r="H493" s="506">
        <f t="shared" si="24"/>
        <v>244</v>
      </c>
      <c r="I493" s="506">
        <v>20</v>
      </c>
      <c r="J493" s="506">
        <f t="shared" si="25"/>
        <v>264</v>
      </c>
      <c r="K493" s="508">
        <f t="shared" si="26"/>
        <v>4.4000000000000004</v>
      </c>
      <c r="L493" s="509" t="s">
        <v>1543</v>
      </c>
    </row>
    <row r="494" spans="1:12" ht="13" x14ac:dyDescent="0.3">
      <c r="A494" s="506" t="s">
        <v>1541</v>
      </c>
      <c r="B494" s="506" t="s">
        <v>1542</v>
      </c>
      <c r="C494" s="507" t="s">
        <v>120</v>
      </c>
      <c r="D494" s="507">
        <v>1500</v>
      </c>
      <c r="E494" s="507">
        <v>41</v>
      </c>
      <c r="F494" s="507">
        <v>202</v>
      </c>
      <c r="G494" s="507">
        <v>75</v>
      </c>
      <c r="H494" s="506">
        <f t="shared" si="24"/>
        <v>318</v>
      </c>
      <c r="I494" s="506">
        <v>20</v>
      </c>
      <c r="J494" s="506">
        <f t="shared" si="25"/>
        <v>338</v>
      </c>
      <c r="K494" s="508">
        <f t="shared" si="26"/>
        <v>5.6333333333333337</v>
      </c>
      <c r="L494" s="509" t="s">
        <v>1543</v>
      </c>
    </row>
    <row r="495" spans="1:12" ht="13" x14ac:dyDescent="0.3">
      <c r="A495" s="506" t="s">
        <v>1541</v>
      </c>
      <c r="B495" s="506" t="s">
        <v>1542</v>
      </c>
      <c r="C495" s="507" t="s">
        <v>80</v>
      </c>
      <c r="D495" s="507">
        <v>150</v>
      </c>
      <c r="E495" s="507">
        <v>68</v>
      </c>
      <c r="F495" s="507">
        <v>38</v>
      </c>
      <c r="G495" s="507">
        <v>98</v>
      </c>
      <c r="H495" s="506">
        <f t="shared" si="24"/>
        <v>204</v>
      </c>
      <c r="I495" s="506">
        <v>20</v>
      </c>
      <c r="J495" s="506">
        <f t="shared" si="25"/>
        <v>224</v>
      </c>
      <c r="K495" s="508">
        <f t="shared" si="26"/>
        <v>3.7333333333333334</v>
      </c>
      <c r="L495" s="509" t="s">
        <v>1543</v>
      </c>
    </row>
    <row r="496" spans="1:12" ht="13" x14ac:dyDescent="0.3">
      <c r="A496" s="506" t="s">
        <v>1541</v>
      </c>
      <c r="B496" s="506" t="s">
        <v>1542</v>
      </c>
      <c r="C496" s="507" t="s">
        <v>80</v>
      </c>
      <c r="D496" s="507">
        <v>300</v>
      </c>
      <c r="E496" s="507">
        <v>86</v>
      </c>
      <c r="F496" s="507">
        <v>60</v>
      </c>
      <c r="G496" s="507">
        <v>98</v>
      </c>
      <c r="H496" s="506">
        <f t="shared" si="24"/>
        <v>244</v>
      </c>
      <c r="I496" s="506">
        <v>20</v>
      </c>
      <c r="J496" s="506">
        <f t="shared" si="25"/>
        <v>264</v>
      </c>
      <c r="K496" s="508">
        <f t="shared" si="26"/>
        <v>4.4000000000000004</v>
      </c>
      <c r="L496" s="509" t="s">
        <v>1543</v>
      </c>
    </row>
    <row r="497" spans="1:12" ht="13" x14ac:dyDescent="0.3">
      <c r="A497" s="506" t="s">
        <v>1541</v>
      </c>
      <c r="B497" s="506" t="s">
        <v>1542</v>
      </c>
      <c r="C497" s="507" t="s">
        <v>80</v>
      </c>
      <c r="D497" s="507">
        <v>600</v>
      </c>
      <c r="E497" s="507">
        <v>124</v>
      </c>
      <c r="F497" s="507">
        <v>105</v>
      </c>
      <c r="G497" s="507">
        <v>98</v>
      </c>
      <c r="H497" s="506">
        <f t="shared" si="24"/>
        <v>327</v>
      </c>
      <c r="I497" s="506">
        <v>20</v>
      </c>
      <c r="J497" s="506">
        <f t="shared" si="25"/>
        <v>347</v>
      </c>
      <c r="K497" s="508">
        <f t="shared" si="26"/>
        <v>5.7833333333333332</v>
      </c>
      <c r="L497" s="509" t="s">
        <v>1543</v>
      </c>
    </row>
    <row r="498" spans="1:12" ht="13" x14ac:dyDescent="0.3">
      <c r="A498" s="506" t="s">
        <v>1541</v>
      </c>
      <c r="B498" s="506" t="s">
        <v>1542</v>
      </c>
      <c r="C498" s="507" t="s">
        <v>80</v>
      </c>
      <c r="D498" s="507">
        <v>800</v>
      </c>
      <c r="E498" s="507">
        <v>148</v>
      </c>
      <c r="F498" s="507">
        <v>135</v>
      </c>
      <c r="G498" s="507">
        <v>98</v>
      </c>
      <c r="H498" s="506">
        <f t="shared" si="24"/>
        <v>381</v>
      </c>
      <c r="I498" s="506">
        <v>20</v>
      </c>
      <c r="J498" s="506">
        <f t="shared" si="25"/>
        <v>401</v>
      </c>
      <c r="K498" s="508">
        <f t="shared" si="26"/>
        <v>6.6833333333333336</v>
      </c>
      <c r="L498" s="509" t="s">
        <v>1543</v>
      </c>
    </row>
    <row r="499" spans="1:12" ht="13" x14ac:dyDescent="0.3">
      <c r="A499" s="506" t="s">
        <v>1541</v>
      </c>
      <c r="B499" s="506" t="s">
        <v>1542</v>
      </c>
      <c r="C499" s="507" t="s">
        <v>80</v>
      </c>
      <c r="D499" s="507">
        <v>900</v>
      </c>
      <c r="E499" s="507">
        <v>161</v>
      </c>
      <c r="F499" s="507">
        <v>150</v>
      </c>
      <c r="G499" s="507">
        <v>98</v>
      </c>
      <c r="H499" s="506">
        <f t="shared" si="24"/>
        <v>409</v>
      </c>
      <c r="I499" s="506">
        <v>20</v>
      </c>
      <c r="J499" s="506">
        <f t="shared" si="25"/>
        <v>429</v>
      </c>
      <c r="K499" s="508">
        <f t="shared" si="26"/>
        <v>7.15</v>
      </c>
      <c r="L499" s="509" t="s">
        <v>1543</v>
      </c>
    </row>
    <row r="500" spans="1:12" ht="13" x14ac:dyDescent="0.3">
      <c r="A500" s="506" t="s">
        <v>1541</v>
      </c>
      <c r="B500" s="506" t="s">
        <v>1542</v>
      </c>
      <c r="C500" s="507" t="s">
        <v>80</v>
      </c>
      <c r="D500" s="507">
        <v>1500</v>
      </c>
      <c r="E500" s="507">
        <v>236</v>
      </c>
      <c r="F500" s="507">
        <v>240</v>
      </c>
      <c r="G500" s="507">
        <v>98</v>
      </c>
      <c r="H500" s="506">
        <f t="shared" si="24"/>
        <v>574</v>
      </c>
      <c r="I500" s="506">
        <v>20</v>
      </c>
      <c r="J500" s="506">
        <f t="shared" si="25"/>
        <v>594</v>
      </c>
      <c r="K500" s="508">
        <f t="shared" si="26"/>
        <v>9.9</v>
      </c>
      <c r="L500" s="509" t="s">
        <v>1543</v>
      </c>
    </row>
    <row r="501" spans="1:12" ht="13" x14ac:dyDescent="0.3">
      <c r="A501" s="506" t="s">
        <v>1541</v>
      </c>
      <c r="B501" s="506" t="s">
        <v>1542</v>
      </c>
      <c r="C501" s="507" t="s">
        <v>119</v>
      </c>
      <c r="D501" s="507">
        <v>150</v>
      </c>
      <c r="E501" s="507">
        <v>86</v>
      </c>
      <c r="F501" s="507">
        <v>45</v>
      </c>
      <c r="G501" s="507">
        <v>112</v>
      </c>
      <c r="H501" s="506">
        <f t="shared" si="24"/>
        <v>243</v>
      </c>
      <c r="I501" s="506">
        <v>20</v>
      </c>
      <c r="J501" s="506">
        <f t="shared" si="25"/>
        <v>263</v>
      </c>
      <c r="K501" s="508">
        <f t="shared" si="26"/>
        <v>4.3833333333333337</v>
      </c>
      <c r="L501" s="509" t="s">
        <v>1543</v>
      </c>
    </row>
    <row r="502" spans="1:12" ht="13" x14ac:dyDescent="0.3">
      <c r="A502" s="506" t="s">
        <v>1541</v>
      </c>
      <c r="B502" s="506" t="s">
        <v>1542</v>
      </c>
      <c r="C502" s="507" t="s">
        <v>119</v>
      </c>
      <c r="D502" s="507">
        <v>300</v>
      </c>
      <c r="E502" s="507">
        <v>94</v>
      </c>
      <c r="F502" s="507">
        <v>71</v>
      </c>
      <c r="G502" s="507">
        <v>112</v>
      </c>
      <c r="H502" s="506">
        <f t="shared" si="24"/>
        <v>277</v>
      </c>
      <c r="I502" s="506">
        <v>20</v>
      </c>
      <c r="J502" s="506">
        <f t="shared" si="25"/>
        <v>297</v>
      </c>
      <c r="K502" s="508">
        <f t="shared" si="26"/>
        <v>4.95</v>
      </c>
      <c r="L502" s="509" t="s">
        <v>1543</v>
      </c>
    </row>
    <row r="503" spans="1:12" ht="13" x14ac:dyDescent="0.3">
      <c r="A503" s="506" t="s">
        <v>1541</v>
      </c>
      <c r="B503" s="506" t="s">
        <v>1542</v>
      </c>
      <c r="C503" s="507" t="s">
        <v>119</v>
      </c>
      <c r="D503" s="507">
        <v>600</v>
      </c>
      <c r="E503" s="507">
        <v>109</v>
      </c>
      <c r="F503" s="507">
        <v>124</v>
      </c>
      <c r="G503" s="507">
        <v>112</v>
      </c>
      <c r="H503" s="506">
        <f t="shared" si="24"/>
        <v>345</v>
      </c>
      <c r="I503" s="506">
        <v>20</v>
      </c>
      <c r="J503" s="506">
        <f t="shared" si="25"/>
        <v>365</v>
      </c>
      <c r="K503" s="508">
        <f t="shared" si="26"/>
        <v>6.083333333333333</v>
      </c>
      <c r="L503" s="509" t="s">
        <v>1543</v>
      </c>
    </row>
    <row r="504" spans="1:12" ht="13" x14ac:dyDescent="0.3">
      <c r="A504" s="506" t="s">
        <v>1541</v>
      </c>
      <c r="B504" s="506" t="s">
        <v>1542</v>
      </c>
      <c r="C504" s="507" t="s">
        <v>119</v>
      </c>
      <c r="D504" s="507">
        <v>800</v>
      </c>
      <c r="E504" s="507">
        <v>118</v>
      </c>
      <c r="F504" s="507">
        <v>159</v>
      </c>
      <c r="G504" s="507">
        <v>112</v>
      </c>
      <c r="H504" s="506">
        <f t="shared" si="24"/>
        <v>389</v>
      </c>
      <c r="I504" s="506">
        <v>20</v>
      </c>
      <c r="J504" s="506">
        <f t="shared" si="25"/>
        <v>409</v>
      </c>
      <c r="K504" s="508">
        <f t="shared" si="26"/>
        <v>6.8166666666666664</v>
      </c>
      <c r="L504" s="509" t="s">
        <v>1543</v>
      </c>
    </row>
    <row r="505" spans="1:12" ht="13" x14ac:dyDescent="0.3">
      <c r="A505" s="506" t="s">
        <v>1541</v>
      </c>
      <c r="B505" s="506" t="s">
        <v>1542</v>
      </c>
      <c r="C505" s="507" t="s">
        <v>119</v>
      </c>
      <c r="D505" s="507">
        <v>900</v>
      </c>
      <c r="E505" s="507">
        <v>124</v>
      </c>
      <c r="F505" s="507">
        <v>176</v>
      </c>
      <c r="G505" s="507">
        <v>112</v>
      </c>
      <c r="H505" s="506">
        <f t="shared" si="24"/>
        <v>412</v>
      </c>
      <c r="I505" s="506">
        <v>20</v>
      </c>
      <c r="J505" s="506">
        <f t="shared" si="25"/>
        <v>432</v>
      </c>
      <c r="K505" s="508">
        <f t="shared" si="26"/>
        <v>7.2</v>
      </c>
      <c r="L505" s="509" t="s">
        <v>1543</v>
      </c>
    </row>
    <row r="506" spans="1:12" ht="13" x14ac:dyDescent="0.3">
      <c r="A506" s="506" t="s">
        <v>1541</v>
      </c>
      <c r="B506" s="506" t="s">
        <v>1542</v>
      </c>
      <c r="C506" s="507" t="s">
        <v>119</v>
      </c>
      <c r="D506" s="507">
        <v>1500</v>
      </c>
      <c r="E506" s="507">
        <v>154</v>
      </c>
      <c r="F506" s="507">
        <v>281</v>
      </c>
      <c r="G506" s="507">
        <v>112</v>
      </c>
      <c r="H506" s="506">
        <f t="shared" si="24"/>
        <v>547</v>
      </c>
      <c r="I506" s="506">
        <v>20</v>
      </c>
      <c r="J506" s="506">
        <f t="shared" si="25"/>
        <v>567</v>
      </c>
      <c r="K506" s="508">
        <f t="shared" si="26"/>
        <v>9.4499999999999993</v>
      </c>
      <c r="L506" s="509" t="s">
        <v>1543</v>
      </c>
    </row>
    <row r="507" spans="1:12" ht="13" x14ac:dyDescent="0.3">
      <c r="A507" s="506" t="s">
        <v>1541</v>
      </c>
      <c r="B507" s="506" t="s">
        <v>1542</v>
      </c>
      <c r="C507" s="507" t="s">
        <v>179</v>
      </c>
      <c r="D507" s="507">
        <v>150</v>
      </c>
      <c r="E507" s="507">
        <v>105</v>
      </c>
      <c r="F507" s="507">
        <v>56</v>
      </c>
      <c r="G507" s="507">
        <v>135</v>
      </c>
      <c r="H507" s="506">
        <f t="shared" si="24"/>
        <v>296</v>
      </c>
      <c r="I507" s="506">
        <v>25</v>
      </c>
      <c r="J507" s="506">
        <f t="shared" si="25"/>
        <v>321</v>
      </c>
      <c r="K507" s="508">
        <f t="shared" si="26"/>
        <v>5.35</v>
      </c>
      <c r="L507" s="509" t="s">
        <v>1543</v>
      </c>
    </row>
    <row r="508" spans="1:12" ht="13" x14ac:dyDescent="0.3">
      <c r="A508" s="506" t="s">
        <v>1541</v>
      </c>
      <c r="B508" s="506" t="s">
        <v>1542</v>
      </c>
      <c r="C508" s="507" t="s">
        <v>179</v>
      </c>
      <c r="D508" s="507">
        <v>300</v>
      </c>
      <c r="E508" s="507">
        <v>116</v>
      </c>
      <c r="F508" s="507">
        <v>82</v>
      </c>
      <c r="G508" s="507">
        <v>135</v>
      </c>
      <c r="H508" s="506">
        <f t="shared" si="24"/>
        <v>333</v>
      </c>
      <c r="I508" s="506">
        <v>25</v>
      </c>
      <c r="J508" s="506">
        <f t="shared" si="25"/>
        <v>358</v>
      </c>
      <c r="K508" s="508">
        <f t="shared" si="26"/>
        <v>5.9666666666666668</v>
      </c>
      <c r="L508" s="509" t="s">
        <v>1543</v>
      </c>
    </row>
    <row r="509" spans="1:12" ht="13" x14ac:dyDescent="0.3">
      <c r="A509" s="506" t="s">
        <v>1541</v>
      </c>
      <c r="B509" s="506" t="s">
        <v>1542</v>
      </c>
      <c r="C509" s="507" t="s">
        <v>179</v>
      </c>
      <c r="D509" s="507">
        <v>600</v>
      </c>
      <c r="E509" s="507">
        <v>139</v>
      </c>
      <c r="F509" s="507">
        <v>135</v>
      </c>
      <c r="G509" s="507">
        <v>135</v>
      </c>
      <c r="H509" s="506">
        <f t="shared" si="24"/>
        <v>409</v>
      </c>
      <c r="I509" s="506">
        <v>25</v>
      </c>
      <c r="J509" s="506">
        <f t="shared" si="25"/>
        <v>434</v>
      </c>
      <c r="K509" s="508">
        <f t="shared" si="26"/>
        <v>7.2333333333333334</v>
      </c>
      <c r="L509" s="509" t="s">
        <v>1543</v>
      </c>
    </row>
    <row r="510" spans="1:12" ht="13" x14ac:dyDescent="0.3">
      <c r="A510" s="506" t="s">
        <v>1541</v>
      </c>
      <c r="B510" s="506" t="s">
        <v>1542</v>
      </c>
      <c r="C510" s="507" t="s">
        <v>179</v>
      </c>
      <c r="D510" s="507">
        <v>800</v>
      </c>
      <c r="E510" s="507">
        <v>154</v>
      </c>
      <c r="F510" s="507">
        <v>170</v>
      </c>
      <c r="G510" s="507">
        <v>135</v>
      </c>
      <c r="H510" s="506">
        <f t="shared" si="24"/>
        <v>459</v>
      </c>
      <c r="I510" s="506">
        <v>25</v>
      </c>
      <c r="J510" s="506">
        <f t="shared" si="25"/>
        <v>484</v>
      </c>
      <c r="K510" s="508">
        <f t="shared" si="26"/>
        <v>8.0666666666666664</v>
      </c>
      <c r="L510" s="509" t="s">
        <v>1543</v>
      </c>
    </row>
    <row r="511" spans="1:12" ht="13" x14ac:dyDescent="0.3">
      <c r="A511" s="506" t="s">
        <v>1541</v>
      </c>
      <c r="B511" s="506" t="s">
        <v>1542</v>
      </c>
      <c r="C511" s="507" t="s">
        <v>179</v>
      </c>
      <c r="D511" s="507">
        <v>900</v>
      </c>
      <c r="E511" s="507">
        <v>161</v>
      </c>
      <c r="F511" s="507">
        <v>188</v>
      </c>
      <c r="G511" s="507">
        <v>135</v>
      </c>
      <c r="H511" s="506">
        <f t="shared" si="24"/>
        <v>484</v>
      </c>
      <c r="I511" s="506">
        <v>25</v>
      </c>
      <c r="J511" s="506">
        <f t="shared" si="25"/>
        <v>509</v>
      </c>
      <c r="K511" s="508">
        <f t="shared" si="26"/>
        <v>8.4833333333333325</v>
      </c>
      <c r="L511" s="509" t="s">
        <v>1543</v>
      </c>
    </row>
    <row r="512" spans="1:12" ht="13" x14ac:dyDescent="0.3">
      <c r="A512" s="506" t="s">
        <v>1541</v>
      </c>
      <c r="B512" s="506" t="s">
        <v>1542</v>
      </c>
      <c r="C512" s="507" t="s">
        <v>179</v>
      </c>
      <c r="D512" s="507">
        <v>1500</v>
      </c>
      <c r="E512" s="507">
        <v>206</v>
      </c>
      <c r="F512" s="507">
        <v>292</v>
      </c>
      <c r="G512" s="507">
        <v>135</v>
      </c>
      <c r="H512" s="506">
        <f t="shared" si="24"/>
        <v>633</v>
      </c>
      <c r="I512" s="506">
        <v>25</v>
      </c>
      <c r="J512" s="506">
        <f t="shared" si="25"/>
        <v>658</v>
      </c>
      <c r="K512" s="508">
        <f t="shared" si="26"/>
        <v>10.966666666666667</v>
      </c>
      <c r="L512" s="509" t="s">
        <v>1543</v>
      </c>
    </row>
    <row r="513" spans="1:12" ht="13" x14ac:dyDescent="0.3">
      <c r="A513" s="506" t="s">
        <v>1541</v>
      </c>
      <c r="B513" s="506" t="s">
        <v>1542</v>
      </c>
      <c r="C513" s="507" t="s">
        <v>118</v>
      </c>
      <c r="D513" s="507">
        <v>150</v>
      </c>
      <c r="E513" s="507">
        <v>112</v>
      </c>
      <c r="F513" s="507">
        <v>60</v>
      </c>
      <c r="G513" s="507">
        <v>169</v>
      </c>
      <c r="H513" s="506">
        <f t="shared" si="24"/>
        <v>341</v>
      </c>
      <c r="I513" s="506">
        <v>25</v>
      </c>
      <c r="J513" s="506">
        <f t="shared" si="25"/>
        <v>366</v>
      </c>
      <c r="K513" s="508">
        <f t="shared" si="26"/>
        <v>6.1</v>
      </c>
      <c r="L513" s="509" t="s">
        <v>1543</v>
      </c>
    </row>
    <row r="514" spans="1:12" ht="13" x14ac:dyDescent="0.3">
      <c r="A514" s="506" t="s">
        <v>1541</v>
      </c>
      <c r="B514" s="506" t="s">
        <v>1542</v>
      </c>
      <c r="C514" s="507" t="s">
        <v>118</v>
      </c>
      <c r="D514" s="507">
        <v>300</v>
      </c>
      <c r="E514" s="507">
        <v>124</v>
      </c>
      <c r="F514" s="507">
        <v>94</v>
      </c>
      <c r="G514" s="507">
        <v>169</v>
      </c>
      <c r="H514" s="506">
        <f t="shared" si="24"/>
        <v>387</v>
      </c>
      <c r="I514" s="506">
        <v>25</v>
      </c>
      <c r="J514" s="506">
        <f t="shared" si="25"/>
        <v>412</v>
      </c>
      <c r="K514" s="508">
        <f t="shared" si="26"/>
        <v>6.8666666666666663</v>
      </c>
      <c r="L514" s="509" t="s">
        <v>1543</v>
      </c>
    </row>
    <row r="515" spans="1:12" ht="13" x14ac:dyDescent="0.3">
      <c r="A515" s="506" t="s">
        <v>1541</v>
      </c>
      <c r="B515" s="506" t="s">
        <v>1542</v>
      </c>
      <c r="C515" s="507" t="s">
        <v>118</v>
      </c>
      <c r="D515" s="507">
        <v>600</v>
      </c>
      <c r="E515" s="507">
        <v>146</v>
      </c>
      <c r="F515" s="507">
        <v>161</v>
      </c>
      <c r="G515" s="507">
        <v>169</v>
      </c>
      <c r="H515" s="506">
        <f t="shared" si="24"/>
        <v>476</v>
      </c>
      <c r="I515" s="506">
        <v>25</v>
      </c>
      <c r="J515" s="506">
        <f t="shared" si="25"/>
        <v>501</v>
      </c>
      <c r="K515" s="508">
        <f t="shared" si="26"/>
        <v>8.35</v>
      </c>
      <c r="L515" s="509" t="s">
        <v>1543</v>
      </c>
    </row>
    <row r="516" spans="1:12" ht="13" x14ac:dyDescent="0.3">
      <c r="A516" s="506" t="s">
        <v>1541</v>
      </c>
      <c r="B516" s="506" t="s">
        <v>1542</v>
      </c>
      <c r="C516" s="507" t="s">
        <v>118</v>
      </c>
      <c r="D516" s="507">
        <v>800</v>
      </c>
      <c r="E516" s="507">
        <v>161</v>
      </c>
      <c r="F516" s="507">
        <v>206</v>
      </c>
      <c r="G516" s="507">
        <v>169</v>
      </c>
      <c r="H516" s="506">
        <f t="shared" si="24"/>
        <v>536</v>
      </c>
      <c r="I516" s="506">
        <v>25</v>
      </c>
      <c r="J516" s="506">
        <f t="shared" si="25"/>
        <v>561</v>
      </c>
      <c r="K516" s="508">
        <f t="shared" si="26"/>
        <v>9.35</v>
      </c>
      <c r="L516" s="509" t="s">
        <v>1543</v>
      </c>
    </row>
    <row r="517" spans="1:12" ht="13" x14ac:dyDescent="0.3">
      <c r="A517" s="506" t="s">
        <v>1541</v>
      </c>
      <c r="B517" s="506" t="s">
        <v>1542</v>
      </c>
      <c r="C517" s="507" t="s">
        <v>118</v>
      </c>
      <c r="D517" s="507">
        <v>900</v>
      </c>
      <c r="E517" s="507">
        <v>169</v>
      </c>
      <c r="F517" s="507">
        <v>229</v>
      </c>
      <c r="G517" s="507">
        <v>169</v>
      </c>
      <c r="H517" s="506">
        <f t="shared" si="24"/>
        <v>567</v>
      </c>
      <c r="I517" s="506">
        <v>25</v>
      </c>
      <c r="J517" s="506">
        <f t="shared" si="25"/>
        <v>592</v>
      </c>
      <c r="K517" s="508">
        <f t="shared" si="26"/>
        <v>9.8666666666666671</v>
      </c>
      <c r="L517" s="509" t="s">
        <v>1543</v>
      </c>
    </row>
    <row r="518" spans="1:12" ht="13" x14ac:dyDescent="0.3">
      <c r="A518" s="506" t="s">
        <v>1541</v>
      </c>
      <c r="B518" s="506" t="s">
        <v>1542</v>
      </c>
      <c r="C518" s="507" t="s">
        <v>118</v>
      </c>
      <c r="D518" s="507">
        <v>1500</v>
      </c>
      <c r="E518" s="507">
        <v>214</v>
      </c>
      <c r="F518" s="507">
        <v>364</v>
      </c>
      <c r="G518" s="507">
        <v>169</v>
      </c>
      <c r="H518" s="506">
        <f t="shared" si="24"/>
        <v>747</v>
      </c>
      <c r="I518" s="506">
        <v>25</v>
      </c>
      <c r="J518" s="506">
        <f t="shared" si="25"/>
        <v>772</v>
      </c>
      <c r="K518" s="508">
        <f t="shared" si="26"/>
        <v>12.866666666666667</v>
      </c>
      <c r="L518" s="509" t="s">
        <v>1543</v>
      </c>
    </row>
    <row r="519" spans="1:12" ht="13" x14ac:dyDescent="0.3">
      <c r="A519" s="506" t="s">
        <v>1541</v>
      </c>
      <c r="B519" s="506" t="s">
        <v>1542</v>
      </c>
      <c r="C519" s="507" t="s">
        <v>688</v>
      </c>
      <c r="D519" s="507">
        <v>150</v>
      </c>
      <c r="E519" s="507">
        <v>135</v>
      </c>
      <c r="F519" s="507">
        <v>68</v>
      </c>
      <c r="G519" s="507">
        <v>202</v>
      </c>
      <c r="H519" s="506">
        <f t="shared" si="24"/>
        <v>405</v>
      </c>
      <c r="I519" s="506">
        <v>25</v>
      </c>
      <c r="J519" s="506">
        <f t="shared" si="25"/>
        <v>430</v>
      </c>
      <c r="K519" s="508">
        <f t="shared" si="26"/>
        <v>7.166666666666667</v>
      </c>
      <c r="L519" s="509" t="s">
        <v>1543</v>
      </c>
    </row>
    <row r="520" spans="1:12" ht="13" x14ac:dyDescent="0.3">
      <c r="A520" s="506" t="s">
        <v>1541</v>
      </c>
      <c r="B520" s="506" t="s">
        <v>1542</v>
      </c>
      <c r="C520" s="507" t="s">
        <v>688</v>
      </c>
      <c r="D520" s="507">
        <v>300</v>
      </c>
      <c r="E520" s="507">
        <v>158</v>
      </c>
      <c r="F520" s="507">
        <v>109</v>
      </c>
      <c r="G520" s="507">
        <v>202</v>
      </c>
      <c r="H520" s="506">
        <f t="shared" si="24"/>
        <v>469</v>
      </c>
      <c r="I520" s="506">
        <v>25</v>
      </c>
      <c r="J520" s="506">
        <f t="shared" si="25"/>
        <v>494</v>
      </c>
      <c r="K520" s="508">
        <f t="shared" si="26"/>
        <v>8.2333333333333325</v>
      </c>
      <c r="L520" s="509" t="s">
        <v>1543</v>
      </c>
    </row>
    <row r="521" spans="1:12" ht="13" x14ac:dyDescent="0.3">
      <c r="A521" s="506" t="s">
        <v>1541</v>
      </c>
      <c r="B521" s="506" t="s">
        <v>1542</v>
      </c>
      <c r="C521" s="507" t="s">
        <v>688</v>
      </c>
      <c r="D521" s="507">
        <v>600</v>
      </c>
      <c r="E521" s="507">
        <v>202</v>
      </c>
      <c r="F521" s="507">
        <v>191</v>
      </c>
      <c r="G521" s="507">
        <v>202</v>
      </c>
      <c r="H521" s="506">
        <f t="shared" si="24"/>
        <v>595</v>
      </c>
      <c r="I521" s="506">
        <v>25</v>
      </c>
      <c r="J521" s="506">
        <f t="shared" si="25"/>
        <v>620</v>
      </c>
      <c r="K521" s="508">
        <f t="shared" si="26"/>
        <v>10.333333333333334</v>
      </c>
      <c r="L521" s="509" t="s">
        <v>1543</v>
      </c>
    </row>
    <row r="522" spans="1:12" ht="13" x14ac:dyDescent="0.3">
      <c r="A522" s="506" t="s">
        <v>1541</v>
      </c>
      <c r="B522" s="506" t="s">
        <v>1542</v>
      </c>
      <c r="C522" s="507" t="s">
        <v>688</v>
      </c>
      <c r="D522" s="507">
        <v>800</v>
      </c>
      <c r="E522" s="507">
        <v>232</v>
      </c>
      <c r="F522" s="507">
        <v>246</v>
      </c>
      <c r="G522" s="507">
        <v>202</v>
      </c>
      <c r="H522" s="506">
        <f t="shared" si="24"/>
        <v>680</v>
      </c>
      <c r="I522" s="506">
        <v>25</v>
      </c>
      <c r="J522" s="506">
        <f t="shared" si="25"/>
        <v>705</v>
      </c>
      <c r="K522" s="508">
        <f t="shared" si="26"/>
        <v>11.75</v>
      </c>
      <c r="L522" s="509" t="s">
        <v>1543</v>
      </c>
    </row>
    <row r="523" spans="1:12" ht="13" x14ac:dyDescent="0.3">
      <c r="A523" s="506" t="s">
        <v>1541</v>
      </c>
      <c r="B523" s="506" t="s">
        <v>1542</v>
      </c>
      <c r="C523" s="507" t="s">
        <v>688</v>
      </c>
      <c r="D523" s="507">
        <v>900</v>
      </c>
      <c r="E523" s="507">
        <v>248</v>
      </c>
      <c r="F523" s="507">
        <v>274</v>
      </c>
      <c r="G523" s="507">
        <v>202</v>
      </c>
      <c r="H523" s="506">
        <f t="shared" si="24"/>
        <v>724</v>
      </c>
      <c r="I523" s="506">
        <v>25</v>
      </c>
      <c r="J523" s="506">
        <f t="shared" si="25"/>
        <v>749</v>
      </c>
      <c r="K523" s="508">
        <f t="shared" si="26"/>
        <v>12.483333333333333</v>
      </c>
      <c r="L523" s="509" t="s">
        <v>1543</v>
      </c>
    </row>
    <row r="524" spans="1:12" ht="13" x14ac:dyDescent="0.3">
      <c r="A524" s="506" t="s">
        <v>1541</v>
      </c>
      <c r="B524" s="506" t="s">
        <v>1542</v>
      </c>
      <c r="C524" s="507" t="s">
        <v>688</v>
      </c>
      <c r="D524" s="507">
        <v>1500</v>
      </c>
      <c r="E524" s="507">
        <v>338</v>
      </c>
      <c r="F524" s="507">
        <v>439</v>
      </c>
      <c r="G524" s="507">
        <v>202</v>
      </c>
      <c r="H524" s="506">
        <f t="shared" si="24"/>
        <v>979</v>
      </c>
      <c r="I524" s="506">
        <v>25</v>
      </c>
      <c r="J524" s="506">
        <f t="shared" si="25"/>
        <v>1004</v>
      </c>
      <c r="K524" s="508">
        <f t="shared" si="26"/>
        <v>16.733333333333334</v>
      </c>
      <c r="L524" s="509" t="s">
        <v>1543</v>
      </c>
    </row>
    <row r="525" spans="1:12" ht="13" x14ac:dyDescent="0.3">
      <c r="A525" s="506" t="s">
        <v>1541</v>
      </c>
      <c r="B525" s="506" t="s">
        <v>1542</v>
      </c>
      <c r="C525" s="507" t="s">
        <v>171</v>
      </c>
      <c r="D525" s="507">
        <v>150</v>
      </c>
      <c r="E525" s="507">
        <v>158</v>
      </c>
      <c r="F525" s="507">
        <v>75</v>
      </c>
      <c r="G525" s="507">
        <v>225</v>
      </c>
      <c r="H525" s="506">
        <f t="shared" si="24"/>
        <v>458</v>
      </c>
      <c r="I525" s="506">
        <v>25</v>
      </c>
      <c r="J525" s="506">
        <f t="shared" si="25"/>
        <v>483</v>
      </c>
      <c r="K525" s="508">
        <f t="shared" si="26"/>
        <v>8.0500000000000007</v>
      </c>
      <c r="L525" s="509" t="s">
        <v>1543</v>
      </c>
    </row>
    <row r="526" spans="1:12" ht="13" x14ac:dyDescent="0.3">
      <c r="A526" s="506" t="s">
        <v>1541</v>
      </c>
      <c r="B526" s="506" t="s">
        <v>1542</v>
      </c>
      <c r="C526" s="507" t="s">
        <v>171</v>
      </c>
      <c r="D526" s="507">
        <v>300</v>
      </c>
      <c r="E526" s="507">
        <v>180</v>
      </c>
      <c r="F526" s="507">
        <v>120</v>
      </c>
      <c r="G526" s="507">
        <v>225</v>
      </c>
      <c r="H526" s="506">
        <f t="shared" si="24"/>
        <v>525</v>
      </c>
      <c r="I526" s="506">
        <v>25</v>
      </c>
      <c r="J526" s="506">
        <f t="shared" si="25"/>
        <v>550</v>
      </c>
      <c r="K526" s="508">
        <f t="shared" si="26"/>
        <v>9.1666666666666661</v>
      </c>
      <c r="L526" s="509" t="s">
        <v>1543</v>
      </c>
    </row>
    <row r="527" spans="1:12" ht="13" x14ac:dyDescent="0.3">
      <c r="A527" s="506" t="s">
        <v>1541</v>
      </c>
      <c r="B527" s="506" t="s">
        <v>1542</v>
      </c>
      <c r="C527" s="507" t="s">
        <v>171</v>
      </c>
      <c r="D527" s="507">
        <v>600</v>
      </c>
      <c r="E527" s="507">
        <v>225</v>
      </c>
      <c r="F527" s="507">
        <v>210</v>
      </c>
      <c r="G527" s="507">
        <v>225</v>
      </c>
      <c r="H527" s="506">
        <f t="shared" ref="H527:H590" si="27">E527+F527+G527</f>
        <v>660</v>
      </c>
      <c r="I527" s="506">
        <v>25</v>
      </c>
      <c r="J527" s="506">
        <f t="shared" ref="J527:J590" si="28">H527+I527</f>
        <v>685</v>
      </c>
      <c r="K527" s="508">
        <f t="shared" ref="K527:K590" si="29">J527/60</f>
        <v>11.416666666666666</v>
      </c>
      <c r="L527" s="509" t="s">
        <v>1543</v>
      </c>
    </row>
    <row r="528" spans="1:12" ht="13" x14ac:dyDescent="0.3">
      <c r="A528" s="506" t="s">
        <v>1541</v>
      </c>
      <c r="B528" s="506" t="s">
        <v>1542</v>
      </c>
      <c r="C528" s="507" t="s">
        <v>171</v>
      </c>
      <c r="D528" s="507">
        <v>800</v>
      </c>
      <c r="E528" s="507">
        <v>255</v>
      </c>
      <c r="F528" s="507">
        <v>270</v>
      </c>
      <c r="G528" s="507">
        <v>225</v>
      </c>
      <c r="H528" s="506">
        <f t="shared" si="27"/>
        <v>750</v>
      </c>
      <c r="I528" s="506">
        <v>25</v>
      </c>
      <c r="J528" s="506">
        <f t="shared" si="28"/>
        <v>775</v>
      </c>
      <c r="K528" s="508">
        <f t="shared" si="29"/>
        <v>12.916666666666666</v>
      </c>
      <c r="L528" s="509" t="s">
        <v>1543</v>
      </c>
    </row>
    <row r="529" spans="1:12" ht="13" x14ac:dyDescent="0.3">
      <c r="A529" s="506" t="s">
        <v>1541</v>
      </c>
      <c r="B529" s="506" t="s">
        <v>1542</v>
      </c>
      <c r="C529" s="507" t="s">
        <v>171</v>
      </c>
      <c r="D529" s="507">
        <v>900</v>
      </c>
      <c r="E529" s="507">
        <v>270</v>
      </c>
      <c r="F529" s="507">
        <v>300</v>
      </c>
      <c r="G529" s="507">
        <v>225</v>
      </c>
      <c r="H529" s="506">
        <f t="shared" si="27"/>
        <v>795</v>
      </c>
      <c r="I529" s="506">
        <v>25</v>
      </c>
      <c r="J529" s="506">
        <f t="shared" si="28"/>
        <v>820</v>
      </c>
      <c r="K529" s="508">
        <f t="shared" si="29"/>
        <v>13.666666666666666</v>
      </c>
      <c r="L529" s="509" t="s">
        <v>1543</v>
      </c>
    </row>
    <row r="530" spans="1:12" ht="13" x14ac:dyDescent="0.3">
      <c r="A530" s="506" t="s">
        <v>1541</v>
      </c>
      <c r="B530" s="506" t="s">
        <v>1542</v>
      </c>
      <c r="C530" s="507" t="s">
        <v>171</v>
      </c>
      <c r="D530" s="507">
        <v>1500</v>
      </c>
      <c r="E530" s="507">
        <v>360</v>
      </c>
      <c r="F530" s="507">
        <v>480</v>
      </c>
      <c r="G530" s="507">
        <v>225</v>
      </c>
      <c r="H530" s="506">
        <f t="shared" si="27"/>
        <v>1065</v>
      </c>
      <c r="I530" s="506">
        <v>25</v>
      </c>
      <c r="J530" s="506">
        <f t="shared" si="28"/>
        <v>1090</v>
      </c>
      <c r="K530" s="508">
        <f t="shared" si="29"/>
        <v>18.166666666666668</v>
      </c>
      <c r="L530" s="509" t="s">
        <v>1543</v>
      </c>
    </row>
    <row r="531" spans="1:12" ht="13" x14ac:dyDescent="0.3">
      <c r="A531" s="506" t="s">
        <v>1541</v>
      </c>
      <c r="B531" s="506" t="s">
        <v>1542</v>
      </c>
      <c r="C531" s="507" t="s">
        <v>195</v>
      </c>
      <c r="D531" s="507">
        <v>150</v>
      </c>
      <c r="E531" s="507">
        <v>172</v>
      </c>
      <c r="F531" s="507">
        <v>90</v>
      </c>
      <c r="G531" s="507">
        <v>248</v>
      </c>
      <c r="H531" s="506">
        <f t="shared" si="27"/>
        <v>510</v>
      </c>
      <c r="I531" s="506">
        <v>25</v>
      </c>
      <c r="J531" s="506">
        <f t="shared" si="28"/>
        <v>535</v>
      </c>
      <c r="K531" s="508">
        <f t="shared" si="29"/>
        <v>8.9166666666666661</v>
      </c>
      <c r="L531" s="509" t="s">
        <v>1543</v>
      </c>
    </row>
    <row r="532" spans="1:12" ht="13" x14ac:dyDescent="0.3">
      <c r="A532" s="506" t="s">
        <v>1541</v>
      </c>
      <c r="B532" s="506" t="s">
        <v>1542</v>
      </c>
      <c r="C532" s="507" t="s">
        <v>195</v>
      </c>
      <c r="D532" s="507">
        <v>300</v>
      </c>
      <c r="E532" s="507">
        <v>202</v>
      </c>
      <c r="F532" s="507">
        <v>135</v>
      </c>
      <c r="G532" s="507">
        <v>248</v>
      </c>
      <c r="H532" s="506">
        <f t="shared" si="27"/>
        <v>585</v>
      </c>
      <c r="I532" s="506">
        <v>25</v>
      </c>
      <c r="J532" s="506">
        <f t="shared" si="28"/>
        <v>610</v>
      </c>
      <c r="K532" s="508">
        <f t="shared" si="29"/>
        <v>10.166666666666666</v>
      </c>
      <c r="L532" s="509" t="s">
        <v>1543</v>
      </c>
    </row>
    <row r="533" spans="1:12" ht="13" x14ac:dyDescent="0.3">
      <c r="A533" s="506" t="s">
        <v>1541</v>
      </c>
      <c r="B533" s="506" t="s">
        <v>1542</v>
      </c>
      <c r="C533" s="507" t="s">
        <v>195</v>
      </c>
      <c r="D533" s="507">
        <v>600</v>
      </c>
      <c r="E533" s="507">
        <v>262</v>
      </c>
      <c r="F533" s="507">
        <v>225</v>
      </c>
      <c r="G533" s="507">
        <v>248</v>
      </c>
      <c r="H533" s="506">
        <f t="shared" si="27"/>
        <v>735</v>
      </c>
      <c r="I533" s="506">
        <v>25</v>
      </c>
      <c r="J533" s="506">
        <f t="shared" si="28"/>
        <v>760</v>
      </c>
      <c r="K533" s="508">
        <f t="shared" si="29"/>
        <v>12.666666666666666</v>
      </c>
      <c r="L533" s="509" t="s">
        <v>1543</v>
      </c>
    </row>
    <row r="534" spans="1:12" ht="13" x14ac:dyDescent="0.3">
      <c r="A534" s="506" t="s">
        <v>1541</v>
      </c>
      <c r="B534" s="506" t="s">
        <v>1542</v>
      </c>
      <c r="C534" s="507" t="s">
        <v>195</v>
      </c>
      <c r="D534" s="507">
        <v>800</v>
      </c>
      <c r="E534" s="507">
        <v>302</v>
      </c>
      <c r="F534" s="507">
        <v>285</v>
      </c>
      <c r="G534" s="507">
        <v>248</v>
      </c>
      <c r="H534" s="506">
        <f t="shared" si="27"/>
        <v>835</v>
      </c>
      <c r="I534" s="506">
        <v>25</v>
      </c>
      <c r="J534" s="506">
        <f t="shared" si="28"/>
        <v>860</v>
      </c>
      <c r="K534" s="508">
        <f t="shared" si="29"/>
        <v>14.333333333333334</v>
      </c>
      <c r="L534" s="509" t="s">
        <v>1543</v>
      </c>
    </row>
    <row r="535" spans="1:12" ht="13" x14ac:dyDescent="0.3">
      <c r="A535" s="506" t="s">
        <v>1541</v>
      </c>
      <c r="B535" s="506" t="s">
        <v>1542</v>
      </c>
      <c r="C535" s="507" t="s">
        <v>195</v>
      </c>
      <c r="D535" s="507">
        <v>900</v>
      </c>
      <c r="E535" s="507">
        <v>322</v>
      </c>
      <c r="F535" s="507">
        <v>315</v>
      </c>
      <c r="G535" s="507">
        <v>248</v>
      </c>
      <c r="H535" s="506">
        <f t="shared" si="27"/>
        <v>885</v>
      </c>
      <c r="I535" s="506">
        <v>25</v>
      </c>
      <c r="J535" s="506">
        <f t="shared" si="28"/>
        <v>910</v>
      </c>
      <c r="K535" s="508">
        <f t="shared" si="29"/>
        <v>15.166666666666666</v>
      </c>
      <c r="L535" s="509" t="s">
        <v>1543</v>
      </c>
    </row>
    <row r="536" spans="1:12" ht="13" x14ac:dyDescent="0.3">
      <c r="A536" s="506" t="s">
        <v>1541</v>
      </c>
      <c r="B536" s="506" t="s">
        <v>1542</v>
      </c>
      <c r="C536" s="507" t="s">
        <v>195</v>
      </c>
      <c r="D536" s="507">
        <v>1500</v>
      </c>
      <c r="E536" s="507">
        <v>442</v>
      </c>
      <c r="F536" s="507">
        <v>495</v>
      </c>
      <c r="G536" s="507">
        <v>248</v>
      </c>
      <c r="H536" s="506">
        <f t="shared" si="27"/>
        <v>1185</v>
      </c>
      <c r="I536" s="506">
        <v>25</v>
      </c>
      <c r="J536" s="506">
        <f t="shared" si="28"/>
        <v>1210</v>
      </c>
      <c r="K536" s="508">
        <f t="shared" si="29"/>
        <v>20.166666666666668</v>
      </c>
      <c r="L536" s="509" t="s">
        <v>1543</v>
      </c>
    </row>
    <row r="537" spans="1:12" ht="13" x14ac:dyDescent="0.3">
      <c r="A537" s="506" t="s">
        <v>1541</v>
      </c>
      <c r="B537" s="506" t="s">
        <v>1542</v>
      </c>
      <c r="C537" s="507" t="s">
        <v>1406</v>
      </c>
      <c r="D537" s="507">
        <v>150</v>
      </c>
      <c r="E537" s="507">
        <v>188</v>
      </c>
      <c r="F537" s="507">
        <v>101</v>
      </c>
      <c r="G537" s="507">
        <v>289</v>
      </c>
      <c r="H537" s="506">
        <f t="shared" si="27"/>
        <v>578</v>
      </c>
      <c r="I537" s="506">
        <v>30</v>
      </c>
      <c r="J537" s="506">
        <f t="shared" si="28"/>
        <v>608</v>
      </c>
      <c r="K537" s="508">
        <f t="shared" si="29"/>
        <v>10.133333333333333</v>
      </c>
      <c r="L537" s="509" t="s">
        <v>1543</v>
      </c>
    </row>
    <row r="538" spans="1:12" ht="13" x14ac:dyDescent="0.3">
      <c r="A538" s="506" t="s">
        <v>1541</v>
      </c>
      <c r="B538" s="506" t="s">
        <v>1542</v>
      </c>
      <c r="C538" s="507" t="s">
        <v>1406</v>
      </c>
      <c r="D538" s="507">
        <v>300</v>
      </c>
      <c r="E538" s="507">
        <v>225</v>
      </c>
      <c r="F538" s="507">
        <v>158</v>
      </c>
      <c r="G538" s="507">
        <v>289</v>
      </c>
      <c r="H538" s="506">
        <f t="shared" si="27"/>
        <v>672</v>
      </c>
      <c r="I538" s="506">
        <v>30</v>
      </c>
      <c r="J538" s="506">
        <f t="shared" si="28"/>
        <v>702</v>
      </c>
      <c r="K538" s="508">
        <f t="shared" si="29"/>
        <v>11.7</v>
      </c>
      <c r="L538" s="509" t="s">
        <v>1543</v>
      </c>
    </row>
    <row r="539" spans="1:12" ht="13" x14ac:dyDescent="0.3">
      <c r="A539" s="506" t="s">
        <v>1541</v>
      </c>
      <c r="B539" s="506" t="s">
        <v>1542</v>
      </c>
      <c r="C539" s="507" t="s">
        <v>1406</v>
      </c>
      <c r="D539" s="507">
        <v>600</v>
      </c>
      <c r="E539" s="507">
        <v>300</v>
      </c>
      <c r="F539" s="507">
        <v>270</v>
      </c>
      <c r="G539" s="507">
        <v>289</v>
      </c>
      <c r="H539" s="506">
        <f t="shared" si="27"/>
        <v>859</v>
      </c>
      <c r="I539" s="506">
        <v>30</v>
      </c>
      <c r="J539" s="506">
        <f t="shared" si="28"/>
        <v>889</v>
      </c>
      <c r="K539" s="508">
        <f t="shared" si="29"/>
        <v>14.816666666666666</v>
      </c>
      <c r="L539" s="509" t="s">
        <v>1543</v>
      </c>
    </row>
    <row r="540" spans="1:12" ht="13" x14ac:dyDescent="0.3">
      <c r="A540" s="506" t="s">
        <v>1541</v>
      </c>
      <c r="B540" s="506" t="s">
        <v>1542</v>
      </c>
      <c r="C540" s="507" t="s">
        <v>1406</v>
      </c>
      <c r="D540" s="507">
        <v>800</v>
      </c>
      <c r="E540" s="507">
        <v>350</v>
      </c>
      <c r="F540" s="507">
        <v>345</v>
      </c>
      <c r="G540" s="507">
        <v>289</v>
      </c>
      <c r="H540" s="506">
        <f t="shared" si="27"/>
        <v>984</v>
      </c>
      <c r="I540" s="506">
        <v>30</v>
      </c>
      <c r="J540" s="506">
        <f t="shared" si="28"/>
        <v>1014</v>
      </c>
      <c r="K540" s="508">
        <f t="shared" si="29"/>
        <v>16.899999999999999</v>
      </c>
      <c r="L540" s="509" t="s">
        <v>1543</v>
      </c>
    </row>
    <row r="541" spans="1:12" ht="13" x14ac:dyDescent="0.3">
      <c r="A541" s="506" t="s">
        <v>1541</v>
      </c>
      <c r="B541" s="506" t="s">
        <v>1542</v>
      </c>
      <c r="C541" s="507" t="s">
        <v>1406</v>
      </c>
      <c r="D541" s="507">
        <v>900</v>
      </c>
      <c r="E541" s="507">
        <v>375</v>
      </c>
      <c r="F541" s="507">
        <v>382</v>
      </c>
      <c r="G541" s="507">
        <v>289</v>
      </c>
      <c r="H541" s="506">
        <f t="shared" si="27"/>
        <v>1046</v>
      </c>
      <c r="I541" s="506">
        <v>30</v>
      </c>
      <c r="J541" s="506">
        <f t="shared" si="28"/>
        <v>1076</v>
      </c>
      <c r="K541" s="508">
        <f t="shared" si="29"/>
        <v>17.933333333333334</v>
      </c>
      <c r="L541" s="509" t="s">
        <v>1543</v>
      </c>
    </row>
    <row r="542" spans="1:12" ht="13" x14ac:dyDescent="0.3">
      <c r="A542" s="506" t="s">
        <v>1541</v>
      </c>
      <c r="B542" s="506" t="s">
        <v>1542</v>
      </c>
      <c r="C542" s="507" t="s">
        <v>1406</v>
      </c>
      <c r="D542" s="507">
        <v>1500</v>
      </c>
      <c r="E542" s="507">
        <v>525</v>
      </c>
      <c r="F542" s="507">
        <v>608</v>
      </c>
      <c r="G542" s="507">
        <v>289</v>
      </c>
      <c r="H542" s="506">
        <f t="shared" si="27"/>
        <v>1422</v>
      </c>
      <c r="I542" s="506">
        <v>30</v>
      </c>
      <c r="J542" s="506">
        <f t="shared" si="28"/>
        <v>1452</v>
      </c>
      <c r="K542" s="508">
        <f t="shared" si="29"/>
        <v>24.2</v>
      </c>
      <c r="L542" s="509" t="s">
        <v>1543</v>
      </c>
    </row>
    <row r="543" spans="1:12" ht="13" x14ac:dyDescent="0.3">
      <c r="A543" s="506" t="s">
        <v>1541</v>
      </c>
      <c r="B543" s="506" t="s">
        <v>1542</v>
      </c>
      <c r="C543" s="507" t="s">
        <v>1407</v>
      </c>
      <c r="D543" s="507">
        <v>150</v>
      </c>
      <c r="E543" s="507">
        <v>225</v>
      </c>
      <c r="F543" s="507">
        <v>120</v>
      </c>
      <c r="G543" s="507">
        <v>330</v>
      </c>
      <c r="H543" s="506">
        <f t="shared" si="27"/>
        <v>675</v>
      </c>
      <c r="I543" s="506">
        <v>30</v>
      </c>
      <c r="J543" s="506">
        <f t="shared" si="28"/>
        <v>705</v>
      </c>
      <c r="K543" s="508">
        <f t="shared" si="29"/>
        <v>11.75</v>
      </c>
      <c r="L543" s="509" t="s">
        <v>1543</v>
      </c>
    </row>
    <row r="544" spans="1:12" ht="13" x14ac:dyDescent="0.3">
      <c r="A544" s="506" t="s">
        <v>1541</v>
      </c>
      <c r="B544" s="506" t="s">
        <v>1542</v>
      </c>
      <c r="C544" s="507" t="s">
        <v>1407</v>
      </c>
      <c r="D544" s="507">
        <v>300</v>
      </c>
      <c r="E544" s="507">
        <v>248</v>
      </c>
      <c r="F544" s="507">
        <v>169</v>
      </c>
      <c r="G544" s="507">
        <v>330</v>
      </c>
      <c r="H544" s="506">
        <f t="shared" si="27"/>
        <v>747</v>
      </c>
      <c r="I544" s="506">
        <v>30</v>
      </c>
      <c r="J544" s="506">
        <f t="shared" si="28"/>
        <v>777</v>
      </c>
      <c r="K544" s="508">
        <f t="shared" si="29"/>
        <v>12.95</v>
      </c>
      <c r="L544" s="509" t="s">
        <v>1543</v>
      </c>
    </row>
    <row r="545" spans="1:12" ht="13" x14ac:dyDescent="0.3">
      <c r="A545" s="506" t="s">
        <v>1541</v>
      </c>
      <c r="B545" s="506" t="s">
        <v>1542</v>
      </c>
      <c r="C545" s="507" t="s">
        <v>1407</v>
      </c>
      <c r="D545" s="507">
        <v>600</v>
      </c>
      <c r="E545" s="507">
        <v>292</v>
      </c>
      <c r="F545" s="507">
        <v>266</v>
      </c>
      <c r="G545" s="507">
        <v>330</v>
      </c>
      <c r="H545" s="506">
        <f t="shared" si="27"/>
        <v>888</v>
      </c>
      <c r="I545" s="506">
        <v>30</v>
      </c>
      <c r="J545" s="506">
        <f t="shared" si="28"/>
        <v>918</v>
      </c>
      <c r="K545" s="508">
        <f t="shared" si="29"/>
        <v>15.3</v>
      </c>
      <c r="L545" s="509" t="s">
        <v>1543</v>
      </c>
    </row>
    <row r="546" spans="1:12" ht="13" x14ac:dyDescent="0.3">
      <c r="A546" s="506" t="s">
        <v>1541</v>
      </c>
      <c r="B546" s="506" t="s">
        <v>1542</v>
      </c>
      <c r="C546" s="507" t="s">
        <v>1407</v>
      </c>
      <c r="D546" s="507">
        <v>800</v>
      </c>
      <c r="E546" s="507">
        <v>322</v>
      </c>
      <c r="F546" s="507">
        <v>332</v>
      </c>
      <c r="G546" s="507">
        <v>330</v>
      </c>
      <c r="H546" s="506">
        <f t="shared" si="27"/>
        <v>984</v>
      </c>
      <c r="I546" s="506">
        <v>30</v>
      </c>
      <c r="J546" s="506">
        <f t="shared" si="28"/>
        <v>1014</v>
      </c>
      <c r="K546" s="508">
        <f t="shared" si="29"/>
        <v>16.899999999999999</v>
      </c>
      <c r="L546" s="509" t="s">
        <v>1543</v>
      </c>
    </row>
    <row r="547" spans="1:12" ht="13" x14ac:dyDescent="0.3">
      <c r="A547" s="506" t="s">
        <v>1541</v>
      </c>
      <c r="B547" s="506" t="s">
        <v>1542</v>
      </c>
      <c r="C547" s="507" t="s">
        <v>1407</v>
      </c>
      <c r="D547" s="507">
        <v>900</v>
      </c>
      <c r="E547" s="507">
        <v>338</v>
      </c>
      <c r="F547" s="507">
        <v>364</v>
      </c>
      <c r="G547" s="507">
        <v>330</v>
      </c>
      <c r="H547" s="506">
        <f t="shared" si="27"/>
        <v>1032</v>
      </c>
      <c r="I547" s="506">
        <v>30</v>
      </c>
      <c r="J547" s="506">
        <f t="shared" si="28"/>
        <v>1062</v>
      </c>
      <c r="K547" s="508">
        <f t="shared" si="29"/>
        <v>17.7</v>
      </c>
      <c r="L547" s="509" t="s">
        <v>1543</v>
      </c>
    </row>
    <row r="548" spans="1:12" ht="13" x14ac:dyDescent="0.3">
      <c r="A548" s="506" t="s">
        <v>1541</v>
      </c>
      <c r="B548" s="506" t="s">
        <v>1542</v>
      </c>
      <c r="C548" s="507" t="s">
        <v>1407</v>
      </c>
      <c r="D548" s="507">
        <v>1500</v>
      </c>
      <c r="E548" s="507">
        <v>428</v>
      </c>
      <c r="F548" s="507">
        <v>559</v>
      </c>
      <c r="G548" s="507">
        <v>330</v>
      </c>
      <c r="H548" s="506">
        <f t="shared" si="27"/>
        <v>1317</v>
      </c>
      <c r="I548" s="506">
        <v>30</v>
      </c>
      <c r="J548" s="506">
        <f t="shared" si="28"/>
        <v>1347</v>
      </c>
      <c r="K548" s="508">
        <f t="shared" si="29"/>
        <v>22.45</v>
      </c>
      <c r="L548" s="509" t="s">
        <v>1543</v>
      </c>
    </row>
    <row r="549" spans="1:12" ht="13" x14ac:dyDescent="0.3">
      <c r="A549" s="506" t="s">
        <v>1541</v>
      </c>
      <c r="B549" s="506" t="s">
        <v>1542</v>
      </c>
      <c r="C549" s="507" t="s">
        <v>1408</v>
      </c>
      <c r="D549" s="507">
        <v>150</v>
      </c>
      <c r="E549" s="507">
        <v>251</v>
      </c>
      <c r="F549" s="507">
        <v>150</v>
      </c>
      <c r="G549" s="507">
        <v>420</v>
      </c>
      <c r="H549" s="506">
        <f t="shared" si="27"/>
        <v>821</v>
      </c>
      <c r="I549" s="506">
        <v>30</v>
      </c>
      <c r="J549" s="506">
        <f t="shared" si="28"/>
        <v>851</v>
      </c>
      <c r="K549" s="508">
        <f t="shared" si="29"/>
        <v>14.183333333333334</v>
      </c>
      <c r="L549" s="509" t="s">
        <v>1543</v>
      </c>
    </row>
    <row r="550" spans="1:12" ht="13" x14ac:dyDescent="0.3">
      <c r="A550" s="506" t="s">
        <v>1541</v>
      </c>
      <c r="B550" s="506" t="s">
        <v>1542</v>
      </c>
      <c r="C550" s="507" t="s">
        <v>1408</v>
      </c>
      <c r="D550" s="507">
        <v>300</v>
      </c>
      <c r="E550" s="507">
        <v>296</v>
      </c>
      <c r="F550" s="507">
        <v>188</v>
      </c>
      <c r="G550" s="507">
        <v>420</v>
      </c>
      <c r="H550" s="506">
        <f t="shared" si="27"/>
        <v>904</v>
      </c>
      <c r="I550" s="506">
        <v>30</v>
      </c>
      <c r="J550" s="506">
        <f t="shared" si="28"/>
        <v>934</v>
      </c>
      <c r="K550" s="508">
        <f t="shared" si="29"/>
        <v>15.566666666666666</v>
      </c>
      <c r="L550" s="509" t="s">
        <v>1543</v>
      </c>
    </row>
    <row r="551" spans="1:12" ht="13" x14ac:dyDescent="0.3">
      <c r="A551" s="506" t="s">
        <v>1541</v>
      </c>
      <c r="B551" s="506" t="s">
        <v>1542</v>
      </c>
      <c r="C551" s="507" t="s">
        <v>1408</v>
      </c>
      <c r="D551" s="507">
        <v>600</v>
      </c>
      <c r="E551" s="507">
        <v>386</v>
      </c>
      <c r="F551" s="507">
        <v>262</v>
      </c>
      <c r="G551" s="507">
        <v>420</v>
      </c>
      <c r="H551" s="506">
        <f t="shared" si="27"/>
        <v>1068</v>
      </c>
      <c r="I551" s="506">
        <v>30</v>
      </c>
      <c r="J551" s="506">
        <f t="shared" si="28"/>
        <v>1098</v>
      </c>
      <c r="K551" s="508">
        <f t="shared" si="29"/>
        <v>18.3</v>
      </c>
      <c r="L551" s="509" t="s">
        <v>1543</v>
      </c>
    </row>
    <row r="552" spans="1:12" ht="13" x14ac:dyDescent="0.3">
      <c r="A552" s="506" t="s">
        <v>1541</v>
      </c>
      <c r="B552" s="506" t="s">
        <v>1542</v>
      </c>
      <c r="C552" s="507" t="s">
        <v>1408</v>
      </c>
      <c r="D552" s="507">
        <v>800</v>
      </c>
      <c r="E552" s="507">
        <v>446</v>
      </c>
      <c r="F552" s="507">
        <v>313</v>
      </c>
      <c r="G552" s="507">
        <v>420</v>
      </c>
      <c r="H552" s="506">
        <f t="shared" si="27"/>
        <v>1179</v>
      </c>
      <c r="I552" s="506">
        <v>30</v>
      </c>
      <c r="J552" s="506">
        <f t="shared" si="28"/>
        <v>1209</v>
      </c>
      <c r="K552" s="508">
        <f t="shared" si="29"/>
        <v>20.149999999999999</v>
      </c>
      <c r="L552" s="509" t="s">
        <v>1543</v>
      </c>
    </row>
    <row r="553" spans="1:12" ht="13" x14ac:dyDescent="0.3">
      <c r="A553" s="506" t="s">
        <v>1541</v>
      </c>
      <c r="B553" s="506" t="s">
        <v>1542</v>
      </c>
      <c r="C553" s="507" t="s">
        <v>1408</v>
      </c>
      <c r="D553" s="507">
        <v>900</v>
      </c>
      <c r="E553" s="507">
        <v>476</v>
      </c>
      <c r="F553" s="507">
        <v>338</v>
      </c>
      <c r="G553" s="507">
        <v>420</v>
      </c>
      <c r="H553" s="506">
        <f t="shared" si="27"/>
        <v>1234</v>
      </c>
      <c r="I553" s="506">
        <v>30</v>
      </c>
      <c r="J553" s="506">
        <f t="shared" si="28"/>
        <v>1264</v>
      </c>
      <c r="K553" s="508">
        <f t="shared" si="29"/>
        <v>21.066666666666666</v>
      </c>
      <c r="L553" s="509" t="s">
        <v>1543</v>
      </c>
    </row>
    <row r="554" spans="1:12" ht="13" x14ac:dyDescent="0.3">
      <c r="A554" s="506" t="s">
        <v>1541</v>
      </c>
      <c r="B554" s="506" t="s">
        <v>1542</v>
      </c>
      <c r="C554" s="507" t="s">
        <v>1408</v>
      </c>
      <c r="D554" s="507">
        <v>1500</v>
      </c>
      <c r="E554" s="507">
        <v>656</v>
      </c>
      <c r="F554" s="507">
        <v>488</v>
      </c>
      <c r="G554" s="507">
        <v>420</v>
      </c>
      <c r="H554" s="506">
        <f t="shared" si="27"/>
        <v>1564</v>
      </c>
      <c r="I554" s="506">
        <v>30</v>
      </c>
      <c r="J554" s="506">
        <f t="shared" si="28"/>
        <v>1594</v>
      </c>
      <c r="K554" s="508">
        <f t="shared" si="29"/>
        <v>26.566666666666666</v>
      </c>
      <c r="L554" s="509" t="s">
        <v>1543</v>
      </c>
    </row>
    <row r="555" spans="1:12" ht="13" x14ac:dyDescent="0.3">
      <c r="A555" s="506" t="s">
        <v>1541</v>
      </c>
      <c r="B555" s="506" t="s">
        <v>1542</v>
      </c>
      <c r="C555" s="507" t="s">
        <v>1409</v>
      </c>
      <c r="D555" s="507">
        <v>150</v>
      </c>
      <c r="E555" s="507">
        <v>266</v>
      </c>
      <c r="F555" s="507">
        <v>180</v>
      </c>
      <c r="G555" s="507">
        <v>488</v>
      </c>
      <c r="H555" s="506">
        <f t="shared" si="27"/>
        <v>934</v>
      </c>
      <c r="I555" s="506">
        <v>30</v>
      </c>
      <c r="J555" s="506">
        <f t="shared" si="28"/>
        <v>964</v>
      </c>
      <c r="K555" s="508">
        <f t="shared" si="29"/>
        <v>16.066666666666666</v>
      </c>
      <c r="L555" s="509" t="s">
        <v>1543</v>
      </c>
    </row>
    <row r="556" spans="1:12" ht="13" x14ac:dyDescent="0.3">
      <c r="A556" s="506" t="s">
        <v>1541</v>
      </c>
      <c r="B556" s="506" t="s">
        <v>1542</v>
      </c>
      <c r="C556" s="507" t="s">
        <v>1409</v>
      </c>
      <c r="D556" s="507">
        <v>300</v>
      </c>
      <c r="E556" s="507">
        <v>311</v>
      </c>
      <c r="F556" s="507">
        <v>210</v>
      </c>
      <c r="G556" s="507">
        <v>488</v>
      </c>
      <c r="H556" s="506">
        <f t="shared" si="27"/>
        <v>1009</v>
      </c>
      <c r="I556" s="506">
        <v>30</v>
      </c>
      <c r="J556" s="506">
        <f t="shared" si="28"/>
        <v>1039</v>
      </c>
      <c r="K556" s="508">
        <f t="shared" si="29"/>
        <v>17.316666666666666</v>
      </c>
      <c r="L556" s="509" t="s">
        <v>1543</v>
      </c>
    </row>
    <row r="557" spans="1:12" ht="13" x14ac:dyDescent="0.3">
      <c r="A557" s="506" t="s">
        <v>1541</v>
      </c>
      <c r="B557" s="506" t="s">
        <v>1542</v>
      </c>
      <c r="C557" s="507" t="s">
        <v>1409</v>
      </c>
      <c r="D557" s="507">
        <v>600</v>
      </c>
      <c r="E557" s="507">
        <v>401</v>
      </c>
      <c r="F557" s="507">
        <v>270</v>
      </c>
      <c r="G557" s="507">
        <v>488</v>
      </c>
      <c r="H557" s="506">
        <f t="shared" si="27"/>
        <v>1159</v>
      </c>
      <c r="I557" s="506">
        <v>30</v>
      </c>
      <c r="J557" s="506">
        <f t="shared" si="28"/>
        <v>1189</v>
      </c>
      <c r="K557" s="508">
        <f t="shared" si="29"/>
        <v>19.816666666666666</v>
      </c>
      <c r="L557" s="509" t="s">
        <v>1543</v>
      </c>
    </row>
    <row r="558" spans="1:12" ht="13" x14ac:dyDescent="0.3">
      <c r="A558" s="506" t="s">
        <v>1541</v>
      </c>
      <c r="B558" s="506" t="s">
        <v>1542</v>
      </c>
      <c r="C558" s="507" t="s">
        <v>1409</v>
      </c>
      <c r="D558" s="507">
        <v>800</v>
      </c>
      <c r="E558" s="507">
        <v>461</v>
      </c>
      <c r="F558" s="507">
        <v>310</v>
      </c>
      <c r="G558" s="507">
        <v>488</v>
      </c>
      <c r="H558" s="506">
        <f t="shared" si="27"/>
        <v>1259</v>
      </c>
      <c r="I558" s="506">
        <v>30</v>
      </c>
      <c r="J558" s="506">
        <f t="shared" si="28"/>
        <v>1289</v>
      </c>
      <c r="K558" s="508">
        <f t="shared" si="29"/>
        <v>21.483333333333334</v>
      </c>
      <c r="L558" s="509" t="s">
        <v>1543</v>
      </c>
    </row>
    <row r="559" spans="1:12" ht="13" x14ac:dyDescent="0.3">
      <c r="A559" s="506" t="s">
        <v>1541</v>
      </c>
      <c r="B559" s="506" t="s">
        <v>1542</v>
      </c>
      <c r="C559" s="507" t="s">
        <v>1409</v>
      </c>
      <c r="D559" s="507">
        <v>900</v>
      </c>
      <c r="E559" s="507">
        <v>491</v>
      </c>
      <c r="F559" s="507">
        <v>330</v>
      </c>
      <c r="G559" s="507">
        <v>488</v>
      </c>
      <c r="H559" s="506">
        <f t="shared" si="27"/>
        <v>1309</v>
      </c>
      <c r="I559" s="506">
        <v>30</v>
      </c>
      <c r="J559" s="506">
        <f t="shared" si="28"/>
        <v>1339</v>
      </c>
      <c r="K559" s="508">
        <f t="shared" si="29"/>
        <v>22.316666666666666</v>
      </c>
      <c r="L559" s="509" t="s">
        <v>1543</v>
      </c>
    </row>
    <row r="560" spans="1:12" ht="13" x14ac:dyDescent="0.3">
      <c r="A560" s="506" t="s">
        <v>1541</v>
      </c>
      <c r="B560" s="506" t="s">
        <v>1542</v>
      </c>
      <c r="C560" s="507" t="s">
        <v>1409</v>
      </c>
      <c r="D560" s="507">
        <v>1500</v>
      </c>
      <c r="E560" s="507">
        <v>671</v>
      </c>
      <c r="F560" s="507">
        <v>450</v>
      </c>
      <c r="G560" s="507">
        <v>488</v>
      </c>
      <c r="H560" s="506">
        <f t="shared" si="27"/>
        <v>1609</v>
      </c>
      <c r="I560" s="506">
        <v>30</v>
      </c>
      <c r="J560" s="506">
        <f t="shared" si="28"/>
        <v>1639</v>
      </c>
      <c r="K560" s="508">
        <f t="shared" si="29"/>
        <v>27.316666666666666</v>
      </c>
      <c r="L560" s="509" t="s">
        <v>1543</v>
      </c>
    </row>
    <row r="561" spans="1:12" ht="13" x14ac:dyDescent="0.3">
      <c r="A561" s="506" t="s">
        <v>1544</v>
      </c>
      <c r="B561" s="506" t="s">
        <v>1545</v>
      </c>
      <c r="C561" s="507" t="s">
        <v>1403</v>
      </c>
      <c r="D561" s="507">
        <v>150</v>
      </c>
      <c r="E561" s="507">
        <v>14</v>
      </c>
      <c r="F561" s="507">
        <v>14</v>
      </c>
      <c r="G561" s="507">
        <v>32</v>
      </c>
      <c r="H561" s="506">
        <f t="shared" si="27"/>
        <v>60</v>
      </c>
      <c r="I561" s="506">
        <v>15</v>
      </c>
      <c r="J561" s="506">
        <f t="shared" si="28"/>
        <v>75</v>
      </c>
      <c r="K561" s="508">
        <f t="shared" si="29"/>
        <v>1.25</v>
      </c>
      <c r="L561" s="509" t="s">
        <v>1546</v>
      </c>
    </row>
    <row r="562" spans="1:12" ht="13" x14ac:dyDescent="0.3">
      <c r="A562" s="506" t="s">
        <v>1544</v>
      </c>
      <c r="B562" s="506" t="s">
        <v>1545</v>
      </c>
      <c r="C562" s="507" t="s">
        <v>1403</v>
      </c>
      <c r="D562" s="507">
        <v>300</v>
      </c>
      <c r="E562" s="507">
        <v>14</v>
      </c>
      <c r="F562" s="507">
        <v>18</v>
      </c>
      <c r="G562" s="507">
        <v>32</v>
      </c>
      <c r="H562" s="506">
        <f t="shared" si="27"/>
        <v>64</v>
      </c>
      <c r="I562" s="506">
        <v>15</v>
      </c>
      <c r="J562" s="506">
        <f t="shared" si="28"/>
        <v>79</v>
      </c>
      <c r="K562" s="508">
        <f t="shared" si="29"/>
        <v>1.3166666666666667</v>
      </c>
      <c r="L562" s="509" t="s">
        <v>1546</v>
      </c>
    </row>
    <row r="563" spans="1:12" ht="13" x14ac:dyDescent="0.3">
      <c r="A563" s="506" t="s">
        <v>1544</v>
      </c>
      <c r="B563" s="506" t="s">
        <v>1545</v>
      </c>
      <c r="C563" s="507" t="s">
        <v>1403</v>
      </c>
      <c r="D563" s="507">
        <v>600</v>
      </c>
      <c r="E563" s="507">
        <v>14</v>
      </c>
      <c r="F563" s="507">
        <v>15</v>
      </c>
      <c r="G563" s="507">
        <v>32</v>
      </c>
      <c r="H563" s="506">
        <f t="shared" si="27"/>
        <v>61</v>
      </c>
      <c r="I563" s="506">
        <v>15</v>
      </c>
      <c r="J563" s="506">
        <f t="shared" si="28"/>
        <v>76</v>
      </c>
      <c r="K563" s="508">
        <f t="shared" si="29"/>
        <v>1.2666666666666666</v>
      </c>
      <c r="L563" s="509" t="s">
        <v>1546</v>
      </c>
    </row>
    <row r="564" spans="1:12" ht="13" x14ac:dyDescent="0.3">
      <c r="A564" s="506" t="s">
        <v>1544</v>
      </c>
      <c r="B564" s="506" t="s">
        <v>1545</v>
      </c>
      <c r="C564" s="507" t="s">
        <v>1403</v>
      </c>
      <c r="D564" s="507">
        <v>800</v>
      </c>
      <c r="E564" s="507">
        <v>14</v>
      </c>
      <c r="F564" s="507">
        <v>14</v>
      </c>
      <c r="G564" s="507">
        <v>32</v>
      </c>
      <c r="H564" s="506">
        <f t="shared" si="27"/>
        <v>60</v>
      </c>
      <c r="I564" s="506">
        <v>15</v>
      </c>
      <c r="J564" s="506">
        <f t="shared" si="28"/>
        <v>75</v>
      </c>
      <c r="K564" s="508">
        <f t="shared" si="29"/>
        <v>1.25</v>
      </c>
      <c r="L564" s="509" t="s">
        <v>1546</v>
      </c>
    </row>
    <row r="565" spans="1:12" ht="13" x14ac:dyDescent="0.3">
      <c r="A565" s="506" t="s">
        <v>1544</v>
      </c>
      <c r="B565" s="506" t="s">
        <v>1545</v>
      </c>
      <c r="C565" s="507" t="s">
        <v>1403</v>
      </c>
      <c r="D565" s="507">
        <v>900</v>
      </c>
      <c r="E565" s="507">
        <v>14</v>
      </c>
      <c r="F565" s="507">
        <v>14</v>
      </c>
      <c r="G565" s="507">
        <v>32</v>
      </c>
      <c r="H565" s="506">
        <f t="shared" si="27"/>
        <v>60</v>
      </c>
      <c r="I565" s="506">
        <v>15</v>
      </c>
      <c r="J565" s="506">
        <f t="shared" si="28"/>
        <v>75</v>
      </c>
      <c r="K565" s="508">
        <f t="shared" si="29"/>
        <v>1.25</v>
      </c>
      <c r="L565" s="509" t="s">
        <v>1546</v>
      </c>
    </row>
    <row r="566" spans="1:12" ht="13" x14ac:dyDescent="0.3">
      <c r="A566" s="506" t="s">
        <v>1544</v>
      </c>
      <c r="B566" s="506" t="s">
        <v>1545</v>
      </c>
      <c r="C566" s="507" t="s">
        <v>1403</v>
      </c>
      <c r="D566" s="507">
        <v>1500</v>
      </c>
      <c r="E566" s="507">
        <v>14</v>
      </c>
      <c r="F566" s="507">
        <v>18</v>
      </c>
      <c r="G566" s="507">
        <v>32</v>
      </c>
      <c r="H566" s="506">
        <f t="shared" si="27"/>
        <v>64</v>
      </c>
      <c r="I566" s="506">
        <v>15</v>
      </c>
      <c r="J566" s="506">
        <f t="shared" si="28"/>
        <v>79</v>
      </c>
      <c r="K566" s="508">
        <f t="shared" si="29"/>
        <v>1.3166666666666667</v>
      </c>
      <c r="L566" s="509" t="s">
        <v>1546</v>
      </c>
    </row>
    <row r="567" spans="1:12" ht="13" x14ac:dyDescent="0.3">
      <c r="A567" s="506" t="s">
        <v>1544</v>
      </c>
      <c r="B567" s="506" t="s">
        <v>1545</v>
      </c>
      <c r="C567" s="507" t="s">
        <v>1404</v>
      </c>
      <c r="D567" s="507">
        <v>150</v>
      </c>
      <c r="E567" s="507">
        <v>18</v>
      </c>
      <c r="F567" s="507">
        <v>14</v>
      </c>
      <c r="G567" s="507">
        <v>32</v>
      </c>
      <c r="H567" s="506">
        <f t="shared" si="27"/>
        <v>64</v>
      </c>
      <c r="I567" s="506">
        <v>15</v>
      </c>
      <c r="J567" s="506">
        <f t="shared" si="28"/>
        <v>79</v>
      </c>
      <c r="K567" s="508">
        <f t="shared" si="29"/>
        <v>1.3166666666666667</v>
      </c>
      <c r="L567" s="509" t="s">
        <v>1546</v>
      </c>
    </row>
    <row r="568" spans="1:12" ht="13" x14ac:dyDescent="0.3">
      <c r="A568" s="506" t="s">
        <v>1544</v>
      </c>
      <c r="B568" s="506" t="s">
        <v>1545</v>
      </c>
      <c r="C568" s="507" t="s">
        <v>1404</v>
      </c>
      <c r="D568" s="507">
        <v>300</v>
      </c>
      <c r="E568" s="507">
        <v>18</v>
      </c>
      <c r="F568" s="507">
        <v>22</v>
      </c>
      <c r="G568" s="507">
        <v>32</v>
      </c>
      <c r="H568" s="506">
        <f t="shared" si="27"/>
        <v>72</v>
      </c>
      <c r="I568" s="506">
        <v>15</v>
      </c>
      <c r="J568" s="506">
        <f t="shared" si="28"/>
        <v>87</v>
      </c>
      <c r="K568" s="508">
        <f t="shared" si="29"/>
        <v>1.45</v>
      </c>
      <c r="L568" s="509" t="s">
        <v>1546</v>
      </c>
    </row>
    <row r="569" spans="1:12" ht="13" x14ac:dyDescent="0.3">
      <c r="A569" s="506" t="s">
        <v>1544</v>
      </c>
      <c r="B569" s="506" t="s">
        <v>1545</v>
      </c>
      <c r="C569" s="507" t="s">
        <v>1404</v>
      </c>
      <c r="D569" s="507">
        <v>600</v>
      </c>
      <c r="E569" s="507">
        <v>18</v>
      </c>
      <c r="F569" s="507">
        <v>17</v>
      </c>
      <c r="G569" s="507">
        <v>32</v>
      </c>
      <c r="H569" s="506">
        <f t="shared" si="27"/>
        <v>67</v>
      </c>
      <c r="I569" s="506">
        <v>15</v>
      </c>
      <c r="J569" s="506">
        <f t="shared" si="28"/>
        <v>82</v>
      </c>
      <c r="K569" s="508">
        <f t="shared" si="29"/>
        <v>1.3666666666666667</v>
      </c>
      <c r="L569" s="509" t="s">
        <v>1546</v>
      </c>
    </row>
    <row r="570" spans="1:12" ht="13" x14ac:dyDescent="0.3">
      <c r="A570" s="506" t="s">
        <v>1544</v>
      </c>
      <c r="B570" s="506" t="s">
        <v>1545</v>
      </c>
      <c r="C570" s="507" t="s">
        <v>1404</v>
      </c>
      <c r="D570" s="507">
        <v>800</v>
      </c>
      <c r="E570" s="507">
        <v>18</v>
      </c>
      <c r="F570" s="507">
        <v>14</v>
      </c>
      <c r="G570" s="507">
        <v>32</v>
      </c>
      <c r="H570" s="506">
        <f t="shared" si="27"/>
        <v>64</v>
      </c>
      <c r="I570" s="506">
        <v>15</v>
      </c>
      <c r="J570" s="506">
        <f t="shared" si="28"/>
        <v>79</v>
      </c>
      <c r="K570" s="508">
        <f t="shared" si="29"/>
        <v>1.3166666666666667</v>
      </c>
      <c r="L570" s="509" t="s">
        <v>1546</v>
      </c>
    </row>
    <row r="571" spans="1:12" ht="13" x14ac:dyDescent="0.3">
      <c r="A571" s="506" t="s">
        <v>1544</v>
      </c>
      <c r="B571" s="506" t="s">
        <v>1545</v>
      </c>
      <c r="C571" s="507" t="s">
        <v>1404</v>
      </c>
      <c r="D571" s="507">
        <v>900</v>
      </c>
      <c r="E571" s="507">
        <v>18</v>
      </c>
      <c r="F571" s="507">
        <v>14</v>
      </c>
      <c r="G571" s="507">
        <v>32</v>
      </c>
      <c r="H571" s="506">
        <f t="shared" si="27"/>
        <v>64</v>
      </c>
      <c r="I571" s="506">
        <v>15</v>
      </c>
      <c r="J571" s="506">
        <f t="shared" si="28"/>
        <v>79</v>
      </c>
      <c r="K571" s="508">
        <f t="shared" si="29"/>
        <v>1.3166666666666667</v>
      </c>
      <c r="L571" s="509" t="s">
        <v>1546</v>
      </c>
    </row>
    <row r="572" spans="1:12" ht="13" x14ac:dyDescent="0.3">
      <c r="A572" s="506" t="s">
        <v>1544</v>
      </c>
      <c r="B572" s="506" t="s">
        <v>1545</v>
      </c>
      <c r="C572" s="507" t="s">
        <v>1404</v>
      </c>
      <c r="D572" s="507">
        <v>1500</v>
      </c>
      <c r="E572" s="507">
        <v>18</v>
      </c>
      <c r="F572" s="507">
        <v>22</v>
      </c>
      <c r="G572" s="507">
        <v>32</v>
      </c>
      <c r="H572" s="506">
        <f t="shared" si="27"/>
        <v>72</v>
      </c>
      <c r="I572" s="506">
        <v>15</v>
      </c>
      <c r="J572" s="506">
        <f t="shared" si="28"/>
        <v>87</v>
      </c>
      <c r="K572" s="508">
        <f t="shared" si="29"/>
        <v>1.45</v>
      </c>
      <c r="L572" s="509" t="s">
        <v>1546</v>
      </c>
    </row>
    <row r="573" spans="1:12" ht="13" x14ac:dyDescent="0.3">
      <c r="A573" s="506" t="s">
        <v>1544</v>
      </c>
      <c r="B573" s="506" t="s">
        <v>1545</v>
      </c>
      <c r="C573" s="507" t="s">
        <v>86</v>
      </c>
      <c r="D573" s="507">
        <v>150</v>
      </c>
      <c r="E573" s="507">
        <v>22</v>
      </c>
      <c r="F573" s="507">
        <v>22</v>
      </c>
      <c r="G573" s="507">
        <v>45</v>
      </c>
      <c r="H573" s="506">
        <f t="shared" si="27"/>
        <v>89</v>
      </c>
      <c r="I573" s="506">
        <v>15</v>
      </c>
      <c r="J573" s="506">
        <f t="shared" si="28"/>
        <v>104</v>
      </c>
      <c r="K573" s="508">
        <f t="shared" si="29"/>
        <v>1.7333333333333334</v>
      </c>
      <c r="L573" s="509" t="s">
        <v>1546</v>
      </c>
    </row>
    <row r="574" spans="1:12" ht="13" x14ac:dyDescent="0.3">
      <c r="A574" s="506" t="s">
        <v>1544</v>
      </c>
      <c r="B574" s="506" t="s">
        <v>1545</v>
      </c>
      <c r="C574" s="507" t="s">
        <v>86</v>
      </c>
      <c r="D574" s="507">
        <v>300</v>
      </c>
      <c r="E574" s="507">
        <v>22</v>
      </c>
      <c r="F574" s="507">
        <v>27</v>
      </c>
      <c r="G574" s="507">
        <v>45</v>
      </c>
      <c r="H574" s="506">
        <f t="shared" si="27"/>
        <v>94</v>
      </c>
      <c r="I574" s="506">
        <v>15</v>
      </c>
      <c r="J574" s="506">
        <f t="shared" si="28"/>
        <v>109</v>
      </c>
      <c r="K574" s="508">
        <f t="shared" si="29"/>
        <v>1.8166666666666667</v>
      </c>
      <c r="L574" s="509" t="s">
        <v>1546</v>
      </c>
    </row>
    <row r="575" spans="1:12" ht="13" x14ac:dyDescent="0.3">
      <c r="A575" s="506" t="s">
        <v>1544</v>
      </c>
      <c r="B575" s="506" t="s">
        <v>1545</v>
      </c>
      <c r="C575" s="507" t="s">
        <v>86</v>
      </c>
      <c r="D575" s="507">
        <v>600</v>
      </c>
      <c r="E575" s="507">
        <v>22</v>
      </c>
      <c r="F575" s="507">
        <v>24</v>
      </c>
      <c r="G575" s="507">
        <v>45</v>
      </c>
      <c r="H575" s="506">
        <f t="shared" si="27"/>
        <v>91</v>
      </c>
      <c r="I575" s="506">
        <v>15</v>
      </c>
      <c r="J575" s="506">
        <f t="shared" si="28"/>
        <v>106</v>
      </c>
      <c r="K575" s="508">
        <f t="shared" si="29"/>
        <v>1.7666666666666666</v>
      </c>
      <c r="L575" s="509" t="s">
        <v>1546</v>
      </c>
    </row>
    <row r="576" spans="1:12" ht="13" x14ac:dyDescent="0.3">
      <c r="A576" s="506" t="s">
        <v>1544</v>
      </c>
      <c r="B576" s="506" t="s">
        <v>1545</v>
      </c>
      <c r="C576" s="507" t="s">
        <v>86</v>
      </c>
      <c r="D576" s="507">
        <v>800</v>
      </c>
      <c r="E576" s="507">
        <v>22</v>
      </c>
      <c r="F576" s="507">
        <v>22</v>
      </c>
      <c r="G576" s="507">
        <v>45</v>
      </c>
      <c r="H576" s="506">
        <f t="shared" si="27"/>
        <v>89</v>
      </c>
      <c r="I576" s="506">
        <v>15</v>
      </c>
      <c r="J576" s="506">
        <f t="shared" si="28"/>
        <v>104</v>
      </c>
      <c r="K576" s="508">
        <f t="shared" si="29"/>
        <v>1.7333333333333334</v>
      </c>
      <c r="L576" s="509" t="s">
        <v>1546</v>
      </c>
    </row>
    <row r="577" spans="1:12" ht="13" x14ac:dyDescent="0.3">
      <c r="A577" s="506" t="s">
        <v>1544</v>
      </c>
      <c r="B577" s="506" t="s">
        <v>1545</v>
      </c>
      <c r="C577" s="507" t="s">
        <v>86</v>
      </c>
      <c r="D577" s="507">
        <v>900</v>
      </c>
      <c r="E577" s="507">
        <v>23</v>
      </c>
      <c r="F577" s="507">
        <v>23</v>
      </c>
      <c r="G577" s="507">
        <v>45</v>
      </c>
      <c r="H577" s="506">
        <f t="shared" si="27"/>
        <v>91</v>
      </c>
      <c r="I577" s="506">
        <v>15</v>
      </c>
      <c r="J577" s="506">
        <f t="shared" si="28"/>
        <v>106</v>
      </c>
      <c r="K577" s="508">
        <f t="shared" si="29"/>
        <v>1.7666666666666666</v>
      </c>
      <c r="L577" s="509" t="s">
        <v>1546</v>
      </c>
    </row>
    <row r="578" spans="1:12" ht="13" x14ac:dyDescent="0.3">
      <c r="A578" s="506" t="s">
        <v>1544</v>
      </c>
      <c r="B578" s="506" t="s">
        <v>1545</v>
      </c>
      <c r="C578" s="507" t="s">
        <v>86</v>
      </c>
      <c r="D578" s="507">
        <v>1500</v>
      </c>
      <c r="E578" s="507">
        <v>27</v>
      </c>
      <c r="F578" s="507">
        <v>27</v>
      </c>
      <c r="G578" s="507">
        <v>45</v>
      </c>
      <c r="H578" s="506">
        <f t="shared" si="27"/>
        <v>99</v>
      </c>
      <c r="I578" s="506">
        <v>15</v>
      </c>
      <c r="J578" s="506">
        <f t="shared" si="28"/>
        <v>114</v>
      </c>
      <c r="K578" s="508">
        <f t="shared" si="29"/>
        <v>1.9</v>
      </c>
      <c r="L578" s="509" t="s">
        <v>1546</v>
      </c>
    </row>
    <row r="579" spans="1:12" ht="13" x14ac:dyDescent="0.3">
      <c r="A579" s="506" t="s">
        <v>1544</v>
      </c>
      <c r="B579" s="506" t="s">
        <v>1545</v>
      </c>
      <c r="C579" s="507" t="s">
        <v>1405</v>
      </c>
      <c r="D579" s="507">
        <v>150</v>
      </c>
      <c r="E579" s="507">
        <v>22</v>
      </c>
      <c r="F579" s="507">
        <v>22</v>
      </c>
      <c r="G579" s="507">
        <v>45</v>
      </c>
      <c r="H579" s="506">
        <f t="shared" si="27"/>
        <v>89</v>
      </c>
      <c r="I579" s="506">
        <v>20</v>
      </c>
      <c r="J579" s="506">
        <f t="shared" si="28"/>
        <v>109</v>
      </c>
      <c r="K579" s="508">
        <f t="shared" si="29"/>
        <v>1.8166666666666667</v>
      </c>
      <c r="L579" s="509" t="s">
        <v>1546</v>
      </c>
    </row>
    <row r="580" spans="1:12" ht="13" x14ac:dyDescent="0.3">
      <c r="A580" s="506" t="s">
        <v>1544</v>
      </c>
      <c r="B580" s="506" t="s">
        <v>1545</v>
      </c>
      <c r="C580" s="507" t="s">
        <v>1405</v>
      </c>
      <c r="D580" s="507">
        <v>300</v>
      </c>
      <c r="E580" s="507">
        <v>22</v>
      </c>
      <c r="F580" s="507">
        <v>27</v>
      </c>
      <c r="G580" s="507">
        <v>45</v>
      </c>
      <c r="H580" s="506">
        <f t="shared" si="27"/>
        <v>94</v>
      </c>
      <c r="I580" s="506">
        <v>20</v>
      </c>
      <c r="J580" s="506">
        <f t="shared" si="28"/>
        <v>114</v>
      </c>
      <c r="K580" s="508">
        <f t="shared" si="29"/>
        <v>1.9</v>
      </c>
      <c r="L580" s="509" t="s">
        <v>1546</v>
      </c>
    </row>
    <row r="581" spans="1:12" ht="13" x14ac:dyDescent="0.3">
      <c r="A581" s="506" t="s">
        <v>1544</v>
      </c>
      <c r="B581" s="506" t="s">
        <v>1545</v>
      </c>
      <c r="C581" s="507" t="s">
        <v>1405</v>
      </c>
      <c r="D581" s="507">
        <v>600</v>
      </c>
      <c r="E581" s="507">
        <v>22</v>
      </c>
      <c r="F581" s="507">
        <v>24</v>
      </c>
      <c r="G581" s="507">
        <v>45</v>
      </c>
      <c r="H581" s="506">
        <f t="shared" si="27"/>
        <v>91</v>
      </c>
      <c r="I581" s="506">
        <v>20</v>
      </c>
      <c r="J581" s="506">
        <f t="shared" si="28"/>
        <v>111</v>
      </c>
      <c r="K581" s="508">
        <f t="shared" si="29"/>
        <v>1.85</v>
      </c>
      <c r="L581" s="509" t="s">
        <v>1546</v>
      </c>
    </row>
    <row r="582" spans="1:12" ht="13" x14ac:dyDescent="0.3">
      <c r="A582" s="506" t="s">
        <v>1544</v>
      </c>
      <c r="B582" s="506" t="s">
        <v>1545</v>
      </c>
      <c r="C582" s="507" t="s">
        <v>1405</v>
      </c>
      <c r="D582" s="507">
        <v>800</v>
      </c>
      <c r="E582" s="507">
        <v>22</v>
      </c>
      <c r="F582" s="507">
        <v>22</v>
      </c>
      <c r="G582" s="507">
        <v>45</v>
      </c>
      <c r="H582" s="506">
        <f t="shared" si="27"/>
        <v>89</v>
      </c>
      <c r="I582" s="506">
        <v>20</v>
      </c>
      <c r="J582" s="506">
        <f t="shared" si="28"/>
        <v>109</v>
      </c>
      <c r="K582" s="508">
        <f t="shared" si="29"/>
        <v>1.8166666666666667</v>
      </c>
      <c r="L582" s="509" t="s">
        <v>1546</v>
      </c>
    </row>
    <row r="583" spans="1:12" ht="13" x14ac:dyDescent="0.3">
      <c r="A583" s="506" t="s">
        <v>1544</v>
      </c>
      <c r="B583" s="506" t="s">
        <v>1545</v>
      </c>
      <c r="C583" s="507" t="s">
        <v>1405</v>
      </c>
      <c r="D583" s="507">
        <v>900</v>
      </c>
      <c r="E583" s="507">
        <v>23</v>
      </c>
      <c r="F583" s="507">
        <v>23</v>
      </c>
      <c r="G583" s="507">
        <v>45</v>
      </c>
      <c r="H583" s="506">
        <f t="shared" si="27"/>
        <v>91</v>
      </c>
      <c r="I583" s="506">
        <v>20</v>
      </c>
      <c r="J583" s="506">
        <f t="shared" si="28"/>
        <v>111</v>
      </c>
      <c r="K583" s="508">
        <f t="shared" si="29"/>
        <v>1.85</v>
      </c>
      <c r="L583" s="509" t="s">
        <v>1546</v>
      </c>
    </row>
    <row r="584" spans="1:12" ht="13" x14ac:dyDescent="0.3">
      <c r="A584" s="506" t="s">
        <v>1544</v>
      </c>
      <c r="B584" s="506" t="s">
        <v>1545</v>
      </c>
      <c r="C584" s="507" t="s">
        <v>1405</v>
      </c>
      <c r="D584" s="507">
        <v>1500</v>
      </c>
      <c r="E584" s="507">
        <v>27</v>
      </c>
      <c r="F584" s="507">
        <v>27</v>
      </c>
      <c r="G584" s="507">
        <v>45</v>
      </c>
      <c r="H584" s="506">
        <f t="shared" si="27"/>
        <v>99</v>
      </c>
      <c r="I584" s="506">
        <v>20</v>
      </c>
      <c r="J584" s="506">
        <f t="shared" si="28"/>
        <v>119</v>
      </c>
      <c r="K584" s="508">
        <f t="shared" si="29"/>
        <v>1.9833333333333334</v>
      </c>
      <c r="L584" s="509" t="s">
        <v>1546</v>
      </c>
    </row>
    <row r="585" spans="1:12" ht="13" x14ac:dyDescent="0.3">
      <c r="A585" s="506" t="s">
        <v>1544</v>
      </c>
      <c r="B585" s="506" t="s">
        <v>1545</v>
      </c>
      <c r="C585" s="507" t="s">
        <v>84</v>
      </c>
      <c r="D585" s="507">
        <v>150</v>
      </c>
      <c r="E585" s="507">
        <v>27</v>
      </c>
      <c r="F585" s="507">
        <v>27</v>
      </c>
      <c r="G585" s="507">
        <v>45</v>
      </c>
      <c r="H585" s="506">
        <f t="shared" si="27"/>
        <v>99</v>
      </c>
      <c r="I585" s="506">
        <v>20</v>
      </c>
      <c r="J585" s="506">
        <f t="shared" si="28"/>
        <v>119</v>
      </c>
      <c r="K585" s="508">
        <f t="shared" si="29"/>
        <v>1.9833333333333334</v>
      </c>
      <c r="L585" s="509" t="s">
        <v>1546</v>
      </c>
    </row>
    <row r="586" spans="1:12" ht="13" x14ac:dyDescent="0.3">
      <c r="A586" s="506" t="s">
        <v>1544</v>
      </c>
      <c r="B586" s="506" t="s">
        <v>1545</v>
      </c>
      <c r="C586" s="507" t="s">
        <v>84</v>
      </c>
      <c r="D586" s="507">
        <v>300</v>
      </c>
      <c r="E586" s="507">
        <v>27</v>
      </c>
      <c r="F586" s="507">
        <v>36</v>
      </c>
      <c r="G586" s="507">
        <v>45</v>
      </c>
      <c r="H586" s="506">
        <f t="shared" si="27"/>
        <v>108</v>
      </c>
      <c r="I586" s="506">
        <v>20</v>
      </c>
      <c r="J586" s="506">
        <f t="shared" si="28"/>
        <v>128</v>
      </c>
      <c r="K586" s="508">
        <f t="shared" si="29"/>
        <v>2.1333333333333333</v>
      </c>
      <c r="L586" s="509" t="s">
        <v>1546</v>
      </c>
    </row>
    <row r="587" spans="1:12" ht="13" x14ac:dyDescent="0.3">
      <c r="A587" s="506" t="s">
        <v>1544</v>
      </c>
      <c r="B587" s="506" t="s">
        <v>1545</v>
      </c>
      <c r="C587" s="507" t="s">
        <v>84</v>
      </c>
      <c r="D587" s="507">
        <v>600</v>
      </c>
      <c r="E587" s="507">
        <v>27</v>
      </c>
      <c r="F587" s="507">
        <v>54</v>
      </c>
      <c r="G587" s="507">
        <v>45</v>
      </c>
      <c r="H587" s="506">
        <f t="shared" si="27"/>
        <v>126</v>
      </c>
      <c r="I587" s="506">
        <v>20</v>
      </c>
      <c r="J587" s="506">
        <f t="shared" si="28"/>
        <v>146</v>
      </c>
      <c r="K587" s="508">
        <f t="shared" si="29"/>
        <v>2.4333333333333331</v>
      </c>
      <c r="L587" s="509" t="s">
        <v>1546</v>
      </c>
    </row>
    <row r="588" spans="1:12" ht="13" x14ac:dyDescent="0.3">
      <c r="A588" s="506" t="s">
        <v>1544</v>
      </c>
      <c r="B588" s="506" t="s">
        <v>1545</v>
      </c>
      <c r="C588" s="507" t="s">
        <v>84</v>
      </c>
      <c r="D588" s="507">
        <v>800</v>
      </c>
      <c r="E588" s="507">
        <v>27</v>
      </c>
      <c r="F588" s="507">
        <v>66</v>
      </c>
      <c r="G588" s="507">
        <v>45</v>
      </c>
      <c r="H588" s="506">
        <f t="shared" si="27"/>
        <v>138</v>
      </c>
      <c r="I588" s="506">
        <v>20</v>
      </c>
      <c r="J588" s="506">
        <f t="shared" si="28"/>
        <v>158</v>
      </c>
      <c r="K588" s="508">
        <f t="shared" si="29"/>
        <v>2.6333333333333333</v>
      </c>
      <c r="L588" s="509" t="s">
        <v>1546</v>
      </c>
    </row>
    <row r="589" spans="1:12" ht="13" x14ac:dyDescent="0.3">
      <c r="A589" s="506" t="s">
        <v>1544</v>
      </c>
      <c r="B589" s="506" t="s">
        <v>1545</v>
      </c>
      <c r="C589" s="507" t="s">
        <v>84</v>
      </c>
      <c r="D589" s="507">
        <v>900</v>
      </c>
      <c r="E589" s="507">
        <v>27</v>
      </c>
      <c r="F589" s="507">
        <v>72</v>
      </c>
      <c r="G589" s="507">
        <v>45</v>
      </c>
      <c r="H589" s="506">
        <f t="shared" si="27"/>
        <v>144</v>
      </c>
      <c r="I589" s="506">
        <v>20</v>
      </c>
      <c r="J589" s="506">
        <f t="shared" si="28"/>
        <v>164</v>
      </c>
      <c r="K589" s="508">
        <f t="shared" si="29"/>
        <v>2.7333333333333334</v>
      </c>
      <c r="L589" s="509" t="s">
        <v>1546</v>
      </c>
    </row>
    <row r="590" spans="1:12" ht="13" x14ac:dyDescent="0.3">
      <c r="A590" s="506" t="s">
        <v>1544</v>
      </c>
      <c r="B590" s="506" t="s">
        <v>1545</v>
      </c>
      <c r="C590" s="507" t="s">
        <v>84</v>
      </c>
      <c r="D590" s="507">
        <v>1500</v>
      </c>
      <c r="E590" s="507">
        <v>27</v>
      </c>
      <c r="F590" s="507">
        <v>108</v>
      </c>
      <c r="G590" s="507">
        <v>45</v>
      </c>
      <c r="H590" s="506">
        <f t="shared" si="27"/>
        <v>180</v>
      </c>
      <c r="I590" s="506">
        <v>20</v>
      </c>
      <c r="J590" s="506">
        <f t="shared" si="28"/>
        <v>200</v>
      </c>
      <c r="K590" s="508">
        <f t="shared" si="29"/>
        <v>3.3333333333333335</v>
      </c>
      <c r="L590" s="509" t="s">
        <v>1546</v>
      </c>
    </row>
    <row r="591" spans="1:12" ht="13" x14ac:dyDescent="0.3">
      <c r="A591" s="506" t="s">
        <v>1544</v>
      </c>
      <c r="B591" s="506" t="s">
        <v>1545</v>
      </c>
      <c r="C591" s="507" t="s">
        <v>82</v>
      </c>
      <c r="D591" s="507">
        <v>150</v>
      </c>
      <c r="E591" s="507">
        <v>40</v>
      </c>
      <c r="F591" s="507">
        <v>36</v>
      </c>
      <c r="G591" s="507">
        <v>72</v>
      </c>
      <c r="H591" s="506">
        <f t="shared" ref="H591:H654" si="30">E591+F591+G591</f>
        <v>148</v>
      </c>
      <c r="I591" s="506">
        <v>20</v>
      </c>
      <c r="J591" s="506">
        <f t="shared" ref="J591:J654" si="31">H591+I591</f>
        <v>168</v>
      </c>
      <c r="K591" s="508">
        <f t="shared" ref="K591:K654" si="32">J591/60</f>
        <v>2.8</v>
      </c>
      <c r="L591" s="509" t="s">
        <v>1546</v>
      </c>
    </row>
    <row r="592" spans="1:12" ht="13" x14ac:dyDescent="0.3">
      <c r="A592" s="506" t="s">
        <v>1544</v>
      </c>
      <c r="B592" s="506" t="s">
        <v>1545</v>
      </c>
      <c r="C592" s="507" t="s">
        <v>82</v>
      </c>
      <c r="D592" s="507">
        <v>300</v>
      </c>
      <c r="E592" s="507">
        <v>40</v>
      </c>
      <c r="F592" s="507">
        <v>50</v>
      </c>
      <c r="G592" s="507">
        <v>72</v>
      </c>
      <c r="H592" s="506">
        <f t="shared" si="30"/>
        <v>162</v>
      </c>
      <c r="I592" s="506">
        <v>20</v>
      </c>
      <c r="J592" s="506">
        <f t="shared" si="31"/>
        <v>182</v>
      </c>
      <c r="K592" s="508">
        <f t="shared" si="32"/>
        <v>3.0333333333333332</v>
      </c>
      <c r="L592" s="509" t="s">
        <v>1546</v>
      </c>
    </row>
    <row r="593" spans="1:12" ht="13" x14ac:dyDescent="0.3">
      <c r="A593" s="506" t="s">
        <v>1544</v>
      </c>
      <c r="B593" s="506" t="s">
        <v>1545</v>
      </c>
      <c r="C593" s="507" t="s">
        <v>82</v>
      </c>
      <c r="D593" s="507">
        <v>600</v>
      </c>
      <c r="E593" s="507">
        <v>40</v>
      </c>
      <c r="F593" s="507">
        <v>76</v>
      </c>
      <c r="G593" s="507">
        <v>72</v>
      </c>
      <c r="H593" s="506">
        <f t="shared" si="30"/>
        <v>188</v>
      </c>
      <c r="I593" s="506">
        <v>20</v>
      </c>
      <c r="J593" s="506">
        <f t="shared" si="31"/>
        <v>208</v>
      </c>
      <c r="K593" s="508">
        <f t="shared" si="32"/>
        <v>3.4666666666666668</v>
      </c>
      <c r="L593" s="509" t="s">
        <v>1546</v>
      </c>
    </row>
    <row r="594" spans="1:12" ht="13" x14ac:dyDescent="0.3">
      <c r="A594" s="506" t="s">
        <v>1544</v>
      </c>
      <c r="B594" s="506" t="s">
        <v>1545</v>
      </c>
      <c r="C594" s="507" t="s">
        <v>82</v>
      </c>
      <c r="D594" s="507">
        <v>800</v>
      </c>
      <c r="E594" s="507">
        <v>40</v>
      </c>
      <c r="F594" s="507">
        <v>94</v>
      </c>
      <c r="G594" s="507">
        <v>72</v>
      </c>
      <c r="H594" s="506">
        <f t="shared" si="30"/>
        <v>206</v>
      </c>
      <c r="I594" s="506">
        <v>20</v>
      </c>
      <c r="J594" s="506">
        <f t="shared" si="31"/>
        <v>226</v>
      </c>
      <c r="K594" s="508">
        <f t="shared" si="32"/>
        <v>3.7666666666666666</v>
      </c>
      <c r="L594" s="509" t="s">
        <v>1546</v>
      </c>
    </row>
    <row r="595" spans="1:12" ht="13" x14ac:dyDescent="0.3">
      <c r="A595" s="506" t="s">
        <v>1544</v>
      </c>
      <c r="B595" s="506" t="s">
        <v>1545</v>
      </c>
      <c r="C595" s="507" t="s">
        <v>82</v>
      </c>
      <c r="D595" s="507">
        <v>900</v>
      </c>
      <c r="E595" s="507">
        <v>40</v>
      </c>
      <c r="F595" s="507">
        <v>104</v>
      </c>
      <c r="G595" s="507">
        <v>72</v>
      </c>
      <c r="H595" s="506">
        <f t="shared" si="30"/>
        <v>216</v>
      </c>
      <c r="I595" s="506">
        <v>20</v>
      </c>
      <c r="J595" s="506">
        <f t="shared" si="31"/>
        <v>236</v>
      </c>
      <c r="K595" s="508">
        <f t="shared" si="32"/>
        <v>3.9333333333333331</v>
      </c>
      <c r="L595" s="509" t="s">
        <v>1546</v>
      </c>
    </row>
    <row r="596" spans="1:12" ht="13" x14ac:dyDescent="0.3">
      <c r="A596" s="506" t="s">
        <v>1544</v>
      </c>
      <c r="B596" s="506" t="s">
        <v>1545</v>
      </c>
      <c r="C596" s="507" t="s">
        <v>82</v>
      </c>
      <c r="D596" s="507">
        <v>1500</v>
      </c>
      <c r="E596" s="507">
        <v>40</v>
      </c>
      <c r="F596" s="507">
        <v>158</v>
      </c>
      <c r="G596" s="507">
        <v>72</v>
      </c>
      <c r="H596" s="506">
        <f t="shared" si="30"/>
        <v>270</v>
      </c>
      <c r="I596" s="506">
        <v>20</v>
      </c>
      <c r="J596" s="506">
        <f t="shared" si="31"/>
        <v>290</v>
      </c>
      <c r="K596" s="508">
        <f t="shared" si="32"/>
        <v>4.833333333333333</v>
      </c>
      <c r="L596" s="509" t="s">
        <v>1546</v>
      </c>
    </row>
    <row r="597" spans="1:12" ht="13" x14ac:dyDescent="0.3">
      <c r="A597" s="506" t="s">
        <v>1544</v>
      </c>
      <c r="B597" s="506" t="s">
        <v>1545</v>
      </c>
      <c r="C597" s="507" t="s">
        <v>120</v>
      </c>
      <c r="D597" s="507">
        <v>150</v>
      </c>
      <c r="E597" s="507">
        <v>50</v>
      </c>
      <c r="F597" s="507">
        <v>40</v>
      </c>
      <c r="G597" s="507">
        <v>90</v>
      </c>
      <c r="H597" s="506">
        <f t="shared" si="30"/>
        <v>180</v>
      </c>
      <c r="I597" s="506">
        <v>20</v>
      </c>
      <c r="J597" s="506">
        <f t="shared" si="31"/>
        <v>200</v>
      </c>
      <c r="K597" s="508">
        <f t="shared" si="32"/>
        <v>3.3333333333333335</v>
      </c>
      <c r="L597" s="509" t="s">
        <v>1546</v>
      </c>
    </row>
    <row r="598" spans="1:12" ht="13" x14ac:dyDescent="0.3">
      <c r="A598" s="506" t="s">
        <v>1544</v>
      </c>
      <c r="B598" s="506" t="s">
        <v>1545</v>
      </c>
      <c r="C598" s="507" t="s">
        <v>120</v>
      </c>
      <c r="D598" s="507">
        <v>300</v>
      </c>
      <c r="E598" s="507">
        <v>50</v>
      </c>
      <c r="F598" s="507">
        <v>63</v>
      </c>
      <c r="G598" s="507">
        <v>90</v>
      </c>
      <c r="H598" s="506">
        <f t="shared" si="30"/>
        <v>203</v>
      </c>
      <c r="I598" s="506">
        <v>20</v>
      </c>
      <c r="J598" s="506">
        <f t="shared" si="31"/>
        <v>223</v>
      </c>
      <c r="K598" s="508">
        <f t="shared" si="32"/>
        <v>3.7166666666666668</v>
      </c>
      <c r="L598" s="509" t="s">
        <v>1546</v>
      </c>
    </row>
    <row r="599" spans="1:12" ht="13" x14ac:dyDescent="0.3">
      <c r="A599" s="506" t="s">
        <v>1544</v>
      </c>
      <c r="B599" s="506" t="s">
        <v>1545</v>
      </c>
      <c r="C599" s="507" t="s">
        <v>120</v>
      </c>
      <c r="D599" s="507">
        <v>600</v>
      </c>
      <c r="E599" s="507">
        <v>50</v>
      </c>
      <c r="F599" s="507">
        <v>108</v>
      </c>
      <c r="G599" s="507">
        <v>90</v>
      </c>
      <c r="H599" s="506">
        <f t="shared" si="30"/>
        <v>248</v>
      </c>
      <c r="I599" s="506">
        <v>20</v>
      </c>
      <c r="J599" s="506">
        <f t="shared" si="31"/>
        <v>268</v>
      </c>
      <c r="K599" s="508">
        <f t="shared" si="32"/>
        <v>4.4666666666666668</v>
      </c>
      <c r="L599" s="509" t="s">
        <v>1546</v>
      </c>
    </row>
    <row r="600" spans="1:12" ht="13" x14ac:dyDescent="0.3">
      <c r="A600" s="506" t="s">
        <v>1544</v>
      </c>
      <c r="B600" s="506" t="s">
        <v>1545</v>
      </c>
      <c r="C600" s="507" t="s">
        <v>120</v>
      </c>
      <c r="D600" s="507">
        <v>800</v>
      </c>
      <c r="E600" s="507">
        <v>50</v>
      </c>
      <c r="F600" s="507">
        <v>138</v>
      </c>
      <c r="G600" s="507">
        <v>90</v>
      </c>
      <c r="H600" s="506">
        <f t="shared" si="30"/>
        <v>278</v>
      </c>
      <c r="I600" s="506">
        <v>20</v>
      </c>
      <c r="J600" s="506">
        <f t="shared" si="31"/>
        <v>298</v>
      </c>
      <c r="K600" s="508">
        <f t="shared" si="32"/>
        <v>4.9666666666666668</v>
      </c>
      <c r="L600" s="509" t="s">
        <v>1546</v>
      </c>
    </row>
    <row r="601" spans="1:12" ht="13" x14ac:dyDescent="0.3">
      <c r="A601" s="506" t="s">
        <v>1544</v>
      </c>
      <c r="B601" s="506" t="s">
        <v>1545</v>
      </c>
      <c r="C601" s="507" t="s">
        <v>120</v>
      </c>
      <c r="D601" s="507">
        <v>900</v>
      </c>
      <c r="E601" s="507">
        <v>50</v>
      </c>
      <c r="F601" s="507">
        <v>153</v>
      </c>
      <c r="G601" s="507">
        <v>90</v>
      </c>
      <c r="H601" s="506">
        <f t="shared" si="30"/>
        <v>293</v>
      </c>
      <c r="I601" s="506">
        <v>20</v>
      </c>
      <c r="J601" s="506">
        <f t="shared" si="31"/>
        <v>313</v>
      </c>
      <c r="K601" s="508">
        <f t="shared" si="32"/>
        <v>5.2166666666666668</v>
      </c>
      <c r="L601" s="509" t="s">
        <v>1546</v>
      </c>
    </row>
    <row r="602" spans="1:12" ht="13" x14ac:dyDescent="0.3">
      <c r="A602" s="506" t="s">
        <v>1544</v>
      </c>
      <c r="B602" s="506" t="s">
        <v>1545</v>
      </c>
      <c r="C602" s="507" t="s">
        <v>120</v>
      </c>
      <c r="D602" s="507">
        <v>1500</v>
      </c>
      <c r="E602" s="507">
        <v>50</v>
      </c>
      <c r="F602" s="507">
        <v>243</v>
      </c>
      <c r="G602" s="507">
        <v>90</v>
      </c>
      <c r="H602" s="506">
        <f t="shared" si="30"/>
        <v>383</v>
      </c>
      <c r="I602" s="506">
        <v>20</v>
      </c>
      <c r="J602" s="506">
        <f t="shared" si="31"/>
        <v>403</v>
      </c>
      <c r="K602" s="508">
        <f t="shared" si="32"/>
        <v>6.7166666666666668</v>
      </c>
      <c r="L602" s="509" t="s">
        <v>1546</v>
      </c>
    </row>
    <row r="603" spans="1:12" ht="13" x14ac:dyDescent="0.3">
      <c r="A603" s="506" t="s">
        <v>1544</v>
      </c>
      <c r="B603" s="506" t="s">
        <v>1545</v>
      </c>
      <c r="C603" s="507" t="s">
        <v>80</v>
      </c>
      <c r="D603" s="507">
        <v>150</v>
      </c>
      <c r="E603" s="507">
        <v>81</v>
      </c>
      <c r="F603" s="507">
        <v>45</v>
      </c>
      <c r="G603" s="507">
        <v>117</v>
      </c>
      <c r="H603" s="506">
        <f t="shared" si="30"/>
        <v>243</v>
      </c>
      <c r="I603" s="506">
        <v>20</v>
      </c>
      <c r="J603" s="506">
        <f t="shared" si="31"/>
        <v>263</v>
      </c>
      <c r="K603" s="508">
        <f t="shared" si="32"/>
        <v>4.3833333333333337</v>
      </c>
      <c r="L603" s="509" t="s">
        <v>1546</v>
      </c>
    </row>
    <row r="604" spans="1:12" ht="13" x14ac:dyDescent="0.3">
      <c r="A604" s="506" t="s">
        <v>1544</v>
      </c>
      <c r="B604" s="506" t="s">
        <v>1545</v>
      </c>
      <c r="C604" s="507" t="s">
        <v>80</v>
      </c>
      <c r="D604" s="507">
        <v>300</v>
      </c>
      <c r="E604" s="507">
        <v>104</v>
      </c>
      <c r="F604" s="507">
        <v>72</v>
      </c>
      <c r="G604" s="507">
        <v>117</v>
      </c>
      <c r="H604" s="506">
        <f t="shared" si="30"/>
        <v>293</v>
      </c>
      <c r="I604" s="506">
        <v>20</v>
      </c>
      <c r="J604" s="506">
        <f t="shared" si="31"/>
        <v>313</v>
      </c>
      <c r="K604" s="508">
        <f t="shared" si="32"/>
        <v>5.2166666666666668</v>
      </c>
      <c r="L604" s="509" t="s">
        <v>1546</v>
      </c>
    </row>
    <row r="605" spans="1:12" ht="13" x14ac:dyDescent="0.3">
      <c r="A605" s="506" t="s">
        <v>1544</v>
      </c>
      <c r="B605" s="506" t="s">
        <v>1545</v>
      </c>
      <c r="C605" s="507" t="s">
        <v>80</v>
      </c>
      <c r="D605" s="507">
        <v>600</v>
      </c>
      <c r="E605" s="507">
        <v>148</v>
      </c>
      <c r="F605" s="507">
        <v>126</v>
      </c>
      <c r="G605" s="507">
        <v>117</v>
      </c>
      <c r="H605" s="506">
        <f t="shared" si="30"/>
        <v>391</v>
      </c>
      <c r="I605" s="506">
        <v>20</v>
      </c>
      <c r="J605" s="506">
        <f t="shared" si="31"/>
        <v>411</v>
      </c>
      <c r="K605" s="508">
        <f t="shared" si="32"/>
        <v>6.85</v>
      </c>
      <c r="L605" s="509" t="s">
        <v>1546</v>
      </c>
    </row>
    <row r="606" spans="1:12" ht="13" x14ac:dyDescent="0.3">
      <c r="A606" s="506" t="s">
        <v>1544</v>
      </c>
      <c r="B606" s="506" t="s">
        <v>1545</v>
      </c>
      <c r="C606" s="507" t="s">
        <v>80</v>
      </c>
      <c r="D606" s="507">
        <v>800</v>
      </c>
      <c r="E606" s="507">
        <v>178</v>
      </c>
      <c r="F606" s="507">
        <v>162</v>
      </c>
      <c r="G606" s="507">
        <v>117</v>
      </c>
      <c r="H606" s="506">
        <f t="shared" si="30"/>
        <v>457</v>
      </c>
      <c r="I606" s="506">
        <v>20</v>
      </c>
      <c r="J606" s="506">
        <f t="shared" si="31"/>
        <v>477</v>
      </c>
      <c r="K606" s="508">
        <f t="shared" si="32"/>
        <v>7.95</v>
      </c>
      <c r="L606" s="509" t="s">
        <v>1546</v>
      </c>
    </row>
    <row r="607" spans="1:12" ht="13" x14ac:dyDescent="0.3">
      <c r="A607" s="506" t="s">
        <v>1544</v>
      </c>
      <c r="B607" s="506" t="s">
        <v>1545</v>
      </c>
      <c r="C607" s="507" t="s">
        <v>80</v>
      </c>
      <c r="D607" s="507">
        <v>900</v>
      </c>
      <c r="E607" s="507">
        <v>194</v>
      </c>
      <c r="F607" s="507">
        <v>180</v>
      </c>
      <c r="G607" s="507">
        <v>117</v>
      </c>
      <c r="H607" s="506">
        <f t="shared" si="30"/>
        <v>491</v>
      </c>
      <c r="I607" s="506">
        <v>20</v>
      </c>
      <c r="J607" s="506">
        <f t="shared" si="31"/>
        <v>511</v>
      </c>
      <c r="K607" s="508">
        <f t="shared" si="32"/>
        <v>8.5166666666666675</v>
      </c>
      <c r="L607" s="509" t="s">
        <v>1546</v>
      </c>
    </row>
    <row r="608" spans="1:12" ht="13" x14ac:dyDescent="0.3">
      <c r="A608" s="506" t="s">
        <v>1544</v>
      </c>
      <c r="B608" s="506" t="s">
        <v>1545</v>
      </c>
      <c r="C608" s="507" t="s">
        <v>80</v>
      </c>
      <c r="D608" s="507">
        <v>1500</v>
      </c>
      <c r="E608" s="507">
        <v>284</v>
      </c>
      <c r="F608" s="507">
        <v>288</v>
      </c>
      <c r="G608" s="507">
        <v>117</v>
      </c>
      <c r="H608" s="506">
        <f t="shared" si="30"/>
        <v>689</v>
      </c>
      <c r="I608" s="506">
        <v>20</v>
      </c>
      <c r="J608" s="506">
        <f t="shared" si="31"/>
        <v>709</v>
      </c>
      <c r="K608" s="508">
        <f t="shared" si="32"/>
        <v>11.816666666666666</v>
      </c>
      <c r="L608" s="509" t="s">
        <v>1546</v>
      </c>
    </row>
    <row r="609" spans="1:12" ht="13" x14ac:dyDescent="0.3">
      <c r="A609" s="506" t="s">
        <v>1544</v>
      </c>
      <c r="B609" s="506" t="s">
        <v>1545</v>
      </c>
      <c r="C609" s="507" t="s">
        <v>119</v>
      </c>
      <c r="D609" s="507">
        <v>150</v>
      </c>
      <c r="E609" s="507">
        <v>104</v>
      </c>
      <c r="F609" s="507">
        <v>54</v>
      </c>
      <c r="G609" s="507">
        <v>135</v>
      </c>
      <c r="H609" s="506">
        <f t="shared" si="30"/>
        <v>293</v>
      </c>
      <c r="I609" s="506">
        <v>20</v>
      </c>
      <c r="J609" s="506">
        <f t="shared" si="31"/>
        <v>313</v>
      </c>
      <c r="K609" s="508">
        <f t="shared" si="32"/>
        <v>5.2166666666666668</v>
      </c>
      <c r="L609" s="509" t="s">
        <v>1546</v>
      </c>
    </row>
    <row r="610" spans="1:12" ht="13" x14ac:dyDescent="0.3">
      <c r="A610" s="506" t="s">
        <v>1544</v>
      </c>
      <c r="B610" s="506" t="s">
        <v>1545</v>
      </c>
      <c r="C610" s="507" t="s">
        <v>119</v>
      </c>
      <c r="D610" s="507">
        <v>300</v>
      </c>
      <c r="E610" s="507">
        <v>112</v>
      </c>
      <c r="F610" s="507">
        <v>86</v>
      </c>
      <c r="G610" s="507">
        <v>135</v>
      </c>
      <c r="H610" s="506">
        <f t="shared" si="30"/>
        <v>333</v>
      </c>
      <c r="I610" s="506">
        <v>20</v>
      </c>
      <c r="J610" s="506">
        <f t="shared" si="31"/>
        <v>353</v>
      </c>
      <c r="K610" s="508">
        <f t="shared" si="32"/>
        <v>5.8833333333333337</v>
      </c>
      <c r="L610" s="509" t="s">
        <v>1546</v>
      </c>
    </row>
    <row r="611" spans="1:12" ht="13" x14ac:dyDescent="0.3">
      <c r="A611" s="506" t="s">
        <v>1544</v>
      </c>
      <c r="B611" s="506" t="s">
        <v>1545</v>
      </c>
      <c r="C611" s="507" t="s">
        <v>119</v>
      </c>
      <c r="D611" s="507">
        <v>600</v>
      </c>
      <c r="E611" s="507">
        <v>130</v>
      </c>
      <c r="F611" s="507">
        <v>148</v>
      </c>
      <c r="G611" s="507">
        <v>135</v>
      </c>
      <c r="H611" s="506">
        <f t="shared" si="30"/>
        <v>413</v>
      </c>
      <c r="I611" s="506">
        <v>20</v>
      </c>
      <c r="J611" s="506">
        <f t="shared" si="31"/>
        <v>433</v>
      </c>
      <c r="K611" s="508">
        <f t="shared" si="32"/>
        <v>7.2166666666666668</v>
      </c>
      <c r="L611" s="509" t="s">
        <v>1546</v>
      </c>
    </row>
    <row r="612" spans="1:12" ht="13" x14ac:dyDescent="0.3">
      <c r="A612" s="506" t="s">
        <v>1544</v>
      </c>
      <c r="B612" s="506" t="s">
        <v>1545</v>
      </c>
      <c r="C612" s="507" t="s">
        <v>119</v>
      </c>
      <c r="D612" s="507">
        <v>800</v>
      </c>
      <c r="E612" s="507">
        <v>142</v>
      </c>
      <c r="F612" s="507">
        <v>191</v>
      </c>
      <c r="G612" s="507">
        <v>135</v>
      </c>
      <c r="H612" s="506">
        <f t="shared" si="30"/>
        <v>468</v>
      </c>
      <c r="I612" s="506">
        <v>20</v>
      </c>
      <c r="J612" s="506">
        <f t="shared" si="31"/>
        <v>488</v>
      </c>
      <c r="K612" s="508">
        <f t="shared" si="32"/>
        <v>8.1333333333333329</v>
      </c>
      <c r="L612" s="509" t="s">
        <v>1546</v>
      </c>
    </row>
    <row r="613" spans="1:12" ht="13" x14ac:dyDescent="0.3">
      <c r="A613" s="506" t="s">
        <v>1544</v>
      </c>
      <c r="B613" s="506" t="s">
        <v>1545</v>
      </c>
      <c r="C613" s="507" t="s">
        <v>119</v>
      </c>
      <c r="D613" s="507">
        <v>900</v>
      </c>
      <c r="E613" s="507">
        <v>148</v>
      </c>
      <c r="F613" s="507">
        <v>212</v>
      </c>
      <c r="G613" s="507">
        <v>135</v>
      </c>
      <c r="H613" s="506">
        <f t="shared" si="30"/>
        <v>495</v>
      </c>
      <c r="I613" s="506">
        <v>20</v>
      </c>
      <c r="J613" s="506">
        <f t="shared" si="31"/>
        <v>515</v>
      </c>
      <c r="K613" s="508">
        <f t="shared" si="32"/>
        <v>8.5833333333333339</v>
      </c>
      <c r="L613" s="509" t="s">
        <v>1546</v>
      </c>
    </row>
    <row r="614" spans="1:12" ht="13" x14ac:dyDescent="0.3">
      <c r="A614" s="506" t="s">
        <v>1544</v>
      </c>
      <c r="B614" s="506" t="s">
        <v>1545</v>
      </c>
      <c r="C614" s="507" t="s">
        <v>119</v>
      </c>
      <c r="D614" s="507">
        <v>1500</v>
      </c>
      <c r="E614" s="507">
        <v>184</v>
      </c>
      <c r="F614" s="507">
        <v>338</v>
      </c>
      <c r="G614" s="507">
        <v>135</v>
      </c>
      <c r="H614" s="506">
        <f t="shared" si="30"/>
        <v>657</v>
      </c>
      <c r="I614" s="506">
        <v>20</v>
      </c>
      <c r="J614" s="506">
        <f t="shared" si="31"/>
        <v>677</v>
      </c>
      <c r="K614" s="508">
        <f t="shared" si="32"/>
        <v>11.283333333333333</v>
      </c>
      <c r="L614" s="509" t="s">
        <v>1546</v>
      </c>
    </row>
    <row r="615" spans="1:12" ht="13" x14ac:dyDescent="0.3">
      <c r="A615" s="506" t="s">
        <v>1544</v>
      </c>
      <c r="B615" s="506" t="s">
        <v>1545</v>
      </c>
      <c r="C615" s="507" t="s">
        <v>179</v>
      </c>
      <c r="D615" s="507">
        <v>150</v>
      </c>
      <c r="E615" s="507">
        <v>126</v>
      </c>
      <c r="F615" s="507">
        <v>68</v>
      </c>
      <c r="G615" s="507">
        <v>162</v>
      </c>
      <c r="H615" s="506">
        <f t="shared" si="30"/>
        <v>356</v>
      </c>
      <c r="I615" s="506">
        <v>25</v>
      </c>
      <c r="J615" s="506">
        <f t="shared" si="31"/>
        <v>381</v>
      </c>
      <c r="K615" s="508">
        <f t="shared" si="32"/>
        <v>6.35</v>
      </c>
      <c r="L615" s="509" t="s">
        <v>1546</v>
      </c>
    </row>
    <row r="616" spans="1:12" ht="13" x14ac:dyDescent="0.3">
      <c r="A616" s="506" t="s">
        <v>1544</v>
      </c>
      <c r="B616" s="506" t="s">
        <v>1545</v>
      </c>
      <c r="C616" s="507" t="s">
        <v>179</v>
      </c>
      <c r="D616" s="507">
        <v>300</v>
      </c>
      <c r="E616" s="507">
        <v>140</v>
      </c>
      <c r="F616" s="507">
        <v>99</v>
      </c>
      <c r="G616" s="507">
        <v>162</v>
      </c>
      <c r="H616" s="506">
        <f t="shared" si="30"/>
        <v>401</v>
      </c>
      <c r="I616" s="506">
        <v>25</v>
      </c>
      <c r="J616" s="506">
        <f t="shared" si="31"/>
        <v>426</v>
      </c>
      <c r="K616" s="508">
        <f t="shared" si="32"/>
        <v>7.1</v>
      </c>
      <c r="L616" s="509" t="s">
        <v>1546</v>
      </c>
    </row>
    <row r="617" spans="1:12" ht="13" x14ac:dyDescent="0.3">
      <c r="A617" s="506" t="s">
        <v>1544</v>
      </c>
      <c r="B617" s="506" t="s">
        <v>1545</v>
      </c>
      <c r="C617" s="507" t="s">
        <v>179</v>
      </c>
      <c r="D617" s="507">
        <v>600</v>
      </c>
      <c r="E617" s="507">
        <v>166</v>
      </c>
      <c r="F617" s="507">
        <v>162</v>
      </c>
      <c r="G617" s="507">
        <v>162</v>
      </c>
      <c r="H617" s="506">
        <f t="shared" si="30"/>
        <v>490</v>
      </c>
      <c r="I617" s="506">
        <v>25</v>
      </c>
      <c r="J617" s="506">
        <f t="shared" si="31"/>
        <v>515</v>
      </c>
      <c r="K617" s="508">
        <f t="shared" si="32"/>
        <v>8.5833333333333339</v>
      </c>
      <c r="L617" s="509" t="s">
        <v>1546</v>
      </c>
    </row>
    <row r="618" spans="1:12" ht="13" x14ac:dyDescent="0.3">
      <c r="A618" s="506" t="s">
        <v>1544</v>
      </c>
      <c r="B618" s="506" t="s">
        <v>1545</v>
      </c>
      <c r="C618" s="507" t="s">
        <v>179</v>
      </c>
      <c r="D618" s="507">
        <v>800</v>
      </c>
      <c r="E618" s="507">
        <v>184</v>
      </c>
      <c r="F618" s="507">
        <v>204</v>
      </c>
      <c r="G618" s="507">
        <v>162</v>
      </c>
      <c r="H618" s="506">
        <f t="shared" si="30"/>
        <v>550</v>
      </c>
      <c r="I618" s="506">
        <v>25</v>
      </c>
      <c r="J618" s="506">
        <f t="shared" si="31"/>
        <v>575</v>
      </c>
      <c r="K618" s="508">
        <f t="shared" si="32"/>
        <v>9.5833333333333339</v>
      </c>
      <c r="L618" s="509" t="s">
        <v>1546</v>
      </c>
    </row>
    <row r="619" spans="1:12" ht="13" x14ac:dyDescent="0.3">
      <c r="A619" s="506" t="s">
        <v>1544</v>
      </c>
      <c r="B619" s="506" t="s">
        <v>1545</v>
      </c>
      <c r="C619" s="507" t="s">
        <v>179</v>
      </c>
      <c r="D619" s="507">
        <v>900</v>
      </c>
      <c r="E619" s="507">
        <v>194</v>
      </c>
      <c r="F619" s="507">
        <v>225</v>
      </c>
      <c r="G619" s="507">
        <v>162</v>
      </c>
      <c r="H619" s="506">
        <f t="shared" si="30"/>
        <v>581</v>
      </c>
      <c r="I619" s="506">
        <v>25</v>
      </c>
      <c r="J619" s="506">
        <f t="shared" si="31"/>
        <v>606</v>
      </c>
      <c r="K619" s="508">
        <f t="shared" si="32"/>
        <v>10.1</v>
      </c>
      <c r="L619" s="509" t="s">
        <v>1546</v>
      </c>
    </row>
    <row r="620" spans="1:12" ht="13" x14ac:dyDescent="0.3">
      <c r="A620" s="506" t="s">
        <v>1544</v>
      </c>
      <c r="B620" s="506" t="s">
        <v>1545</v>
      </c>
      <c r="C620" s="507" t="s">
        <v>179</v>
      </c>
      <c r="D620" s="507">
        <v>1500</v>
      </c>
      <c r="E620" s="507">
        <v>248</v>
      </c>
      <c r="F620" s="507">
        <v>351</v>
      </c>
      <c r="G620" s="507">
        <v>162</v>
      </c>
      <c r="H620" s="506">
        <f t="shared" si="30"/>
        <v>761</v>
      </c>
      <c r="I620" s="506">
        <v>25</v>
      </c>
      <c r="J620" s="506">
        <f t="shared" si="31"/>
        <v>786</v>
      </c>
      <c r="K620" s="508">
        <f t="shared" si="32"/>
        <v>13.1</v>
      </c>
      <c r="L620" s="509" t="s">
        <v>1546</v>
      </c>
    </row>
    <row r="621" spans="1:12" ht="13" x14ac:dyDescent="0.3">
      <c r="A621" s="506" t="s">
        <v>1544</v>
      </c>
      <c r="B621" s="506" t="s">
        <v>1545</v>
      </c>
      <c r="C621" s="507" t="s">
        <v>118</v>
      </c>
      <c r="D621" s="507">
        <v>150</v>
      </c>
      <c r="E621" s="507">
        <v>135</v>
      </c>
      <c r="F621" s="507">
        <v>72</v>
      </c>
      <c r="G621" s="507">
        <v>202</v>
      </c>
      <c r="H621" s="506">
        <f t="shared" si="30"/>
        <v>409</v>
      </c>
      <c r="I621" s="506">
        <v>25</v>
      </c>
      <c r="J621" s="506">
        <f t="shared" si="31"/>
        <v>434</v>
      </c>
      <c r="K621" s="508">
        <f t="shared" si="32"/>
        <v>7.2333333333333334</v>
      </c>
      <c r="L621" s="509" t="s">
        <v>1546</v>
      </c>
    </row>
    <row r="622" spans="1:12" ht="13" x14ac:dyDescent="0.3">
      <c r="A622" s="506" t="s">
        <v>1544</v>
      </c>
      <c r="B622" s="506" t="s">
        <v>1545</v>
      </c>
      <c r="C622" s="507" t="s">
        <v>118</v>
      </c>
      <c r="D622" s="507">
        <v>300</v>
      </c>
      <c r="E622" s="507">
        <v>148</v>
      </c>
      <c r="F622" s="507">
        <v>112</v>
      </c>
      <c r="G622" s="507">
        <v>202</v>
      </c>
      <c r="H622" s="506">
        <f t="shared" si="30"/>
        <v>462</v>
      </c>
      <c r="I622" s="506">
        <v>25</v>
      </c>
      <c r="J622" s="506">
        <f t="shared" si="31"/>
        <v>487</v>
      </c>
      <c r="K622" s="508">
        <f t="shared" si="32"/>
        <v>8.1166666666666671</v>
      </c>
      <c r="L622" s="509" t="s">
        <v>1546</v>
      </c>
    </row>
    <row r="623" spans="1:12" ht="13" x14ac:dyDescent="0.3">
      <c r="A623" s="506" t="s">
        <v>1544</v>
      </c>
      <c r="B623" s="506" t="s">
        <v>1545</v>
      </c>
      <c r="C623" s="507" t="s">
        <v>118</v>
      </c>
      <c r="D623" s="507">
        <v>600</v>
      </c>
      <c r="E623" s="507">
        <v>176</v>
      </c>
      <c r="F623" s="507">
        <v>194</v>
      </c>
      <c r="G623" s="507">
        <v>202</v>
      </c>
      <c r="H623" s="506">
        <f t="shared" si="30"/>
        <v>572</v>
      </c>
      <c r="I623" s="506">
        <v>25</v>
      </c>
      <c r="J623" s="506">
        <f t="shared" si="31"/>
        <v>597</v>
      </c>
      <c r="K623" s="508">
        <f t="shared" si="32"/>
        <v>9.9499999999999993</v>
      </c>
      <c r="L623" s="509" t="s">
        <v>1546</v>
      </c>
    </row>
    <row r="624" spans="1:12" ht="13" x14ac:dyDescent="0.3">
      <c r="A624" s="506" t="s">
        <v>1544</v>
      </c>
      <c r="B624" s="506" t="s">
        <v>1545</v>
      </c>
      <c r="C624" s="507" t="s">
        <v>118</v>
      </c>
      <c r="D624" s="507">
        <v>800</v>
      </c>
      <c r="E624" s="507">
        <v>194</v>
      </c>
      <c r="F624" s="507">
        <v>248</v>
      </c>
      <c r="G624" s="507">
        <v>202</v>
      </c>
      <c r="H624" s="506">
        <f t="shared" si="30"/>
        <v>644</v>
      </c>
      <c r="I624" s="506">
        <v>25</v>
      </c>
      <c r="J624" s="506">
        <f t="shared" si="31"/>
        <v>669</v>
      </c>
      <c r="K624" s="508">
        <f t="shared" si="32"/>
        <v>11.15</v>
      </c>
      <c r="L624" s="509" t="s">
        <v>1546</v>
      </c>
    </row>
    <row r="625" spans="1:12" ht="13" x14ac:dyDescent="0.3">
      <c r="A625" s="506" t="s">
        <v>1544</v>
      </c>
      <c r="B625" s="506" t="s">
        <v>1545</v>
      </c>
      <c r="C625" s="507" t="s">
        <v>118</v>
      </c>
      <c r="D625" s="507">
        <v>900</v>
      </c>
      <c r="E625" s="507">
        <v>202</v>
      </c>
      <c r="F625" s="507">
        <v>274</v>
      </c>
      <c r="G625" s="507">
        <v>202</v>
      </c>
      <c r="H625" s="506">
        <f t="shared" si="30"/>
        <v>678</v>
      </c>
      <c r="I625" s="506">
        <v>25</v>
      </c>
      <c r="J625" s="506">
        <f t="shared" si="31"/>
        <v>703</v>
      </c>
      <c r="K625" s="508">
        <f t="shared" si="32"/>
        <v>11.716666666666667</v>
      </c>
      <c r="L625" s="509" t="s">
        <v>1546</v>
      </c>
    </row>
    <row r="626" spans="1:12" ht="13" x14ac:dyDescent="0.3">
      <c r="A626" s="506" t="s">
        <v>1544</v>
      </c>
      <c r="B626" s="506" t="s">
        <v>1545</v>
      </c>
      <c r="C626" s="507" t="s">
        <v>118</v>
      </c>
      <c r="D626" s="507">
        <v>1500</v>
      </c>
      <c r="E626" s="507">
        <v>256</v>
      </c>
      <c r="F626" s="507">
        <v>436</v>
      </c>
      <c r="G626" s="507">
        <v>202</v>
      </c>
      <c r="H626" s="506">
        <f t="shared" si="30"/>
        <v>894</v>
      </c>
      <c r="I626" s="506">
        <v>25</v>
      </c>
      <c r="J626" s="506">
        <f t="shared" si="31"/>
        <v>919</v>
      </c>
      <c r="K626" s="508">
        <f t="shared" si="32"/>
        <v>15.316666666666666</v>
      </c>
      <c r="L626" s="509" t="s">
        <v>1546</v>
      </c>
    </row>
    <row r="627" spans="1:12" ht="13" x14ac:dyDescent="0.3">
      <c r="A627" s="506" t="s">
        <v>1544</v>
      </c>
      <c r="B627" s="506" t="s">
        <v>1545</v>
      </c>
      <c r="C627" s="507" t="s">
        <v>688</v>
      </c>
      <c r="D627" s="507">
        <v>150</v>
      </c>
      <c r="E627" s="507">
        <v>162</v>
      </c>
      <c r="F627" s="507">
        <v>81</v>
      </c>
      <c r="G627" s="507">
        <v>243</v>
      </c>
      <c r="H627" s="506">
        <f t="shared" si="30"/>
        <v>486</v>
      </c>
      <c r="I627" s="506">
        <v>25</v>
      </c>
      <c r="J627" s="506">
        <f t="shared" si="31"/>
        <v>511</v>
      </c>
      <c r="K627" s="508">
        <f t="shared" si="32"/>
        <v>8.5166666666666675</v>
      </c>
      <c r="L627" s="509" t="s">
        <v>1546</v>
      </c>
    </row>
    <row r="628" spans="1:12" ht="13" x14ac:dyDescent="0.3">
      <c r="A628" s="506" t="s">
        <v>1544</v>
      </c>
      <c r="B628" s="506" t="s">
        <v>1545</v>
      </c>
      <c r="C628" s="507" t="s">
        <v>688</v>
      </c>
      <c r="D628" s="507">
        <v>300</v>
      </c>
      <c r="E628" s="507">
        <v>189</v>
      </c>
      <c r="F628" s="507">
        <v>130</v>
      </c>
      <c r="G628" s="507">
        <v>243</v>
      </c>
      <c r="H628" s="506">
        <f t="shared" si="30"/>
        <v>562</v>
      </c>
      <c r="I628" s="506">
        <v>25</v>
      </c>
      <c r="J628" s="506">
        <f t="shared" si="31"/>
        <v>587</v>
      </c>
      <c r="K628" s="508">
        <f t="shared" si="32"/>
        <v>9.7833333333333332</v>
      </c>
      <c r="L628" s="509" t="s">
        <v>1546</v>
      </c>
    </row>
    <row r="629" spans="1:12" ht="13" x14ac:dyDescent="0.3">
      <c r="A629" s="506" t="s">
        <v>1544</v>
      </c>
      <c r="B629" s="506" t="s">
        <v>1545</v>
      </c>
      <c r="C629" s="507" t="s">
        <v>688</v>
      </c>
      <c r="D629" s="507">
        <v>600</v>
      </c>
      <c r="E629" s="507">
        <v>243</v>
      </c>
      <c r="F629" s="507">
        <v>230</v>
      </c>
      <c r="G629" s="507">
        <v>243</v>
      </c>
      <c r="H629" s="506">
        <f t="shared" si="30"/>
        <v>716</v>
      </c>
      <c r="I629" s="506">
        <v>25</v>
      </c>
      <c r="J629" s="506">
        <f t="shared" si="31"/>
        <v>741</v>
      </c>
      <c r="K629" s="508">
        <f t="shared" si="32"/>
        <v>12.35</v>
      </c>
      <c r="L629" s="509" t="s">
        <v>1546</v>
      </c>
    </row>
    <row r="630" spans="1:12" ht="13" x14ac:dyDescent="0.3">
      <c r="A630" s="506" t="s">
        <v>1544</v>
      </c>
      <c r="B630" s="506" t="s">
        <v>1545</v>
      </c>
      <c r="C630" s="507" t="s">
        <v>688</v>
      </c>
      <c r="D630" s="507">
        <v>800</v>
      </c>
      <c r="E630" s="507">
        <v>279</v>
      </c>
      <c r="F630" s="507">
        <v>295</v>
      </c>
      <c r="G630" s="507">
        <v>243</v>
      </c>
      <c r="H630" s="506">
        <f t="shared" si="30"/>
        <v>817</v>
      </c>
      <c r="I630" s="506">
        <v>25</v>
      </c>
      <c r="J630" s="506">
        <f t="shared" si="31"/>
        <v>842</v>
      </c>
      <c r="K630" s="508">
        <f t="shared" si="32"/>
        <v>14.033333333333333</v>
      </c>
      <c r="L630" s="509" t="s">
        <v>1546</v>
      </c>
    </row>
    <row r="631" spans="1:12" ht="13" x14ac:dyDescent="0.3">
      <c r="A631" s="506" t="s">
        <v>1544</v>
      </c>
      <c r="B631" s="506" t="s">
        <v>1545</v>
      </c>
      <c r="C631" s="507" t="s">
        <v>688</v>
      </c>
      <c r="D631" s="507">
        <v>900</v>
      </c>
      <c r="E631" s="507">
        <v>297</v>
      </c>
      <c r="F631" s="507">
        <v>328</v>
      </c>
      <c r="G631" s="507">
        <v>243</v>
      </c>
      <c r="H631" s="506">
        <f t="shared" si="30"/>
        <v>868</v>
      </c>
      <c r="I631" s="506">
        <v>25</v>
      </c>
      <c r="J631" s="506">
        <f t="shared" si="31"/>
        <v>893</v>
      </c>
      <c r="K631" s="508">
        <f t="shared" si="32"/>
        <v>14.883333333333333</v>
      </c>
      <c r="L631" s="509" t="s">
        <v>1546</v>
      </c>
    </row>
    <row r="632" spans="1:12" ht="13" x14ac:dyDescent="0.3">
      <c r="A632" s="506" t="s">
        <v>1544</v>
      </c>
      <c r="B632" s="506" t="s">
        <v>1545</v>
      </c>
      <c r="C632" s="507" t="s">
        <v>688</v>
      </c>
      <c r="D632" s="507">
        <v>1500</v>
      </c>
      <c r="E632" s="507">
        <v>405</v>
      </c>
      <c r="F632" s="507">
        <v>526</v>
      </c>
      <c r="G632" s="507">
        <v>243</v>
      </c>
      <c r="H632" s="506">
        <f t="shared" si="30"/>
        <v>1174</v>
      </c>
      <c r="I632" s="506">
        <v>25</v>
      </c>
      <c r="J632" s="506">
        <f t="shared" si="31"/>
        <v>1199</v>
      </c>
      <c r="K632" s="508">
        <f t="shared" si="32"/>
        <v>19.983333333333334</v>
      </c>
      <c r="L632" s="509" t="s">
        <v>1546</v>
      </c>
    </row>
    <row r="633" spans="1:12" ht="13" x14ac:dyDescent="0.3">
      <c r="A633" s="506" t="s">
        <v>1544</v>
      </c>
      <c r="B633" s="506" t="s">
        <v>1545</v>
      </c>
      <c r="C633" s="507" t="s">
        <v>171</v>
      </c>
      <c r="D633" s="507">
        <v>150</v>
      </c>
      <c r="E633" s="507">
        <v>189</v>
      </c>
      <c r="F633" s="507">
        <v>90</v>
      </c>
      <c r="G633" s="507">
        <v>270</v>
      </c>
      <c r="H633" s="506">
        <f t="shared" si="30"/>
        <v>549</v>
      </c>
      <c r="I633" s="506">
        <v>25</v>
      </c>
      <c r="J633" s="506">
        <f t="shared" si="31"/>
        <v>574</v>
      </c>
      <c r="K633" s="508">
        <f t="shared" si="32"/>
        <v>9.5666666666666664</v>
      </c>
      <c r="L633" s="509" t="s">
        <v>1546</v>
      </c>
    </row>
    <row r="634" spans="1:12" ht="13" x14ac:dyDescent="0.3">
      <c r="A634" s="506" t="s">
        <v>1544</v>
      </c>
      <c r="B634" s="506" t="s">
        <v>1545</v>
      </c>
      <c r="C634" s="507" t="s">
        <v>171</v>
      </c>
      <c r="D634" s="507">
        <v>300</v>
      </c>
      <c r="E634" s="507">
        <v>216</v>
      </c>
      <c r="F634" s="507">
        <v>144</v>
      </c>
      <c r="G634" s="507">
        <v>270</v>
      </c>
      <c r="H634" s="506">
        <f t="shared" si="30"/>
        <v>630</v>
      </c>
      <c r="I634" s="506">
        <v>25</v>
      </c>
      <c r="J634" s="506">
        <f t="shared" si="31"/>
        <v>655</v>
      </c>
      <c r="K634" s="508">
        <f t="shared" si="32"/>
        <v>10.916666666666666</v>
      </c>
      <c r="L634" s="509" t="s">
        <v>1546</v>
      </c>
    </row>
    <row r="635" spans="1:12" ht="13" x14ac:dyDescent="0.3">
      <c r="A635" s="506" t="s">
        <v>1544</v>
      </c>
      <c r="B635" s="506" t="s">
        <v>1545</v>
      </c>
      <c r="C635" s="507" t="s">
        <v>171</v>
      </c>
      <c r="D635" s="507">
        <v>600</v>
      </c>
      <c r="E635" s="507">
        <v>270</v>
      </c>
      <c r="F635" s="507">
        <v>252</v>
      </c>
      <c r="G635" s="507">
        <v>270</v>
      </c>
      <c r="H635" s="506">
        <f t="shared" si="30"/>
        <v>792</v>
      </c>
      <c r="I635" s="506">
        <v>25</v>
      </c>
      <c r="J635" s="506">
        <f t="shared" si="31"/>
        <v>817</v>
      </c>
      <c r="K635" s="508">
        <f t="shared" si="32"/>
        <v>13.616666666666667</v>
      </c>
      <c r="L635" s="509" t="s">
        <v>1546</v>
      </c>
    </row>
    <row r="636" spans="1:12" ht="13" x14ac:dyDescent="0.3">
      <c r="A636" s="506" t="s">
        <v>1544</v>
      </c>
      <c r="B636" s="506" t="s">
        <v>1545</v>
      </c>
      <c r="C636" s="507" t="s">
        <v>171</v>
      </c>
      <c r="D636" s="507">
        <v>800</v>
      </c>
      <c r="E636" s="507">
        <v>306</v>
      </c>
      <c r="F636" s="507">
        <v>324</v>
      </c>
      <c r="G636" s="507">
        <v>270</v>
      </c>
      <c r="H636" s="506">
        <f t="shared" si="30"/>
        <v>900</v>
      </c>
      <c r="I636" s="506">
        <v>25</v>
      </c>
      <c r="J636" s="506">
        <f t="shared" si="31"/>
        <v>925</v>
      </c>
      <c r="K636" s="508">
        <f t="shared" si="32"/>
        <v>15.416666666666666</v>
      </c>
      <c r="L636" s="509" t="s">
        <v>1546</v>
      </c>
    </row>
    <row r="637" spans="1:12" ht="13" x14ac:dyDescent="0.3">
      <c r="A637" s="506" t="s">
        <v>1544</v>
      </c>
      <c r="B637" s="506" t="s">
        <v>1545</v>
      </c>
      <c r="C637" s="507" t="s">
        <v>171</v>
      </c>
      <c r="D637" s="507">
        <v>900</v>
      </c>
      <c r="E637" s="507">
        <v>324</v>
      </c>
      <c r="F637" s="507">
        <v>360</v>
      </c>
      <c r="G637" s="507">
        <v>270</v>
      </c>
      <c r="H637" s="506">
        <f t="shared" si="30"/>
        <v>954</v>
      </c>
      <c r="I637" s="506">
        <v>25</v>
      </c>
      <c r="J637" s="506">
        <f t="shared" si="31"/>
        <v>979</v>
      </c>
      <c r="K637" s="508">
        <f t="shared" si="32"/>
        <v>16.316666666666666</v>
      </c>
      <c r="L637" s="509" t="s">
        <v>1546</v>
      </c>
    </row>
    <row r="638" spans="1:12" ht="13" x14ac:dyDescent="0.3">
      <c r="A638" s="506" t="s">
        <v>1544</v>
      </c>
      <c r="B638" s="506" t="s">
        <v>1545</v>
      </c>
      <c r="C638" s="507" t="s">
        <v>171</v>
      </c>
      <c r="D638" s="507">
        <v>1500</v>
      </c>
      <c r="E638" s="507">
        <v>432</v>
      </c>
      <c r="F638" s="507">
        <v>576</v>
      </c>
      <c r="G638" s="507">
        <v>270</v>
      </c>
      <c r="H638" s="506">
        <f t="shared" si="30"/>
        <v>1278</v>
      </c>
      <c r="I638" s="506">
        <v>25</v>
      </c>
      <c r="J638" s="506">
        <f t="shared" si="31"/>
        <v>1303</v>
      </c>
      <c r="K638" s="508">
        <f t="shared" si="32"/>
        <v>21.716666666666665</v>
      </c>
      <c r="L638" s="509" t="s">
        <v>1546</v>
      </c>
    </row>
    <row r="639" spans="1:12" ht="13" x14ac:dyDescent="0.3">
      <c r="A639" s="506" t="s">
        <v>1544</v>
      </c>
      <c r="B639" s="506" t="s">
        <v>1545</v>
      </c>
      <c r="C639" s="507" t="s">
        <v>195</v>
      </c>
      <c r="D639" s="507">
        <v>150</v>
      </c>
      <c r="E639" s="507">
        <v>207</v>
      </c>
      <c r="F639" s="507">
        <v>108</v>
      </c>
      <c r="G639" s="507">
        <v>297</v>
      </c>
      <c r="H639" s="506">
        <f t="shared" si="30"/>
        <v>612</v>
      </c>
      <c r="I639" s="506">
        <v>25</v>
      </c>
      <c r="J639" s="506">
        <f t="shared" si="31"/>
        <v>637</v>
      </c>
      <c r="K639" s="508">
        <f t="shared" si="32"/>
        <v>10.616666666666667</v>
      </c>
      <c r="L639" s="509" t="s">
        <v>1546</v>
      </c>
    </row>
    <row r="640" spans="1:12" ht="13" x14ac:dyDescent="0.3">
      <c r="A640" s="506" t="s">
        <v>1544</v>
      </c>
      <c r="B640" s="506" t="s">
        <v>1545</v>
      </c>
      <c r="C640" s="507" t="s">
        <v>195</v>
      </c>
      <c r="D640" s="507">
        <v>300</v>
      </c>
      <c r="E640" s="507">
        <v>243</v>
      </c>
      <c r="F640" s="507">
        <v>162</v>
      </c>
      <c r="G640" s="507">
        <v>297</v>
      </c>
      <c r="H640" s="506">
        <f t="shared" si="30"/>
        <v>702</v>
      </c>
      <c r="I640" s="506">
        <v>25</v>
      </c>
      <c r="J640" s="506">
        <f t="shared" si="31"/>
        <v>727</v>
      </c>
      <c r="K640" s="508">
        <f t="shared" si="32"/>
        <v>12.116666666666667</v>
      </c>
      <c r="L640" s="509" t="s">
        <v>1546</v>
      </c>
    </row>
    <row r="641" spans="1:12" ht="13" x14ac:dyDescent="0.3">
      <c r="A641" s="506" t="s">
        <v>1544</v>
      </c>
      <c r="B641" s="506" t="s">
        <v>1545</v>
      </c>
      <c r="C641" s="507" t="s">
        <v>195</v>
      </c>
      <c r="D641" s="507">
        <v>600</v>
      </c>
      <c r="E641" s="507">
        <v>315</v>
      </c>
      <c r="F641" s="507">
        <v>270</v>
      </c>
      <c r="G641" s="507">
        <v>297</v>
      </c>
      <c r="H641" s="506">
        <f t="shared" si="30"/>
        <v>882</v>
      </c>
      <c r="I641" s="506">
        <v>25</v>
      </c>
      <c r="J641" s="506">
        <f t="shared" si="31"/>
        <v>907</v>
      </c>
      <c r="K641" s="508">
        <f t="shared" si="32"/>
        <v>15.116666666666667</v>
      </c>
      <c r="L641" s="509" t="s">
        <v>1546</v>
      </c>
    </row>
    <row r="642" spans="1:12" ht="13" x14ac:dyDescent="0.3">
      <c r="A642" s="506" t="s">
        <v>1544</v>
      </c>
      <c r="B642" s="506" t="s">
        <v>1545</v>
      </c>
      <c r="C642" s="507" t="s">
        <v>195</v>
      </c>
      <c r="D642" s="507">
        <v>800</v>
      </c>
      <c r="E642" s="507">
        <v>363</v>
      </c>
      <c r="F642" s="507">
        <v>342</v>
      </c>
      <c r="G642" s="507">
        <v>297</v>
      </c>
      <c r="H642" s="506">
        <f t="shared" si="30"/>
        <v>1002</v>
      </c>
      <c r="I642" s="506">
        <v>25</v>
      </c>
      <c r="J642" s="506">
        <f t="shared" si="31"/>
        <v>1027</v>
      </c>
      <c r="K642" s="508">
        <f t="shared" si="32"/>
        <v>17.116666666666667</v>
      </c>
      <c r="L642" s="509" t="s">
        <v>1546</v>
      </c>
    </row>
    <row r="643" spans="1:12" ht="13" x14ac:dyDescent="0.3">
      <c r="A643" s="506" t="s">
        <v>1544</v>
      </c>
      <c r="B643" s="506" t="s">
        <v>1545</v>
      </c>
      <c r="C643" s="507" t="s">
        <v>195</v>
      </c>
      <c r="D643" s="507">
        <v>900</v>
      </c>
      <c r="E643" s="507">
        <v>387</v>
      </c>
      <c r="F643" s="507">
        <v>378</v>
      </c>
      <c r="G643" s="507">
        <v>297</v>
      </c>
      <c r="H643" s="506">
        <f t="shared" si="30"/>
        <v>1062</v>
      </c>
      <c r="I643" s="506">
        <v>25</v>
      </c>
      <c r="J643" s="506">
        <f t="shared" si="31"/>
        <v>1087</v>
      </c>
      <c r="K643" s="508">
        <f t="shared" si="32"/>
        <v>18.116666666666667</v>
      </c>
      <c r="L643" s="509" t="s">
        <v>1546</v>
      </c>
    </row>
    <row r="644" spans="1:12" ht="13" x14ac:dyDescent="0.3">
      <c r="A644" s="506" t="s">
        <v>1544</v>
      </c>
      <c r="B644" s="506" t="s">
        <v>1545</v>
      </c>
      <c r="C644" s="507" t="s">
        <v>195</v>
      </c>
      <c r="D644" s="507">
        <v>1500</v>
      </c>
      <c r="E644" s="507">
        <v>531</v>
      </c>
      <c r="F644" s="507">
        <v>594</v>
      </c>
      <c r="G644" s="507">
        <v>297</v>
      </c>
      <c r="H644" s="506">
        <f t="shared" si="30"/>
        <v>1422</v>
      </c>
      <c r="I644" s="506">
        <v>25</v>
      </c>
      <c r="J644" s="506">
        <f t="shared" si="31"/>
        <v>1447</v>
      </c>
      <c r="K644" s="508">
        <f t="shared" si="32"/>
        <v>24.116666666666667</v>
      </c>
      <c r="L644" s="509" t="s">
        <v>1546</v>
      </c>
    </row>
    <row r="645" spans="1:12" ht="13" x14ac:dyDescent="0.3">
      <c r="A645" s="506" t="s">
        <v>1544</v>
      </c>
      <c r="B645" s="506" t="s">
        <v>1545</v>
      </c>
      <c r="C645" s="507" t="s">
        <v>1406</v>
      </c>
      <c r="D645" s="507">
        <v>150</v>
      </c>
      <c r="E645" s="507">
        <v>225</v>
      </c>
      <c r="F645" s="507">
        <v>122</v>
      </c>
      <c r="G645" s="507">
        <v>346</v>
      </c>
      <c r="H645" s="506">
        <f t="shared" si="30"/>
        <v>693</v>
      </c>
      <c r="I645" s="506">
        <v>30</v>
      </c>
      <c r="J645" s="506">
        <f t="shared" si="31"/>
        <v>723</v>
      </c>
      <c r="K645" s="508">
        <f t="shared" si="32"/>
        <v>12.05</v>
      </c>
      <c r="L645" s="509" t="s">
        <v>1546</v>
      </c>
    </row>
    <row r="646" spans="1:12" ht="13" x14ac:dyDescent="0.3">
      <c r="A646" s="506" t="s">
        <v>1544</v>
      </c>
      <c r="B646" s="506" t="s">
        <v>1545</v>
      </c>
      <c r="C646" s="507" t="s">
        <v>1406</v>
      </c>
      <c r="D646" s="507">
        <v>300</v>
      </c>
      <c r="E646" s="507">
        <v>270</v>
      </c>
      <c r="F646" s="507">
        <v>189</v>
      </c>
      <c r="G646" s="507">
        <v>346</v>
      </c>
      <c r="H646" s="506">
        <f t="shared" si="30"/>
        <v>805</v>
      </c>
      <c r="I646" s="506">
        <v>30</v>
      </c>
      <c r="J646" s="506">
        <f t="shared" si="31"/>
        <v>835</v>
      </c>
      <c r="K646" s="508">
        <f t="shared" si="32"/>
        <v>13.916666666666666</v>
      </c>
      <c r="L646" s="509" t="s">
        <v>1546</v>
      </c>
    </row>
    <row r="647" spans="1:12" ht="13" x14ac:dyDescent="0.3">
      <c r="A647" s="506" t="s">
        <v>1544</v>
      </c>
      <c r="B647" s="506" t="s">
        <v>1545</v>
      </c>
      <c r="C647" s="507" t="s">
        <v>1406</v>
      </c>
      <c r="D647" s="507">
        <v>600</v>
      </c>
      <c r="E647" s="507">
        <v>360</v>
      </c>
      <c r="F647" s="507">
        <v>324</v>
      </c>
      <c r="G647" s="507">
        <v>346</v>
      </c>
      <c r="H647" s="506">
        <f t="shared" si="30"/>
        <v>1030</v>
      </c>
      <c r="I647" s="506">
        <v>30</v>
      </c>
      <c r="J647" s="506">
        <f t="shared" si="31"/>
        <v>1060</v>
      </c>
      <c r="K647" s="508">
        <f t="shared" si="32"/>
        <v>17.666666666666668</v>
      </c>
      <c r="L647" s="509" t="s">
        <v>1546</v>
      </c>
    </row>
    <row r="648" spans="1:12" ht="13" x14ac:dyDescent="0.3">
      <c r="A648" s="506" t="s">
        <v>1544</v>
      </c>
      <c r="B648" s="506" t="s">
        <v>1545</v>
      </c>
      <c r="C648" s="507" t="s">
        <v>1406</v>
      </c>
      <c r="D648" s="507">
        <v>800</v>
      </c>
      <c r="E648" s="507">
        <v>420</v>
      </c>
      <c r="F648" s="507">
        <v>414</v>
      </c>
      <c r="G648" s="507">
        <v>346</v>
      </c>
      <c r="H648" s="506">
        <f t="shared" si="30"/>
        <v>1180</v>
      </c>
      <c r="I648" s="506">
        <v>30</v>
      </c>
      <c r="J648" s="506">
        <f t="shared" si="31"/>
        <v>1210</v>
      </c>
      <c r="K648" s="508">
        <f t="shared" si="32"/>
        <v>20.166666666666668</v>
      </c>
      <c r="L648" s="509" t="s">
        <v>1546</v>
      </c>
    </row>
    <row r="649" spans="1:12" ht="13" x14ac:dyDescent="0.3">
      <c r="A649" s="506" t="s">
        <v>1544</v>
      </c>
      <c r="B649" s="506" t="s">
        <v>1545</v>
      </c>
      <c r="C649" s="507" t="s">
        <v>1406</v>
      </c>
      <c r="D649" s="507">
        <v>900</v>
      </c>
      <c r="E649" s="507">
        <v>450</v>
      </c>
      <c r="F649" s="507">
        <v>459</v>
      </c>
      <c r="G649" s="507">
        <v>346</v>
      </c>
      <c r="H649" s="506">
        <f t="shared" si="30"/>
        <v>1255</v>
      </c>
      <c r="I649" s="506">
        <v>30</v>
      </c>
      <c r="J649" s="506">
        <f t="shared" si="31"/>
        <v>1285</v>
      </c>
      <c r="K649" s="508">
        <f t="shared" si="32"/>
        <v>21.416666666666668</v>
      </c>
      <c r="L649" s="509" t="s">
        <v>1546</v>
      </c>
    </row>
    <row r="650" spans="1:12" ht="13" x14ac:dyDescent="0.3">
      <c r="A650" s="506" t="s">
        <v>1544</v>
      </c>
      <c r="B650" s="506" t="s">
        <v>1545</v>
      </c>
      <c r="C650" s="507" t="s">
        <v>1406</v>
      </c>
      <c r="D650" s="507">
        <v>1500</v>
      </c>
      <c r="E650" s="507">
        <v>630</v>
      </c>
      <c r="F650" s="507">
        <v>729</v>
      </c>
      <c r="G650" s="507">
        <v>346</v>
      </c>
      <c r="H650" s="506">
        <f t="shared" si="30"/>
        <v>1705</v>
      </c>
      <c r="I650" s="506">
        <v>30</v>
      </c>
      <c r="J650" s="506">
        <f t="shared" si="31"/>
        <v>1735</v>
      </c>
      <c r="K650" s="508">
        <f t="shared" si="32"/>
        <v>28.916666666666668</v>
      </c>
      <c r="L650" s="509" t="s">
        <v>1546</v>
      </c>
    </row>
    <row r="651" spans="1:12" ht="13" x14ac:dyDescent="0.3">
      <c r="A651" s="506" t="s">
        <v>1544</v>
      </c>
      <c r="B651" s="506" t="s">
        <v>1545</v>
      </c>
      <c r="C651" s="507" t="s">
        <v>1407</v>
      </c>
      <c r="D651" s="507">
        <v>150</v>
      </c>
      <c r="E651" s="507">
        <v>270</v>
      </c>
      <c r="F651" s="507">
        <v>144</v>
      </c>
      <c r="G651" s="507">
        <v>396</v>
      </c>
      <c r="H651" s="506">
        <f t="shared" si="30"/>
        <v>810</v>
      </c>
      <c r="I651" s="506">
        <v>30</v>
      </c>
      <c r="J651" s="506">
        <f t="shared" si="31"/>
        <v>840</v>
      </c>
      <c r="K651" s="508">
        <f t="shared" si="32"/>
        <v>14</v>
      </c>
      <c r="L651" s="509" t="s">
        <v>1546</v>
      </c>
    </row>
    <row r="652" spans="1:12" ht="13" x14ac:dyDescent="0.3">
      <c r="A652" s="506" t="s">
        <v>1544</v>
      </c>
      <c r="B652" s="506" t="s">
        <v>1545</v>
      </c>
      <c r="C652" s="507" t="s">
        <v>1407</v>
      </c>
      <c r="D652" s="507">
        <v>300</v>
      </c>
      <c r="E652" s="507">
        <v>297</v>
      </c>
      <c r="F652" s="507">
        <v>202</v>
      </c>
      <c r="G652" s="507">
        <v>396</v>
      </c>
      <c r="H652" s="506">
        <f t="shared" si="30"/>
        <v>895</v>
      </c>
      <c r="I652" s="506">
        <v>30</v>
      </c>
      <c r="J652" s="506">
        <f t="shared" si="31"/>
        <v>925</v>
      </c>
      <c r="K652" s="508">
        <f t="shared" si="32"/>
        <v>15.416666666666666</v>
      </c>
      <c r="L652" s="509" t="s">
        <v>1546</v>
      </c>
    </row>
    <row r="653" spans="1:12" ht="13" x14ac:dyDescent="0.3">
      <c r="A653" s="506" t="s">
        <v>1544</v>
      </c>
      <c r="B653" s="506" t="s">
        <v>1545</v>
      </c>
      <c r="C653" s="507" t="s">
        <v>1407</v>
      </c>
      <c r="D653" s="507">
        <v>600</v>
      </c>
      <c r="E653" s="507">
        <v>351</v>
      </c>
      <c r="F653" s="507">
        <v>320</v>
      </c>
      <c r="G653" s="507">
        <v>396</v>
      </c>
      <c r="H653" s="506">
        <f t="shared" si="30"/>
        <v>1067</v>
      </c>
      <c r="I653" s="506">
        <v>30</v>
      </c>
      <c r="J653" s="506">
        <f t="shared" si="31"/>
        <v>1097</v>
      </c>
      <c r="K653" s="508">
        <f t="shared" si="32"/>
        <v>18.283333333333335</v>
      </c>
      <c r="L653" s="509" t="s">
        <v>1546</v>
      </c>
    </row>
    <row r="654" spans="1:12" ht="13" x14ac:dyDescent="0.3">
      <c r="A654" s="506" t="s">
        <v>1544</v>
      </c>
      <c r="B654" s="506" t="s">
        <v>1545</v>
      </c>
      <c r="C654" s="507" t="s">
        <v>1407</v>
      </c>
      <c r="D654" s="507">
        <v>800</v>
      </c>
      <c r="E654" s="507">
        <v>387</v>
      </c>
      <c r="F654" s="507">
        <v>398</v>
      </c>
      <c r="G654" s="507">
        <v>396</v>
      </c>
      <c r="H654" s="506">
        <f t="shared" si="30"/>
        <v>1181</v>
      </c>
      <c r="I654" s="506">
        <v>30</v>
      </c>
      <c r="J654" s="506">
        <f t="shared" si="31"/>
        <v>1211</v>
      </c>
      <c r="K654" s="508">
        <f t="shared" si="32"/>
        <v>20.183333333333334</v>
      </c>
      <c r="L654" s="509" t="s">
        <v>1546</v>
      </c>
    </row>
    <row r="655" spans="1:12" ht="13" x14ac:dyDescent="0.3">
      <c r="A655" s="506" t="s">
        <v>1544</v>
      </c>
      <c r="B655" s="506" t="s">
        <v>1545</v>
      </c>
      <c r="C655" s="507" t="s">
        <v>1407</v>
      </c>
      <c r="D655" s="507">
        <v>900</v>
      </c>
      <c r="E655" s="507">
        <v>405</v>
      </c>
      <c r="F655" s="507">
        <v>436</v>
      </c>
      <c r="G655" s="507">
        <v>396</v>
      </c>
      <c r="H655" s="506">
        <f t="shared" ref="H655:H718" si="33">E655+F655+G655</f>
        <v>1237</v>
      </c>
      <c r="I655" s="506">
        <v>30</v>
      </c>
      <c r="J655" s="506">
        <f t="shared" ref="J655:J718" si="34">H655+I655</f>
        <v>1267</v>
      </c>
      <c r="K655" s="508">
        <f t="shared" ref="K655:K718" si="35">J655/60</f>
        <v>21.116666666666667</v>
      </c>
      <c r="L655" s="509" t="s">
        <v>1546</v>
      </c>
    </row>
    <row r="656" spans="1:12" ht="13" x14ac:dyDescent="0.3">
      <c r="A656" s="506" t="s">
        <v>1544</v>
      </c>
      <c r="B656" s="506" t="s">
        <v>1545</v>
      </c>
      <c r="C656" s="507" t="s">
        <v>1407</v>
      </c>
      <c r="D656" s="507">
        <v>1500</v>
      </c>
      <c r="E656" s="507">
        <v>513</v>
      </c>
      <c r="F656" s="507">
        <v>670</v>
      </c>
      <c r="G656" s="507">
        <v>396</v>
      </c>
      <c r="H656" s="506">
        <f t="shared" si="33"/>
        <v>1579</v>
      </c>
      <c r="I656" s="506">
        <v>30</v>
      </c>
      <c r="J656" s="506">
        <f t="shared" si="34"/>
        <v>1609</v>
      </c>
      <c r="K656" s="508">
        <f t="shared" si="35"/>
        <v>26.816666666666666</v>
      </c>
      <c r="L656" s="509" t="s">
        <v>1546</v>
      </c>
    </row>
    <row r="657" spans="1:12" ht="13" x14ac:dyDescent="0.3">
      <c r="A657" s="506" t="s">
        <v>1544</v>
      </c>
      <c r="B657" s="506" t="s">
        <v>1545</v>
      </c>
      <c r="C657" s="507" t="s">
        <v>1408</v>
      </c>
      <c r="D657" s="507">
        <v>150</v>
      </c>
      <c r="E657" s="507">
        <v>302</v>
      </c>
      <c r="F657" s="507">
        <v>180</v>
      </c>
      <c r="G657" s="507">
        <v>504</v>
      </c>
      <c r="H657" s="506">
        <f t="shared" si="33"/>
        <v>986</v>
      </c>
      <c r="I657" s="506">
        <v>30</v>
      </c>
      <c r="J657" s="506">
        <f t="shared" si="34"/>
        <v>1016</v>
      </c>
      <c r="K657" s="508">
        <f t="shared" si="35"/>
        <v>16.933333333333334</v>
      </c>
      <c r="L657" s="509" t="s">
        <v>1546</v>
      </c>
    </row>
    <row r="658" spans="1:12" ht="13" x14ac:dyDescent="0.3">
      <c r="A658" s="506" t="s">
        <v>1544</v>
      </c>
      <c r="B658" s="506" t="s">
        <v>1545</v>
      </c>
      <c r="C658" s="507" t="s">
        <v>1408</v>
      </c>
      <c r="D658" s="507">
        <v>300</v>
      </c>
      <c r="E658" s="507">
        <v>356</v>
      </c>
      <c r="F658" s="507">
        <v>225</v>
      </c>
      <c r="G658" s="507">
        <v>504</v>
      </c>
      <c r="H658" s="506">
        <f t="shared" si="33"/>
        <v>1085</v>
      </c>
      <c r="I658" s="506">
        <v>30</v>
      </c>
      <c r="J658" s="506">
        <f t="shared" si="34"/>
        <v>1115</v>
      </c>
      <c r="K658" s="508">
        <f t="shared" si="35"/>
        <v>18.583333333333332</v>
      </c>
      <c r="L658" s="509" t="s">
        <v>1546</v>
      </c>
    </row>
    <row r="659" spans="1:12" ht="13" x14ac:dyDescent="0.3">
      <c r="A659" s="506" t="s">
        <v>1544</v>
      </c>
      <c r="B659" s="506" t="s">
        <v>1545</v>
      </c>
      <c r="C659" s="507" t="s">
        <v>1408</v>
      </c>
      <c r="D659" s="507">
        <v>600</v>
      </c>
      <c r="E659" s="507">
        <v>464</v>
      </c>
      <c r="F659" s="507">
        <v>315</v>
      </c>
      <c r="G659" s="507">
        <v>504</v>
      </c>
      <c r="H659" s="506">
        <f t="shared" si="33"/>
        <v>1283</v>
      </c>
      <c r="I659" s="506">
        <v>30</v>
      </c>
      <c r="J659" s="506">
        <f t="shared" si="34"/>
        <v>1313</v>
      </c>
      <c r="K659" s="508">
        <f t="shared" si="35"/>
        <v>21.883333333333333</v>
      </c>
      <c r="L659" s="509" t="s">
        <v>1546</v>
      </c>
    </row>
    <row r="660" spans="1:12" ht="13" x14ac:dyDescent="0.3">
      <c r="A660" s="506" t="s">
        <v>1544</v>
      </c>
      <c r="B660" s="506" t="s">
        <v>1545</v>
      </c>
      <c r="C660" s="507" t="s">
        <v>1408</v>
      </c>
      <c r="D660" s="507">
        <v>800</v>
      </c>
      <c r="E660" s="507">
        <v>536</v>
      </c>
      <c r="F660" s="507">
        <v>375</v>
      </c>
      <c r="G660" s="507">
        <v>504</v>
      </c>
      <c r="H660" s="506">
        <f t="shared" si="33"/>
        <v>1415</v>
      </c>
      <c r="I660" s="506">
        <v>30</v>
      </c>
      <c r="J660" s="506">
        <f t="shared" si="34"/>
        <v>1445</v>
      </c>
      <c r="K660" s="508">
        <f t="shared" si="35"/>
        <v>24.083333333333332</v>
      </c>
      <c r="L660" s="509" t="s">
        <v>1546</v>
      </c>
    </row>
    <row r="661" spans="1:12" ht="13" x14ac:dyDescent="0.3">
      <c r="A661" s="506" t="s">
        <v>1544</v>
      </c>
      <c r="B661" s="506" t="s">
        <v>1545</v>
      </c>
      <c r="C661" s="507" t="s">
        <v>1408</v>
      </c>
      <c r="D661" s="507">
        <v>900</v>
      </c>
      <c r="E661" s="507">
        <v>572</v>
      </c>
      <c r="F661" s="507">
        <v>405</v>
      </c>
      <c r="G661" s="507">
        <v>504</v>
      </c>
      <c r="H661" s="506">
        <f t="shared" si="33"/>
        <v>1481</v>
      </c>
      <c r="I661" s="506">
        <v>30</v>
      </c>
      <c r="J661" s="506">
        <f t="shared" si="34"/>
        <v>1511</v>
      </c>
      <c r="K661" s="508">
        <f t="shared" si="35"/>
        <v>25.183333333333334</v>
      </c>
      <c r="L661" s="509" t="s">
        <v>1546</v>
      </c>
    </row>
    <row r="662" spans="1:12" ht="13" x14ac:dyDescent="0.3">
      <c r="A662" s="506" t="s">
        <v>1544</v>
      </c>
      <c r="B662" s="506" t="s">
        <v>1545</v>
      </c>
      <c r="C662" s="507" t="s">
        <v>1408</v>
      </c>
      <c r="D662" s="507">
        <v>1500</v>
      </c>
      <c r="E662" s="507">
        <v>788</v>
      </c>
      <c r="F662" s="507">
        <v>585</v>
      </c>
      <c r="G662" s="507">
        <v>504</v>
      </c>
      <c r="H662" s="506">
        <f t="shared" si="33"/>
        <v>1877</v>
      </c>
      <c r="I662" s="506">
        <v>30</v>
      </c>
      <c r="J662" s="506">
        <f t="shared" si="34"/>
        <v>1907</v>
      </c>
      <c r="K662" s="508">
        <f t="shared" si="35"/>
        <v>31.783333333333335</v>
      </c>
      <c r="L662" s="509" t="s">
        <v>1546</v>
      </c>
    </row>
    <row r="663" spans="1:12" ht="13" x14ac:dyDescent="0.3">
      <c r="A663" s="506" t="s">
        <v>1544</v>
      </c>
      <c r="B663" s="506" t="s">
        <v>1545</v>
      </c>
      <c r="C663" s="507" t="s">
        <v>1409</v>
      </c>
      <c r="D663" s="507">
        <v>150</v>
      </c>
      <c r="E663" s="507">
        <v>320</v>
      </c>
      <c r="F663" s="507">
        <v>216</v>
      </c>
      <c r="G663" s="507">
        <v>585</v>
      </c>
      <c r="H663" s="506">
        <f t="shared" si="33"/>
        <v>1121</v>
      </c>
      <c r="I663" s="506">
        <v>30</v>
      </c>
      <c r="J663" s="506">
        <f t="shared" si="34"/>
        <v>1151</v>
      </c>
      <c r="K663" s="508">
        <f t="shared" si="35"/>
        <v>19.183333333333334</v>
      </c>
      <c r="L663" s="509" t="s">
        <v>1546</v>
      </c>
    </row>
    <row r="664" spans="1:12" ht="13" x14ac:dyDescent="0.3">
      <c r="A664" s="506" t="s">
        <v>1544</v>
      </c>
      <c r="B664" s="506" t="s">
        <v>1545</v>
      </c>
      <c r="C664" s="507" t="s">
        <v>1409</v>
      </c>
      <c r="D664" s="507">
        <v>300</v>
      </c>
      <c r="E664" s="507">
        <v>374</v>
      </c>
      <c r="F664" s="507">
        <v>252</v>
      </c>
      <c r="G664" s="507">
        <v>585</v>
      </c>
      <c r="H664" s="506">
        <f t="shared" si="33"/>
        <v>1211</v>
      </c>
      <c r="I664" s="506">
        <v>30</v>
      </c>
      <c r="J664" s="506">
        <f t="shared" si="34"/>
        <v>1241</v>
      </c>
      <c r="K664" s="508">
        <f t="shared" si="35"/>
        <v>20.683333333333334</v>
      </c>
      <c r="L664" s="509" t="s">
        <v>1546</v>
      </c>
    </row>
    <row r="665" spans="1:12" ht="13" x14ac:dyDescent="0.3">
      <c r="A665" s="506" t="s">
        <v>1544</v>
      </c>
      <c r="B665" s="506" t="s">
        <v>1545</v>
      </c>
      <c r="C665" s="507" t="s">
        <v>1409</v>
      </c>
      <c r="D665" s="507">
        <v>600</v>
      </c>
      <c r="E665" s="507">
        <v>482</v>
      </c>
      <c r="F665" s="507">
        <v>324</v>
      </c>
      <c r="G665" s="507">
        <v>585</v>
      </c>
      <c r="H665" s="506">
        <f t="shared" si="33"/>
        <v>1391</v>
      </c>
      <c r="I665" s="506">
        <v>30</v>
      </c>
      <c r="J665" s="506">
        <f t="shared" si="34"/>
        <v>1421</v>
      </c>
      <c r="K665" s="508">
        <f t="shared" si="35"/>
        <v>23.683333333333334</v>
      </c>
      <c r="L665" s="509" t="s">
        <v>1546</v>
      </c>
    </row>
    <row r="666" spans="1:12" ht="13" x14ac:dyDescent="0.3">
      <c r="A666" s="506" t="s">
        <v>1544</v>
      </c>
      <c r="B666" s="506" t="s">
        <v>1545</v>
      </c>
      <c r="C666" s="507" t="s">
        <v>1409</v>
      </c>
      <c r="D666" s="507">
        <v>800</v>
      </c>
      <c r="E666" s="507">
        <v>554</v>
      </c>
      <c r="F666" s="507">
        <v>372</v>
      </c>
      <c r="G666" s="507">
        <v>585</v>
      </c>
      <c r="H666" s="506">
        <f t="shared" si="33"/>
        <v>1511</v>
      </c>
      <c r="I666" s="506">
        <v>30</v>
      </c>
      <c r="J666" s="506">
        <f t="shared" si="34"/>
        <v>1541</v>
      </c>
      <c r="K666" s="508">
        <f t="shared" si="35"/>
        <v>25.683333333333334</v>
      </c>
      <c r="L666" s="509" t="s">
        <v>1546</v>
      </c>
    </row>
    <row r="667" spans="1:12" ht="13" x14ac:dyDescent="0.3">
      <c r="A667" s="506" t="s">
        <v>1544</v>
      </c>
      <c r="B667" s="506" t="s">
        <v>1545</v>
      </c>
      <c r="C667" s="507" t="s">
        <v>1409</v>
      </c>
      <c r="D667" s="507">
        <v>900</v>
      </c>
      <c r="E667" s="507">
        <v>590</v>
      </c>
      <c r="F667" s="507">
        <v>396</v>
      </c>
      <c r="G667" s="507">
        <v>585</v>
      </c>
      <c r="H667" s="506">
        <f t="shared" si="33"/>
        <v>1571</v>
      </c>
      <c r="I667" s="506">
        <v>30</v>
      </c>
      <c r="J667" s="506">
        <f t="shared" si="34"/>
        <v>1601</v>
      </c>
      <c r="K667" s="508">
        <f t="shared" si="35"/>
        <v>26.683333333333334</v>
      </c>
      <c r="L667" s="509" t="s">
        <v>1546</v>
      </c>
    </row>
    <row r="668" spans="1:12" ht="13" x14ac:dyDescent="0.3">
      <c r="A668" s="506" t="s">
        <v>1544</v>
      </c>
      <c r="B668" s="506" t="s">
        <v>1545</v>
      </c>
      <c r="C668" s="507" t="s">
        <v>1409</v>
      </c>
      <c r="D668" s="507">
        <v>1500</v>
      </c>
      <c r="E668" s="507">
        <v>806</v>
      </c>
      <c r="F668" s="507">
        <v>540</v>
      </c>
      <c r="G668" s="507">
        <v>585</v>
      </c>
      <c r="H668" s="506">
        <f t="shared" si="33"/>
        <v>1931</v>
      </c>
      <c r="I668" s="506">
        <v>30</v>
      </c>
      <c r="J668" s="506">
        <f t="shared" si="34"/>
        <v>1961</v>
      </c>
      <c r="K668" s="508">
        <f t="shared" si="35"/>
        <v>32.68333333333333</v>
      </c>
      <c r="L668" s="509" t="s">
        <v>1546</v>
      </c>
    </row>
    <row r="669" spans="1:12" x14ac:dyDescent="0.25">
      <c r="A669" s="501" t="s">
        <v>1547</v>
      </c>
      <c r="B669" s="501" t="s">
        <v>1548</v>
      </c>
      <c r="C669" s="502" t="s">
        <v>1403</v>
      </c>
      <c r="D669" s="502">
        <v>150</v>
      </c>
      <c r="E669" s="502">
        <v>7</v>
      </c>
      <c r="F669" s="502">
        <v>20</v>
      </c>
      <c r="G669" s="502">
        <v>35</v>
      </c>
      <c r="H669" s="501">
        <f t="shared" si="33"/>
        <v>62</v>
      </c>
      <c r="I669" s="501">
        <v>15</v>
      </c>
      <c r="J669" s="501">
        <f t="shared" si="34"/>
        <v>77</v>
      </c>
      <c r="K669" s="503">
        <f t="shared" si="35"/>
        <v>1.2833333333333334</v>
      </c>
      <c r="L669" s="501" t="s">
        <v>1531</v>
      </c>
    </row>
    <row r="670" spans="1:12" x14ac:dyDescent="0.25">
      <c r="A670" s="501" t="s">
        <v>1547</v>
      </c>
      <c r="B670" s="501" t="s">
        <v>1548</v>
      </c>
      <c r="C670" s="502" t="s">
        <v>1403</v>
      </c>
      <c r="D670" s="502">
        <v>300</v>
      </c>
      <c r="E670" s="502">
        <v>7</v>
      </c>
      <c r="F670" s="502">
        <v>25</v>
      </c>
      <c r="G670" s="502">
        <v>35</v>
      </c>
      <c r="H670" s="501">
        <f t="shared" si="33"/>
        <v>67</v>
      </c>
      <c r="I670" s="501">
        <v>15</v>
      </c>
      <c r="J670" s="501">
        <f t="shared" si="34"/>
        <v>82</v>
      </c>
      <c r="K670" s="503">
        <f t="shared" si="35"/>
        <v>1.3666666666666667</v>
      </c>
      <c r="L670" s="501" t="s">
        <v>1531</v>
      </c>
    </row>
    <row r="671" spans="1:12" x14ac:dyDescent="0.25">
      <c r="A671" s="501" t="s">
        <v>1547</v>
      </c>
      <c r="B671" s="501" t="s">
        <v>1548</v>
      </c>
      <c r="C671" s="502" t="s">
        <v>1403</v>
      </c>
      <c r="D671" s="502">
        <v>600</v>
      </c>
      <c r="E671" s="504">
        <v>7</v>
      </c>
      <c r="F671" s="504">
        <v>35</v>
      </c>
      <c r="G671" s="504">
        <v>35</v>
      </c>
      <c r="H671" s="505">
        <f t="shared" si="33"/>
        <v>77</v>
      </c>
      <c r="I671" s="505">
        <v>15</v>
      </c>
      <c r="J671" s="505">
        <f t="shared" si="34"/>
        <v>92</v>
      </c>
      <c r="K671" s="503">
        <f t="shared" si="35"/>
        <v>1.5333333333333334</v>
      </c>
      <c r="L671" s="505" t="s">
        <v>1533</v>
      </c>
    </row>
    <row r="672" spans="1:12" x14ac:dyDescent="0.25">
      <c r="A672" s="501" t="s">
        <v>1547</v>
      </c>
      <c r="B672" s="501" t="s">
        <v>1548</v>
      </c>
      <c r="C672" s="502" t="s">
        <v>1403</v>
      </c>
      <c r="D672" s="502">
        <v>800</v>
      </c>
      <c r="E672" s="504">
        <v>7</v>
      </c>
      <c r="F672" s="504">
        <v>42</v>
      </c>
      <c r="G672" s="504">
        <v>35</v>
      </c>
      <c r="H672" s="505">
        <f t="shared" si="33"/>
        <v>84</v>
      </c>
      <c r="I672" s="505">
        <v>15</v>
      </c>
      <c r="J672" s="505">
        <f t="shared" si="34"/>
        <v>99</v>
      </c>
      <c r="K672" s="503">
        <f t="shared" si="35"/>
        <v>1.65</v>
      </c>
      <c r="L672" s="505" t="s">
        <v>1533</v>
      </c>
    </row>
    <row r="673" spans="1:12" x14ac:dyDescent="0.25">
      <c r="A673" s="501" t="s">
        <v>1547</v>
      </c>
      <c r="B673" s="501" t="s">
        <v>1548</v>
      </c>
      <c r="C673" s="502" t="s">
        <v>1403</v>
      </c>
      <c r="D673" s="502">
        <v>900</v>
      </c>
      <c r="E673" s="504">
        <v>7</v>
      </c>
      <c r="F673" s="504">
        <v>45</v>
      </c>
      <c r="G673" s="504">
        <v>35</v>
      </c>
      <c r="H673" s="505">
        <f t="shared" si="33"/>
        <v>87</v>
      </c>
      <c r="I673" s="505">
        <v>15</v>
      </c>
      <c r="J673" s="505">
        <f t="shared" si="34"/>
        <v>102</v>
      </c>
      <c r="K673" s="503">
        <f t="shared" si="35"/>
        <v>1.7</v>
      </c>
      <c r="L673" s="505" t="s">
        <v>1533</v>
      </c>
    </row>
    <row r="674" spans="1:12" x14ac:dyDescent="0.25">
      <c r="A674" s="501" t="s">
        <v>1547</v>
      </c>
      <c r="B674" s="501" t="s">
        <v>1548</v>
      </c>
      <c r="C674" s="502" t="s">
        <v>1403</v>
      </c>
      <c r="D674" s="502">
        <v>1500</v>
      </c>
      <c r="E674" s="504">
        <v>7</v>
      </c>
      <c r="F674" s="504">
        <v>65</v>
      </c>
      <c r="G674" s="504">
        <v>35</v>
      </c>
      <c r="H674" s="505">
        <f t="shared" si="33"/>
        <v>107</v>
      </c>
      <c r="I674" s="505">
        <v>15</v>
      </c>
      <c r="J674" s="505">
        <f t="shared" si="34"/>
        <v>122</v>
      </c>
      <c r="K674" s="503">
        <f t="shared" si="35"/>
        <v>2.0333333333333332</v>
      </c>
      <c r="L674" s="505" t="s">
        <v>1533</v>
      </c>
    </row>
    <row r="675" spans="1:12" x14ac:dyDescent="0.25">
      <c r="A675" s="501" t="s">
        <v>1547</v>
      </c>
      <c r="B675" s="501" t="s">
        <v>1548</v>
      </c>
      <c r="C675" s="502" t="s">
        <v>1404</v>
      </c>
      <c r="D675" s="502">
        <v>150</v>
      </c>
      <c r="E675" s="502">
        <v>8</v>
      </c>
      <c r="F675" s="502">
        <v>20</v>
      </c>
      <c r="G675" s="502">
        <v>35</v>
      </c>
      <c r="H675" s="501">
        <f t="shared" si="33"/>
        <v>63</v>
      </c>
      <c r="I675" s="501">
        <v>15</v>
      </c>
      <c r="J675" s="501">
        <f t="shared" si="34"/>
        <v>78</v>
      </c>
      <c r="K675" s="503">
        <f t="shared" si="35"/>
        <v>1.3</v>
      </c>
      <c r="L675" s="501" t="s">
        <v>1531</v>
      </c>
    </row>
    <row r="676" spans="1:12" x14ac:dyDescent="0.25">
      <c r="A676" s="501" t="s">
        <v>1547</v>
      </c>
      <c r="B676" s="501" t="s">
        <v>1548</v>
      </c>
      <c r="C676" s="502" t="s">
        <v>1404</v>
      </c>
      <c r="D676" s="502">
        <v>300</v>
      </c>
      <c r="E676" s="502">
        <v>8</v>
      </c>
      <c r="F676" s="502">
        <v>30</v>
      </c>
      <c r="G676" s="502">
        <v>35</v>
      </c>
      <c r="H676" s="501">
        <f t="shared" si="33"/>
        <v>73</v>
      </c>
      <c r="I676" s="501">
        <v>15</v>
      </c>
      <c r="J676" s="501">
        <f t="shared" si="34"/>
        <v>88</v>
      </c>
      <c r="K676" s="503">
        <f t="shared" si="35"/>
        <v>1.4666666666666666</v>
      </c>
      <c r="L676" s="501" t="s">
        <v>1531</v>
      </c>
    </row>
    <row r="677" spans="1:12" x14ac:dyDescent="0.25">
      <c r="A677" s="501" t="s">
        <v>1547</v>
      </c>
      <c r="B677" s="501" t="s">
        <v>1548</v>
      </c>
      <c r="C677" s="502" t="s">
        <v>1404</v>
      </c>
      <c r="D677" s="502">
        <v>600</v>
      </c>
      <c r="E677" s="504">
        <v>8</v>
      </c>
      <c r="F677" s="504">
        <v>50</v>
      </c>
      <c r="G677" s="504">
        <v>35</v>
      </c>
      <c r="H677" s="505">
        <f t="shared" si="33"/>
        <v>93</v>
      </c>
      <c r="I677" s="505">
        <v>15</v>
      </c>
      <c r="J677" s="505">
        <f t="shared" si="34"/>
        <v>108</v>
      </c>
      <c r="K677" s="503">
        <f t="shared" si="35"/>
        <v>1.8</v>
      </c>
      <c r="L677" s="505" t="s">
        <v>1533</v>
      </c>
    </row>
    <row r="678" spans="1:12" x14ac:dyDescent="0.25">
      <c r="A678" s="501" t="s">
        <v>1547</v>
      </c>
      <c r="B678" s="501" t="s">
        <v>1548</v>
      </c>
      <c r="C678" s="502" t="s">
        <v>1404</v>
      </c>
      <c r="D678" s="502">
        <v>800</v>
      </c>
      <c r="E678" s="504">
        <v>8</v>
      </c>
      <c r="F678" s="504">
        <v>63</v>
      </c>
      <c r="G678" s="504">
        <v>35</v>
      </c>
      <c r="H678" s="505">
        <f t="shared" si="33"/>
        <v>106</v>
      </c>
      <c r="I678" s="505">
        <v>15</v>
      </c>
      <c r="J678" s="505">
        <f t="shared" si="34"/>
        <v>121</v>
      </c>
      <c r="K678" s="503">
        <f t="shared" si="35"/>
        <v>2.0166666666666666</v>
      </c>
      <c r="L678" s="505" t="s">
        <v>1533</v>
      </c>
    </row>
    <row r="679" spans="1:12" x14ac:dyDescent="0.25">
      <c r="A679" s="501" t="s">
        <v>1547</v>
      </c>
      <c r="B679" s="501" t="s">
        <v>1548</v>
      </c>
      <c r="C679" s="502" t="s">
        <v>1404</v>
      </c>
      <c r="D679" s="502">
        <v>900</v>
      </c>
      <c r="E679" s="504">
        <v>8</v>
      </c>
      <c r="F679" s="504">
        <v>70</v>
      </c>
      <c r="G679" s="504">
        <v>35</v>
      </c>
      <c r="H679" s="505">
        <f t="shared" si="33"/>
        <v>113</v>
      </c>
      <c r="I679" s="505">
        <v>15</v>
      </c>
      <c r="J679" s="505">
        <f t="shared" si="34"/>
        <v>128</v>
      </c>
      <c r="K679" s="503">
        <f t="shared" si="35"/>
        <v>2.1333333333333333</v>
      </c>
      <c r="L679" s="505" t="s">
        <v>1533</v>
      </c>
    </row>
    <row r="680" spans="1:12" x14ac:dyDescent="0.25">
      <c r="A680" s="501" t="s">
        <v>1547</v>
      </c>
      <c r="B680" s="501" t="s">
        <v>1548</v>
      </c>
      <c r="C680" s="502" t="s">
        <v>1404</v>
      </c>
      <c r="D680" s="502">
        <v>1500</v>
      </c>
      <c r="E680" s="504">
        <v>8</v>
      </c>
      <c r="F680" s="504">
        <v>110</v>
      </c>
      <c r="G680" s="504">
        <v>35</v>
      </c>
      <c r="H680" s="505">
        <f t="shared" si="33"/>
        <v>153</v>
      </c>
      <c r="I680" s="505">
        <v>15</v>
      </c>
      <c r="J680" s="505">
        <f t="shared" si="34"/>
        <v>168</v>
      </c>
      <c r="K680" s="503">
        <f t="shared" si="35"/>
        <v>2.8</v>
      </c>
      <c r="L680" s="505" t="s">
        <v>1533</v>
      </c>
    </row>
    <row r="681" spans="1:12" x14ac:dyDescent="0.25">
      <c r="A681" s="501" t="s">
        <v>1547</v>
      </c>
      <c r="B681" s="501" t="s">
        <v>1548</v>
      </c>
      <c r="C681" s="502" t="s">
        <v>86</v>
      </c>
      <c r="D681" s="502">
        <v>150</v>
      </c>
      <c r="E681" s="502">
        <v>8</v>
      </c>
      <c r="F681" s="502">
        <v>30</v>
      </c>
      <c r="G681" s="502">
        <v>50</v>
      </c>
      <c r="H681" s="501">
        <f t="shared" si="33"/>
        <v>88</v>
      </c>
      <c r="I681" s="501">
        <v>15</v>
      </c>
      <c r="J681" s="501">
        <f t="shared" si="34"/>
        <v>103</v>
      </c>
      <c r="K681" s="503">
        <f t="shared" si="35"/>
        <v>1.7166666666666666</v>
      </c>
      <c r="L681" s="501" t="s">
        <v>1531</v>
      </c>
    </row>
    <row r="682" spans="1:12" x14ac:dyDescent="0.25">
      <c r="A682" s="501" t="s">
        <v>1547</v>
      </c>
      <c r="B682" s="501" t="s">
        <v>1548</v>
      </c>
      <c r="C682" s="502" t="s">
        <v>86</v>
      </c>
      <c r="D682" s="502">
        <v>300</v>
      </c>
      <c r="E682" s="502">
        <v>8</v>
      </c>
      <c r="F682" s="502">
        <v>35</v>
      </c>
      <c r="G682" s="502">
        <v>50</v>
      </c>
      <c r="H682" s="501">
        <f t="shared" si="33"/>
        <v>93</v>
      </c>
      <c r="I682" s="501">
        <v>15</v>
      </c>
      <c r="J682" s="501">
        <f t="shared" si="34"/>
        <v>108</v>
      </c>
      <c r="K682" s="503">
        <f t="shared" si="35"/>
        <v>1.8</v>
      </c>
      <c r="L682" s="501" t="s">
        <v>1531</v>
      </c>
    </row>
    <row r="683" spans="1:12" x14ac:dyDescent="0.25">
      <c r="A683" s="501" t="s">
        <v>1547</v>
      </c>
      <c r="B683" s="501" t="s">
        <v>1548</v>
      </c>
      <c r="C683" s="502" t="s">
        <v>86</v>
      </c>
      <c r="D683" s="502">
        <v>600</v>
      </c>
      <c r="E683" s="504">
        <v>8</v>
      </c>
      <c r="F683" s="504">
        <v>45</v>
      </c>
      <c r="G683" s="504">
        <v>50</v>
      </c>
      <c r="H683" s="505">
        <f t="shared" si="33"/>
        <v>103</v>
      </c>
      <c r="I683" s="505">
        <v>15</v>
      </c>
      <c r="J683" s="505">
        <f t="shared" si="34"/>
        <v>118</v>
      </c>
      <c r="K683" s="503">
        <f t="shared" si="35"/>
        <v>1.9666666666666666</v>
      </c>
      <c r="L683" s="505" t="s">
        <v>1533</v>
      </c>
    </row>
    <row r="684" spans="1:12" x14ac:dyDescent="0.25">
      <c r="A684" s="501" t="s">
        <v>1547</v>
      </c>
      <c r="B684" s="501" t="s">
        <v>1548</v>
      </c>
      <c r="C684" s="502" t="s">
        <v>86</v>
      </c>
      <c r="D684" s="502">
        <v>800</v>
      </c>
      <c r="E684" s="504">
        <v>8</v>
      </c>
      <c r="F684" s="504">
        <v>52</v>
      </c>
      <c r="G684" s="504">
        <v>50</v>
      </c>
      <c r="H684" s="505">
        <f t="shared" si="33"/>
        <v>110</v>
      </c>
      <c r="I684" s="505">
        <v>15</v>
      </c>
      <c r="J684" s="505">
        <f t="shared" si="34"/>
        <v>125</v>
      </c>
      <c r="K684" s="503">
        <f t="shared" si="35"/>
        <v>2.0833333333333335</v>
      </c>
      <c r="L684" s="505" t="s">
        <v>1533</v>
      </c>
    </row>
    <row r="685" spans="1:12" x14ac:dyDescent="0.25">
      <c r="A685" s="501" t="s">
        <v>1547</v>
      </c>
      <c r="B685" s="501" t="s">
        <v>1548</v>
      </c>
      <c r="C685" s="502" t="s">
        <v>86</v>
      </c>
      <c r="D685" s="502">
        <v>900</v>
      </c>
      <c r="E685" s="504">
        <v>8</v>
      </c>
      <c r="F685" s="504">
        <v>55</v>
      </c>
      <c r="G685" s="504">
        <v>50</v>
      </c>
      <c r="H685" s="505">
        <f t="shared" si="33"/>
        <v>113</v>
      </c>
      <c r="I685" s="505">
        <v>15</v>
      </c>
      <c r="J685" s="505">
        <f t="shared" si="34"/>
        <v>128</v>
      </c>
      <c r="K685" s="503">
        <f t="shared" si="35"/>
        <v>2.1333333333333333</v>
      </c>
      <c r="L685" s="505" t="s">
        <v>1533</v>
      </c>
    </row>
    <row r="686" spans="1:12" x14ac:dyDescent="0.25">
      <c r="A686" s="501" t="s">
        <v>1547</v>
      </c>
      <c r="B686" s="501" t="s">
        <v>1548</v>
      </c>
      <c r="C686" s="502" t="s">
        <v>86</v>
      </c>
      <c r="D686" s="502">
        <v>1500</v>
      </c>
      <c r="E686" s="504">
        <v>8</v>
      </c>
      <c r="F686" s="504">
        <v>75</v>
      </c>
      <c r="G686" s="504">
        <v>50</v>
      </c>
      <c r="H686" s="505">
        <f t="shared" si="33"/>
        <v>133</v>
      </c>
      <c r="I686" s="505">
        <v>15</v>
      </c>
      <c r="J686" s="505">
        <f t="shared" si="34"/>
        <v>148</v>
      </c>
      <c r="K686" s="503">
        <f t="shared" si="35"/>
        <v>2.4666666666666668</v>
      </c>
      <c r="L686" s="505" t="s">
        <v>1533</v>
      </c>
    </row>
    <row r="687" spans="1:12" x14ac:dyDescent="0.25">
      <c r="A687" s="501" t="s">
        <v>1547</v>
      </c>
      <c r="B687" s="501" t="s">
        <v>1548</v>
      </c>
      <c r="C687" s="502" t="s">
        <v>85</v>
      </c>
      <c r="D687" s="502">
        <v>150</v>
      </c>
      <c r="E687" s="502">
        <v>10</v>
      </c>
      <c r="F687" s="502">
        <v>35</v>
      </c>
      <c r="G687" s="502">
        <v>50</v>
      </c>
      <c r="H687" s="501">
        <f t="shared" si="33"/>
        <v>95</v>
      </c>
      <c r="I687" s="501">
        <v>20</v>
      </c>
      <c r="J687" s="501">
        <f t="shared" si="34"/>
        <v>115</v>
      </c>
      <c r="K687" s="503">
        <f t="shared" si="35"/>
        <v>1.9166666666666667</v>
      </c>
      <c r="L687" s="501" t="s">
        <v>1531</v>
      </c>
    </row>
    <row r="688" spans="1:12" x14ac:dyDescent="0.25">
      <c r="A688" s="501" t="s">
        <v>1547</v>
      </c>
      <c r="B688" s="501" t="s">
        <v>1548</v>
      </c>
      <c r="C688" s="502" t="s">
        <v>85</v>
      </c>
      <c r="D688" s="502">
        <v>300</v>
      </c>
      <c r="E688" s="502">
        <v>10</v>
      </c>
      <c r="F688" s="502">
        <v>35</v>
      </c>
      <c r="G688" s="502">
        <v>50</v>
      </c>
      <c r="H688" s="501">
        <f t="shared" si="33"/>
        <v>95</v>
      </c>
      <c r="I688" s="501">
        <v>20</v>
      </c>
      <c r="J688" s="501">
        <f t="shared" si="34"/>
        <v>115</v>
      </c>
      <c r="K688" s="503">
        <f t="shared" si="35"/>
        <v>1.9166666666666667</v>
      </c>
      <c r="L688" s="501" t="s">
        <v>1531</v>
      </c>
    </row>
    <row r="689" spans="1:12" x14ac:dyDescent="0.25">
      <c r="A689" s="501" t="s">
        <v>1547</v>
      </c>
      <c r="B689" s="501" t="s">
        <v>1548</v>
      </c>
      <c r="C689" s="502" t="s">
        <v>85</v>
      </c>
      <c r="D689" s="502">
        <v>600</v>
      </c>
      <c r="E689" s="504">
        <v>10</v>
      </c>
      <c r="F689" s="504">
        <v>35</v>
      </c>
      <c r="G689" s="504">
        <v>50</v>
      </c>
      <c r="H689" s="505">
        <f t="shared" si="33"/>
        <v>95</v>
      </c>
      <c r="I689" s="505">
        <v>20</v>
      </c>
      <c r="J689" s="505">
        <f t="shared" si="34"/>
        <v>115</v>
      </c>
      <c r="K689" s="503">
        <f t="shared" si="35"/>
        <v>1.9166666666666667</v>
      </c>
      <c r="L689" s="505" t="s">
        <v>1533</v>
      </c>
    </row>
    <row r="690" spans="1:12" x14ac:dyDescent="0.25">
      <c r="A690" s="501" t="s">
        <v>1547</v>
      </c>
      <c r="B690" s="501" t="s">
        <v>1548</v>
      </c>
      <c r="C690" s="502" t="s">
        <v>85</v>
      </c>
      <c r="D690" s="502">
        <v>800</v>
      </c>
      <c r="E690" s="504">
        <v>10</v>
      </c>
      <c r="F690" s="504">
        <v>35</v>
      </c>
      <c r="G690" s="504">
        <v>50</v>
      </c>
      <c r="H690" s="505">
        <f t="shared" si="33"/>
        <v>95</v>
      </c>
      <c r="I690" s="505">
        <v>20</v>
      </c>
      <c r="J690" s="505">
        <f t="shared" si="34"/>
        <v>115</v>
      </c>
      <c r="K690" s="503">
        <f t="shared" si="35"/>
        <v>1.9166666666666667</v>
      </c>
      <c r="L690" s="505" t="s">
        <v>1533</v>
      </c>
    </row>
    <row r="691" spans="1:12" x14ac:dyDescent="0.25">
      <c r="A691" s="501" t="s">
        <v>1547</v>
      </c>
      <c r="B691" s="501" t="s">
        <v>1548</v>
      </c>
      <c r="C691" s="502" t="s">
        <v>85</v>
      </c>
      <c r="D691" s="502">
        <v>900</v>
      </c>
      <c r="E691" s="504">
        <v>10</v>
      </c>
      <c r="F691" s="504">
        <v>35</v>
      </c>
      <c r="G691" s="504">
        <v>50</v>
      </c>
      <c r="H691" s="505">
        <f t="shared" si="33"/>
        <v>95</v>
      </c>
      <c r="I691" s="505">
        <v>20</v>
      </c>
      <c r="J691" s="505">
        <f t="shared" si="34"/>
        <v>115</v>
      </c>
      <c r="K691" s="503">
        <f t="shared" si="35"/>
        <v>1.9166666666666667</v>
      </c>
      <c r="L691" s="505" t="s">
        <v>1533</v>
      </c>
    </row>
    <row r="692" spans="1:12" x14ac:dyDescent="0.25">
      <c r="A692" s="501" t="s">
        <v>1547</v>
      </c>
      <c r="B692" s="501" t="s">
        <v>1548</v>
      </c>
      <c r="C692" s="502" t="s">
        <v>85</v>
      </c>
      <c r="D692" s="502">
        <v>1500</v>
      </c>
      <c r="E692" s="504">
        <v>10</v>
      </c>
      <c r="F692" s="504">
        <v>35</v>
      </c>
      <c r="G692" s="504">
        <v>50</v>
      </c>
      <c r="H692" s="505">
        <f t="shared" si="33"/>
        <v>95</v>
      </c>
      <c r="I692" s="505">
        <v>20</v>
      </c>
      <c r="J692" s="505">
        <f t="shared" si="34"/>
        <v>115</v>
      </c>
      <c r="K692" s="503">
        <f t="shared" si="35"/>
        <v>1.9166666666666667</v>
      </c>
      <c r="L692" s="505" t="s">
        <v>1533</v>
      </c>
    </row>
    <row r="693" spans="1:12" x14ac:dyDescent="0.25">
      <c r="A693" s="501" t="s">
        <v>1547</v>
      </c>
      <c r="B693" s="501" t="s">
        <v>1548</v>
      </c>
      <c r="C693" s="502" t="s">
        <v>84</v>
      </c>
      <c r="D693" s="502">
        <v>150</v>
      </c>
      <c r="E693" s="502">
        <v>12</v>
      </c>
      <c r="F693" s="502">
        <v>35</v>
      </c>
      <c r="G693" s="502">
        <v>50</v>
      </c>
      <c r="H693" s="501">
        <f t="shared" si="33"/>
        <v>97</v>
      </c>
      <c r="I693" s="501">
        <v>20</v>
      </c>
      <c r="J693" s="501">
        <f t="shared" si="34"/>
        <v>117</v>
      </c>
      <c r="K693" s="503">
        <f t="shared" si="35"/>
        <v>1.95</v>
      </c>
      <c r="L693" s="501" t="s">
        <v>1531</v>
      </c>
    </row>
    <row r="694" spans="1:12" x14ac:dyDescent="0.25">
      <c r="A694" s="501" t="s">
        <v>1547</v>
      </c>
      <c r="B694" s="501" t="s">
        <v>1548</v>
      </c>
      <c r="C694" s="502" t="s">
        <v>84</v>
      </c>
      <c r="D694" s="502">
        <v>300</v>
      </c>
      <c r="E694" s="502">
        <v>12</v>
      </c>
      <c r="F694" s="502">
        <v>45</v>
      </c>
      <c r="G694" s="502">
        <v>70</v>
      </c>
      <c r="H694" s="501">
        <f t="shared" si="33"/>
        <v>127</v>
      </c>
      <c r="I694" s="501">
        <v>20</v>
      </c>
      <c r="J694" s="501">
        <f t="shared" si="34"/>
        <v>147</v>
      </c>
      <c r="K694" s="503">
        <f t="shared" si="35"/>
        <v>2.4500000000000002</v>
      </c>
      <c r="L694" s="501" t="s">
        <v>1531</v>
      </c>
    </row>
    <row r="695" spans="1:12" x14ac:dyDescent="0.25">
      <c r="A695" s="501" t="s">
        <v>1547</v>
      </c>
      <c r="B695" s="501" t="s">
        <v>1548</v>
      </c>
      <c r="C695" s="502" t="s">
        <v>84</v>
      </c>
      <c r="D695" s="502">
        <v>600</v>
      </c>
      <c r="E695" s="504">
        <v>12</v>
      </c>
      <c r="F695" s="504">
        <v>65</v>
      </c>
      <c r="G695" s="504">
        <v>110</v>
      </c>
      <c r="H695" s="505">
        <f t="shared" si="33"/>
        <v>187</v>
      </c>
      <c r="I695" s="505">
        <v>20</v>
      </c>
      <c r="J695" s="505">
        <f t="shared" si="34"/>
        <v>207</v>
      </c>
      <c r="K695" s="503">
        <f t="shared" si="35"/>
        <v>3.45</v>
      </c>
      <c r="L695" s="505" t="s">
        <v>1533</v>
      </c>
    </row>
    <row r="696" spans="1:12" x14ac:dyDescent="0.25">
      <c r="A696" s="501" t="s">
        <v>1547</v>
      </c>
      <c r="B696" s="501" t="s">
        <v>1548</v>
      </c>
      <c r="C696" s="502" t="s">
        <v>84</v>
      </c>
      <c r="D696" s="502">
        <v>800</v>
      </c>
      <c r="E696" s="504">
        <v>12</v>
      </c>
      <c r="F696" s="504">
        <v>78</v>
      </c>
      <c r="G696" s="504">
        <v>137</v>
      </c>
      <c r="H696" s="505">
        <f t="shared" si="33"/>
        <v>227</v>
      </c>
      <c r="I696" s="505">
        <v>20</v>
      </c>
      <c r="J696" s="505">
        <f t="shared" si="34"/>
        <v>247</v>
      </c>
      <c r="K696" s="503">
        <f t="shared" si="35"/>
        <v>4.1166666666666663</v>
      </c>
      <c r="L696" s="505" t="s">
        <v>1533</v>
      </c>
    </row>
    <row r="697" spans="1:12" x14ac:dyDescent="0.25">
      <c r="A697" s="501" t="s">
        <v>1547</v>
      </c>
      <c r="B697" s="501" t="s">
        <v>1548</v>
      </c>
      <c r="C697" s="502" t="s">
        <v>84</v>
      </c>
      <c r="D697" s="502">
        <v>900</v>
      </c>
      <c r="E697" s="504">
        <v>12</v>
      </c>
      <c r="F697" s="504">
        <v>85</v>
      </c>
      <c r="G697" s="504">
        <v>150</v>
      </c>
      <c r="H697" s="505">
        <f t="shared" si="33"/>
        <v>247</v>
      </c>
      <c r="I697" s="505">
        <v>20</v>
      </c>
      <c r="J697" s="505">
        <f t="shared" si="34"/>
        <v>267</v>
      </c>
      <c r="K697" s="503">
        <f t="shared" si="35"/>
        <v>4.45</v>
      </c>
      <c r="L697" s="505" t="s">
        <v>1533</v>
      </c>
    </row>
    <row r="698" spans="1:12" x14ac:dyDescent="0.25">
      <c r="A698" s="501" t="s">
        <v>1547</v>
      </c>
      <c r="B698" s="501" t="s">
        <v>1548</v>
      </c>
      <c r="C698" s="502" t="s">
        <v>84</v>
      </c>
      <c r="D698" s="502">
        <v>1500</v>
      </c>
      <c r="E698" s="504">
        <v>12</v>
      </c>
      <c r="F698" s="504">
        <v>125</v>
      </c>
      <c r="G698" s="504">
        <v>230</v>
      </c>
      <c r="H698" s="505">
        <f t="shared" si="33"/>
        <v>367</v>
      </c>
      <c r="I698" s="505">
        <v>20</v>
      </c>
      <c r="J698" s="505">
        <f t="shared" si="34"/>
        <v>387</v>
      </c>
      <c r="K698" s="503">
        <f t="shared" si="35"/>
        <v>6.45</v>
      </c>
      <c r="L698" s="505" t="s">
        <v>1533</v>
      </c>
    </row>
    <row r="699" spans="1:12" x14ac:dyDescent="0.25">
      <c r="A699" s="501" t="s">
        <v>1547</v>
      </c>
      <c r="B699" s="501" t="s">
        <v>1548</v>
      </c>
      <c r="C699" s="502" t="s">
        <v>82</v>
      </c>
      <c r="D699" s="502">
        <v>150</v>
      </c>
      <c r="E699" s="502">
        <v>15</v>
      </c>
      <c r="F699" s="502">
        <v>45</v>
      </c>
      <c r="G699" s="502">
        <v>80</v>
      </c>
      <c r="H699" s="501">
        <f t="shared" si="33"/>
        <v>140</v>
      </c>
      <c r="I699" s="501">
        <v>20</v>
      </c>
      <c r="J699" s="501">
        <f t="shared" si="34"/>
        <v>160</v>
      </c>
      <c r="K699" s="503">
        <f t="shared" si="35"/>
        <v>2.6666666666666665</v>
      </c>
      <c r="L699" s="501" t="s">
        <v>1531</v>
      </c>
    </row>
    <row r="700" spans="1:12" x14ac:dyDescent="0.25">
      <c r="A700" s="501" t="s">
        <v>1547</v>
      </c>
      <c r="B700" s="501" t="s">
        <v>1548</v>
      </c>
      <c r="C700" s="502" t="s">
        <v>82</v>
      </c>
      <c r="D700" s="502">
        <v>300</v>
      </c>
      <c r="E700" s="502">
        <v>15</v>
      </c>
      <c r="F700" s="502">
        <v>60</v>
      </c>
      <c r="G700" s="502">
        <v>90</v>
      </c>
      <c r="H700" s="501">
        <f t="shared" si="33"/>
        <v>165</v>
      </c>
      <c r="I700" s="501">
        <v>20</v>
      </c>
      <c r="J700" s="501">
        <f t="shared" si="34"/>
        <v>185</v>
      </c>
      <c r="K700" s="503">
        <f t="shared" si="35"/>
        <v>3.0833333333333335</v>
      </c>
      <c r="L700" s="501" t="s">
        <v>1531</v>
      </c>
    </row>
    <row r="701" spans="1:12" x14ac:dyDescent="0.25">
      <c r="A701" s="501" t="s">
        <v>1547</v>
      </c>
      <c r="B701" s="501" t="s">
        <v>1548</v>
      </c>
      <c r="C701" s="502" t="s">
        <v>82</v>
      </c>
      <c r="D701" s="502">
        <v>600</v>
      </c>
      <c r="E701" s="504">
        <v>15</v>
      </c>
      <c r="F701" s="504">
        <v>90</v>
      </c>
      <c r="G701" s="504">
        <v>110</v>
      </c>
      <c r="H701" s="505">
        <f t="shared" si="33"/>
        <v>215</v>
      </c>
      <c r="I701" s="505">
        <v>20</v>
      </c>
      <c r="J701" s="505">
        <f t="shared" si="34"/>
        <v>235</v>
      </c>
      <c r="K701" s="503">
        <f t="shared" si="35"/>
        <v>3.9166666666666665</v>
      </c>
      <c r="L701" s="505" t="s">
        <v>1533</v>
      </c>
    </row>
    <row r="702" spans="1:12" x14ac:dyDescent="0.25">
      <c r="A702" s="501" t="s">
        <v>1547</v>
      </c>
      <c r="B702" s="501" t="s">
        <v>1548</v>
      </c>
      <c r="C702" s="502" t="s">
        <v>82</v>
      </c>
      <c r="D702" s="502">
        <v>800</v>
      </c>
      <c r="E702" s="504">
        <v>15</v>
      </c>
      <c r="F702" s="504">
        <v>110</v>
      </c>
      <c r="G702" s="504">
        <v>123</v>
      </c>
      <c r="H702" s="505">
        <f t="shared" si="33"/>
        <v>248</v>
      </c>
      <c r="I702" s="505">
        <v>20</v>
      </c>
      <c r="J702" s="505">
        <f t="shared" si="34"/>
        <v>268</v>
      </c>
      <c r="K702" s="503">
        <f t="shared" si="35"/>
        <v>4.4666666666666668</v>
      </c>
      <c r="L702" s="505" t="s">
        <v>1533</v>
      </c>
    </row>
    <row r="703" spans="1:12" x14ac:dyDescent="0.25">
      <c r="A703" s="501" t="s">
        <v>1547</v>
      </c>
      <c r="B703" s="501" t="s">
        <v>1548</v>
      </c>
      <c r="C703" s="502" t="s">
        <v>82</v>
      </c>
      <c r="D703" s="502">
        <v>900</v>
      </c>
      <c r="E703" s="504">
        <v>15</v>
      </c>
      <c r="F703" s="504">
        <v>120</v>
      </c>
      <c r="G703" s="504">
        <v>130</v>
      </c>
      <c r="H703" s="505">
        <f t="shared" si="33"/>
        <v>265</v>
      </c>
      <c r="I703" s="505">
        <v>20</v>
      </c>
      <c r="J703" s="505">
        <f t="shared" si="34"/>
        <v>285</v>
      </c>
      <c r="K703" s="503">
        <f t="shared" si="35"/>
        <v>4.75</v>
      </c>
      <c r="L703" s="505" t="s">
        <v>1533</v>
      </c>
    </row>
    <row r="704" spans="1:12" x14ac:dyDescent="0.25">
      <c r="A704" s="501" t="s">
        <v>1547</v>
      </c>
      <c r="B704" s="501" t="s">
        <v>1548</v>
      </c>
      <c r="C704" s="502" t="s">
        <v>82</v>
      </c>
      <c r="D704" s="502">
        <v>1500</v>
      </c>
      <c r="E704" s="504">
        <v>15</v>
      </c>
      <c r="F704" s="504">
        <v>180</v>
      </c>
      <c r="G704" s="504">
        <v>170</v>
      </c>
      <c r="H704" s="505">
        <f t="shared" si="33"/>
        <v>365</v>
      </c>
      <c r="I704" s="505">
        <v>20</v>
      </c>
      <c r="J704" s="505">
        <f t="shared" si="34"/>
        <v>385</v>
      </c>
      <c r="K704" s="503">
        <f t="shared" si="35"/>
        <v>6.416666666666667</v>
      </c>
      <c r="L704" s="505" t="s">
        <v>1533</v>
      </c>
    </row>
    <row r="705" spans="1:12" x14ac:dyDescent="0.25">
      <c r="A705" s="501" t="s">
        <v>1547</v>
      </c>
      <c r="B705" s="501" t="s">
        <v>1548</v>
      </c>
      <c r="C705" s="502" t="s">
        <v>120</v>
      </c>
      <c r="D705" s="502">
        <v>150</v>
      </c>
      <c r="E705" s="502">
        <v>20</v>
      </c>
      <c r="F705" s="502">
        <v>50</v>
      </c>
      <c r="G705" s="502">
        <v>100</v>
      </c>
      <c r="H705" s="501">
        <f t="shared" si="33"/>
        <v>170</v>
      </c>
      <c r="I705" s="501">
        <v>20</v>
      </c>
      <c r="J705" s="501">
        <f t="shared" si="34"/>
        <v>190</v>
      </c>
      <c r="K705" s="503">
        <f t="shared" si="35"/>
        <v>3.1666666666666665</v>
      </c>
      <c r="L705" s="501" t="s">
        <v>1531</v>
      </c>
    </row>
    <row r="706" spans="1:12" x14ac:dyDescent="0.25">
      <c r="A706" s="501" t="s">
        <v>1547</v>
      </c>
      <c r="B706" s="501" t="s">
        <v>1548</v>
      </c>
      <c r="C706" s="502" t="s">
        <v>120</v>
      </c>
      <c r="D706" s="502">
        <v>300</v>
      </c>
      <c r="E706" s="502">
        <v>20</v>
      </c>
      <c r="F706" s="502">
        <v>75</v>
      </c>
      <c r="G706" s="502">
        <v>120</v>
      </c>
      <c r="H706" s="501">
        <f t="shared" si="33"/>
        <v>215</v>
      </c>
      <c r="I706" s="501">
        <v>20</v>
      </c>
      <c r="J706" s="501">
        <f t="shared" si="34"/>
        <v>235</v>
      </c>
      <c r="K706" s="503">
        <f t="shared" si="35"/>
        <v>3.9166666666666665</v>
      </c>
      <c r="L706" s="501" t="s">
        <v>1531</v>
      </c>
    </row>
    <row r="707" spans="1:12" x14ac:dyDescent="0.25">
      <c r="A707" s="501" t="s">
        <v>1547</v>
      </c>
      <c r="B707" s="501" t="s">
        <v>1548</v>
      </c>
      <c r="C707" s="502" t="s">
        <v>120</v>
      </c>
      <c r="D707" s="502">
        <v>600</v>
      </c>
      <c r="E707" s="504">
        <v>20</v>
      </c>
      <c r="F707" s="504">
        <v>125</v>
      </c>
      <c r="G707" s="504">
        <v>160</v>
      </c>
      <c r="H707" s="505">
        <f t="shared" si="33"/>
        <v>305</v>
      </c>
      <c r="I707" s="505">
        <v>20</v>
      </c>
      <c r="J707" s="505">
        <f t="shared" si="34"/>
        <v>325</v>
      </c>
      <c r="K707" s="503">
        <f t="shared" si="35"/>
        <v>5.416666666666667</v>
      </c>
      <c r="L707" s="505" t="s">
        <v>1533</v>
      </c>
    </row>
    <row r="708" spans="1:12" x14ac:dyDescent="0.25">
      <c r="A708" s="501" t="s">
        <v>1547</v>
      </c>
      <c r="B708" s="501" t="s">
        <v>1548</v>
      </c>
      <c r="C708" s="502" t="s">
        <v>120</v>
      </c>
      <c r="D708" s="502">
        <v>800</v>
      </c>
      <c r="E708" s="504">
        <v>20</v>
      </c>
      <c r="F708" s="504">
        <v>158</v>
      </c>
      <c r="G708" s="504">
        <v>187</v>
      </c>
      <c r="H708" s="505">
        <f t="shared" si="33"/>
        <v>365</v>
      </c>
      <c r="I708" s="505">
        <v>20</v>
      </c>
      <c r="J708" s="505">
        <f t="shared" si="34"/>
        <v>385</v>
      </c>
      <c r="K708" s="503">
        <f t="shared" si="35"/>
        <v>6.416666666666667</v>
      </c>
      <c r="L708" s="505" t="s">
        <v>1533</v>
      </c>
    </row>
    <row r="709" spans="1:12" x14ac:dyDescent="0.25">
      <c r="A709" s="501" t="s">
        <v>1547</v>
      </c>
      <c r="B709" s="501" t="s">
        <v>1548</v>
      </c>
      <c r="C709" s="502" t="s">
        <v>120</v>
      </c>
      <c r="D709" s="502">
        <v>900</v>
      </c>
      <c r="E709" s="504">
        <v>20</v>
      </c>
      <c r="F709" s="504">
        <v>175</v>
      </c>
      <c r="G709" s="504">
        <v>200</v>
      </c>
      <c r="H709" s="505">
        <f t="shared" si="33"/>
        <v>395</v>
      </c>
      <c r="I709" s="505">
        <v>20</v>
      </c>
      <c r="J709" s="505">
        <f t="shared" si="34"/>
        <v>415</v>
      </c>
      <c r="K709" s="503">
        <f t="shared" si="35"/>
        <v>6.916666666666667</v>
      </c>
      <c r="L709" s="505" t="s">
        <v>1533</v>
      </c>
    </row>
    <row r="710" spans="1:12" x14ac:dyDescent="0.25">
      <c r="A710" s="501" t="s">
        <v>1547</v>
      </c>
      <c r="B710" s="501" t="s">
        <v>1548</v>
      </c>
      <c r="C710" s="502" t="s">
        <v>120</v>
      </c>
      <c r="D710" s="502">
        <v>1500</v>
      </c>
      <c r="E710" s="504">
        <v>20</v>
      </c>
      <c r="F710" s="504">
        <v>275</v>
      </c>
      <c r="G710" s="504">
        <v>280</v>
      </c>
      <c r="H710" s="505">
        <f t="shared" si="33"/>
        <v>575</v>
      </c>
      <c r="I710" s="505">
        <v>20</v>
      </c>
      <c r="J710" s="505">
        <f t="shared" si="34"/>
        <v>595</v>
      </c>
      <c r="K710" s="503">
        <f t="shared" si="35"/>
        <v>9.9166666666666661</v>
      </c>
      <c r="L710" s="505" t="s">
        <v>1533</v>
      </c>
    </row>
    <row r="711" spans="1:12" x14ac:dyDescent="0.25">
      <c r="A711" s="501" t="s">
        <v>1547</v>
      </c>
      <c r="B711" s="501" t="s">
        <v>1548</v>
      </c>
      <c r="C711" s="502" t="s">
        <v>80</v>
      </c>
      <c r="D711" s="502">
        <v>150</v>
      </c>
      <c r="E711" s="502">
        <v>25</v>
      </c>
      <c r="F711" s="502">
        <v>55</v>
      </c>
      <c r="G711" s="502">
        <v>130</v>
      </c>
      <c r="H711" s="501">
        <f t="shared" si="33"/>
        <v>210</v>
      </c>
      <c r="I711" s="501">
        <v>20</v>
      </c>
      <c r="J711" s="501">
        <f t="shared" si="34"/>
        <v>230</v>
      </c>
      <c r="K711" s="503">
        <f t="shared" si="35"/>
        <v>3.8333333333333335</v>
      </c>
      <c r="L711" s="501" t="s">
        <v>1531</v>
      </c>
    </row>
    <row r="712" spans="1:12" x14ac:dyDescent="0.25">
      <c r="A712" s="501" t="s">
        <v>1547</v>
      </c>
      <c r="B712" s="501" t="s">
        <v>1548</v>
      </c>
      <c r="C712" s="502" t="s">
        <v>80</v>
      </c>
      <c r="D712" s="502">
        <v>300</v>
      </c>
      <c r="E712" s="502">
        <v>25</v>
      </c>
      <c r="F712" s="502">
        <v>85</v>
      </c>
      <c r="G712" s="502">
        <v>140</v>
      </c>
      <c r="H712" s="501">
        <f t="shared" si="33"/>
        <v>250</v>
      </c>
      <c r="I712" s="501">
        <v>20</v>
      </c>
      <c r="J712" s="501">
        <f t="shared" si="34"/>
        <v>270</v>
      </c>
      <c r="K712" s="503">
        <f t="shared" si="35"/>
        <v>4.5</v>
      </c>
      <c r="L712" s="501" t="s">
        <v>1531</v>
      </c>
    </row>
    <row r="713" spans="1:12" x14ac:dyDescent="0.25">
      <c r="A713" s="501" t="s">
        <v>1547</v>
      </c>
      <c r="B713" s="501" t="s">
        <v>1548</v>
      </c>
      <c r="C713" s="502" t="s">
        <v>80</v>
      </c>
      <c r="D713" s="502">
        <v>600</v>
      </c>
      <c r="E713" s="504">
        <v>25</v>
      </c>
      <c r="F713" s="504">
        <v>145</v>
      </c>
      <c r="G713" s="504">
        <v>160</v>
      </c>
      <c r="H713" s="505">
        <f t="shared" si="33"/>
        <v>330</v>
      </c>
      <c r="I713" s="505">
        <v>20</v>
      </c>
      <c r="J713" s="505">
        <f t="shared" si="34"/>
        <v>350</v>
      </c>
      <c r="K713" s="503">
        <f t="shared" si="35"/>
        <v>5.833333333333333</v>
      </c>
      <c r="L713" s="505" t="s">
        <v>1533</v>
      </c>
    </row>
    <row r="714" spans="1:12" x14ac:dyDescent="0.25">
      <c r="A714" s="501" t="s">
        <v>1547</v>
      </c>
      <c r="B714" s="501" t="s">
        <v>1548</v>
      </c>
      <c r="C714" s="502" t="s">
        <v>80</v>
      </c>
      <c r="D714" s="502">
        <v>800</v>
      </c>
      <c r="E714" s="504">
        <v>25</v>
      </c>
      <c r="F714" s="504">
        <v>185</v>
      </c>
      <c r="G714" s="504">
        <v>173</v>
      </c>
      <c r="H714" s="505">
        <f t="shared" si="33"/>
        <v>383</v>
      </c>
      <c r="I714" s="505">
        <v>20</v>
      </c>
      <c r="J714" s="505">
        <f t="shared" si="34"/>
        <v>403</v>
      </c>
      <c r="K714" s="503">
        <f t="shared" si="35"/>
        <v>6.7166666666666668</v>
      </c>
      <c r="L714" s="505" t="s">
        <v>1533</v>
      </c>
    </row>
    <row r="715" spans="1:12" x14ac:dyDescent="0.25">
      <c r="A715" s="501" t="s">
        <v>1547</v>
      </c>
      <c r="B715" s="501" t="s">
        <v>1548</v>
      </c>
      <c r="C715" s="502" t="s">
        <v>80</v>
      </c>
      <c r="D715" s="502">
        <v>900</v>
      </c>
      <c r="E715" s="504">
        <v>25</v>
      </c>
      <c r="F715" s="504">
        <v>205</v>
      </c>
      <c r="G715" s="504">
        <v>180</v>
      </c>
      <c r="H715" s="505">
        <f t="shared" si="33"/>
        <v>410</v>
      </c>
      <c r="I715" s="505">
        <v>20</v>
      </c>
      <c r="J715" s="505">
        <f t="shared" si="34"/>
        <v>430</v>
      </c>
      <c r="K715" s="503">
        <f t="shared" si="35"/>
        <v>7.166666666666667</v>
      </c>
      <c r="L715" s="505" t="s">
        <v>1533</v>
      </c>
    </row>
    <row r="716" spans="1:12" x14ac:dyDescent="0.25">
      <c r="A716" s="501" t="s">
        <v>1547</v>
      </c>
      <c r="B716" s="501" t="s">
        <v>1548</v>
      </c>
      <c r="C716" s="502" t="s">
        <v>80</v>
      </c>
      <c r="D716" s="502">
        <v>1500</v>
      </c>
      <c r="E716" s="504">
        <v>25</v>
      </c>
      <c r="F716" s="504">
        <v>325</v>
      </c>
      <c r="G716" s="504">
        <v>220</v>
      </c>
      <c r="H716" s="505">
        <f t="shared" si="33"/>
        <v>570</v>
      </c>
      <c r="I716" s="505">
        <v>20</v>
      </c>
      <c r="J716" s="505">
        <f t="shared" si="34"/>
        <v>590</v>
      </c>
      <c r="K716" s="503">
        <f t="shared" si="35"/>
        <v>9.8333333333333339</v>
      </c>
      <c r="L716" s="505" t="s">
        <v>1533</v>
      </c>
    </row>
    <row r="717" spans="1:12" x14ac:dyDescent="0.25">
      <c r="A717" s="501" t="s">
        <v>1547</v>
      </c>
      <c r="B717" s="501" t="s">
        <v>1548</v>
      </c>
      <c r="C717" s="502" t="s">
        <v>119</v>
      </c>
      <c r="D717" s="502">
        <v>150</v>
      </c>
      <c r="E717" s="502">
        <v>30</v>
      </c>
      <c r="F717" s="502">
        <v>65</v>
      </c>
      <c r="G717" s="502">
        <v>150</v>
      </c>
      <c r="H717" s="501">
        <f t="shared" si="33"/>
        <v>245</v>
      </c>
      <c r="I717" s="501">
        <v>20</v>
      </c>
      <c r="J717" s="501">
        <f t="shared" si="34"/>
        <v>265</v>
      </c>
      <c r="K717" s="503">
        <f t="shared" si="35"/>
        <v>4.416666666666667</v>
      </c>
      <c r="L717" s="501" t="s">
        <v>1531</v>
      </c>
    </row>
    <row r="718" spans="1:12" x14ac:dyDescent="0.25">
      <c r="A718" s="501" t="s">
        <v>1547</v>
      </c>
      <c r="B718" s="501" t="s">
        <v>1548</v>
      </c>
      <c r="C718" s="502" t="s">
        <v>119</v>
      </c>
      <c r="D718" s="502">
        <v>300</v>
      </c>
      <c r="E718" s="502">
        <v>30</v>
      </c>
      <c r="F718" s="502">
        <v>100</v>
      </c>
      <c r="G718" s="502">
        <v>170</v>
      </c>
      <c r="H718" s="501">
        <f t="shared" si="33"/>
        <v>300</v>
      </c>
      <c r="I718" s="501">
        <v>20</v>
      </c>
      <c r="J718" s="501">
        <f t="shared" si="34"/>
        <v>320</v>
      </c>
      <c r="K718" s="503">
        <f t="shared" si="35"/>
        <v>5.333333333333333</v>
      </c>
      <c r="L718" s="501" t="s">
        <v>1531</v>
      </c>
    </row>
    <row r="719" spans="1:12" x14ac:dyDescent="0.25">
      <c r="A719" s="501" t="s">
        <v>1547</v>
      </c>
      <c r="B719" s="501" t="s">
        <v>1548</v>
      </c>
      <c r="C719" s="502" t="s">
        <v>119</v>
      </c>
      <c r="D719" s="502">
        <v>600</v>
      </c>
      <c r="E719" s="504">
        <v>30</v>
      </c>
      <c r="F719" s="504">
        <v>170</v>
      </c>
      <c r="G719" s="504">
        <v>210</v>
      </c>
      <c r="H719" s="505">
        <f t="shared" ref="H719:H782" si="36">E719+F719+G719</f>
        <v>410</v>
      </c>
      <c r="I719" s="505">
        <v>20</v>
      </c>
      <c r="J719" s="505">
        <f t="shared" ref="J719:J782" si="37">H719+I719</f>
        <v>430</v>
      </c>
      <c r="K719" s="503">
        <f t="shared" ref="K719:K782" si="38">J719/60</f>
        <v>7.166666666666667</v>
      </c>
      <c r="L719" s="505" t="s">
        <v>1533</v>
      </c>
    </row>
    <row r="720" spans="1:12" x14ac:dyDescent="0.25">
      <c r="A720" s="501" t="s">
        <v>1547</v>
      </c>
      <c r="B720" s="501" t="s">
        <v>1548</v>
      </c>
      <c r="C720" s="502" t="s">
        <v>119</v>
      </c>
      <c r="D720" s="502">
        <v>800</v>
      </c>
      <c r="E720" s="504">
        <v>30</v>
      </c>
      <c r="F720" s="504">
        <v>217</v>
      </c>
      <c r="G720" s="504">
        <v>237</v>
      </c>
      <c r="H720" s="505">
        <f t="shared" si="36"/>
        <v>484</v>
      </c>
      <c r="I720" s="505">
        <v>20</v>
      </c>
      <c r="J720" s="505">
        <f t="shared" si="37"/>
        <v>504</v>
      </c>
      <c r="K720" s="503">
        <f t="shared" si="38"/>
        <v>8.4</v>
      </c>
      <c r="L720" s="505" t="s">
        <v>1533</v>
      </c>
    </row>
    <row r="721" spans="1:12" x14ac:dyDescent="0.25">
      <c r="A721" s="501" t="s">
        <v>1547</v>
      </c>
      <c r="B721" s="501" t="s">
        <v>1548</v>
      </c>
      <c r="C721" s="502" t="s">
        <v>119</v>
      </c>
      <c r="D721" s="502">
        <v>900</v>
      </c>
      <c r="E721" s="504">
        <v>30</v>
      </c>
      <c r="F721" s="504">
        <v>240</v>
      </c>
      <c r="G721" s="504">
        <v>250</v>
      </c>
      <c r="H721" s="505">
        <f t="shared" si="36"/>
        <v>520</v>
      </c>
      <c r="I721" s="505">
        <v>20</v>
      </c>
      <c r="J721" s="505">
        <f t="shared" si="37"/>
        <v>540</v>
      </c>
      <c r="K721" s="503">
        <f t="shared" si="38"/>
        <v>9</v>
      </c>
      <c r="L721" s="505" t="s">
        <v>1533</v>
      </c>
    </row>
    <row r="722" spans="1:12" x14ac:dyDescent="0.25">
      <c r="A722" s="501" t="s">
        <v>1547</v>
      </c>
      <c r="B722" s="501" t="s">
        <v>1548</v>
      </c>
      <c r="C722" s="502" t="s">
        <v>119</v>
      </c>
      <c r="D722" s="502">
        <v>1500</v>
      </c>
      <c r="E722" s="504">
        <v>30</v>
      </c>
      <c r="F722" s="504">
        <v>380</v>
      </c>
      <c r="G722" s="504">
        <v>330</v>
      </c>
      <c r="H722" s="505">
        <f t="shared" si="36"/>
        <v>740</v>
      </c>
      <c r="I722" s="505">
        <v>20</v>
      </c>
      <c r="J722" s="505">
        <f t="shared" si="37"/>
        <v>760</v>
      </c>
      <c r="K722" s="503">
        <f t="shared" si="38"/>
        <v>12.666666666666666</v>
      </c>
      <c r="L722" s="505" t="s">
        <v>1533</v>
      </c>
    </row>
    <row r="723" spans="1:12" x14ac:dyDescent="0.25">
      <c r="A723" s="501" t="s">
        <v>1547</v>
      </c>
      <c r="B723" s="501" t="s">
        <v>1548</v>
      </c>
      <c r="C723" s="502" t="s">
        <v>179</v>
      </c>
      <c r="D723" s="502">
        <v>150</v>
      </c>
      <c r="E723" s="502">
        <v>40</v>
      </c>
      <c r="F723" s="502">
        <v>80</v>
      </c>
      <c r="G723" s="502">
        <v>180</v>
      </c>
      <c r="H723" s="501">
        <f t="shared" si="36"/>
        <v>300</v>
      </c>
      <c r="I723" s="501">
        <v>25</v>
      </c>
      <c r="J723" s="501">
        <f t="shared" si="37"/>
        <v>325</v>
      </c>
      <c r="K723" s="503">
        <f t="shared" si="38"/>
        <v>5.416666666666667</v>
      </c>
      <c r="L723" s="501" t="s">
        <v>1531</v>
      </c>
    </row>
    <row r="724" spans="1:12" x14ac:dyDescent="0.25">
      <c r="A724" s="501" t="s">
        <v>1547</v>
      </c>
      <c r="B724" s="501" t="s">
        <v>1548</v>
      </c>
      <c r="C724" s="502" t="s">
        <v>179</v>
      </c>
      <c r="D724" s="502">
        <v>300</v>
      </c>
      <c r="E724" s="502">
        <v>40</v>
      </c>
      <c r="F724" s="502">
        <v>115</v>
      </c>
      <c r="G724" s="502">
        <v>210</v>
      </c>
      <c r="H724" s="501">
        <f t="shared" si="36"/>
        <v>365</v>
      </c>
      <c r="I724" s="501">
        <v>25</v>
      </c>
      <c r="J724" s="501">
        <f t="shared" si="37"/>
        <v>390</v>
      </c>
      <c r="K724" s="503">
        <f t="shared" si="38"/>
        <v>6.5</v>
      </c>
      <c r="L724" s="501" t="s">
        <v>1531</v>
      </c>
    </row>
    <row r="725" spans="1:12" x14ac:dyDescent="0.25">
      <c r="A725" s="501" t="s">
        <v>1547</v>
      </c>
      <c r="B725" s="501" t="s">
        <v>1548</v>
      </c>
      <c r="C725" s="502" t="s">
        <v>179</v>
      </c>
      <c r="D725" s="502">
        <v>600</v>
      </c>
      <c r="E725" s="504">
        <v>40</v>
      </c>
      <c r="F725" s="504">
        <v>185</v>
      </c>
      <c r="G725" s="504">
        <v>270</v>
      </c>
      <c r="H725" s="505">
        <f t="shared" si="36"/>
        <v>495</v>
      </c>
      <c r="I725" s="505">
        <v>25</v>
      </c>
      <c r="J725" s="505">
        <f t="shared" si="37"/>
        <v>520</v>
      </c>
      <c r="K725" s="503">
        <f t="shared" si="38"/>
        <v>8.6666666666666661</v>
      </c>
      <c r="L725" s="505" t="s">
        <v>1533</v>
      </c>
    </row>
    <row r="726" spans="1:12" x14ac:dyDescent="0.25">
      <c r="A726" s="501" t="s">
        <v>1547</v>
      </c>
      <c r="B726" s="501" t="s">
        <v>1548</v>
      </c>
      <c r="C726" s="502" t="s">
        <v>179</v>
      </c>
      <c r="D726" s="502">
        <v>800</v>
      </c>
      <c r="E726" s="504">
        <v>40</v>
      </c>
      <c r="F726" s="504">
        <v>232</v>
      </c>
      <c r="G726" s="504">
        <v>310</v>
      </c>
      <c r="H726" s="505">
        <f t="shared" si="36"/>
        <v>582</v>
      </c>
      <c r="I726" s="505">
        <v>25</v>
      </c>
      <c r="J726" s="505">
        <f t="shared" si="37"/>
        <v>607</v>
      </c>
      <c r="K726" s="503">
        <f t="shared" si="38"/>
        <v>10.116666666666667</v>
      </c>
      <c r="L726" s="505" t="s">
        <v>1533</v>
      </c>
    </row>
    <row r="727" spans="1:12" x14ac:dyDescent="0.25">
      <c r="A727" s="501" t="s">
        <v>1547</v>
      </c>
      <c r="B727" s="501" t="s">
        <v>1548</v>
      </c>
      <c r="C727" s="502" t="s">
        <v>179</v>
      </c>
      <c r="D727" s="502">
        <v>900</v>
      </c>
      <c r="E727" s="504">
        <v>40</v>
      </c>
      <c r="F727" s="504">
        <v>255</v>
      </c>
      <c r="G727" s="504">
        <v>330</v>
      </c>
      <c r="H727" s="505">
        <f t="shared" si="36"/>
        <v>625</v>
      </c>
      <c r="I727" s="505">
        <v>25</v>
      </c>
      <c r="J727" s="505">
        <f t="shared" si="37"/>
        <v>650</v>
      </c>
      <c r="K727" s="503">
        <f t="shared" si="38"/>
        <v>10.833333333333334</v>
      </c>
      <c r="L727" s="505" t="s">
        <v>1533</v>
      </c>
    </row>
    <row r="728" spans="1:12" x14ac:dyDescent="0.25">
      <c r="A728" s="501" t="s">
        <v>1547</v>
      </c>
      <c r="B728" s="501" t="s">
        <v>1548</v>
      </c>
      <c r="C728" s="502" t="s">
        <v>179</v>
      </c>
      <c r="D728" s="502">
        <v>1500</v>
      </c>
      <c r="E728" s="504">
        <v>40</v>
      </c>
      <c r="F728" s="504">
        <v>395</v>
      </c>
      <c r="G728" s="504">
        <v>450</v>
      </c>
      <c r="H728" s="505">
        <f t="shared" si="36"/>
        <v>885</v>
      </c>
      <c r="I728" s="505">
        <v>25</v>
      </c>
      <c r="J728" s="505">
        <f t="shared" si="37"/>
        <v>910</v>
      </c>
      <c r="K728" s="503">
        <f t="shared" si="38"/>
        <v>15.166666666666666</v>
      </c>
      <c r="L728" s="505" t="s">
        <v>1533</v>
      </c>
    </row>
    <row r="729" spans="1:12" x14ac:dyDescent="0.25">
      <c r="A729" s="501" t="s">
        <v>1547</v>
      </c>
      <c r="B729" s="501" t="s">
        <v>1548</v>
      </c>
      <c r="C729" s="502" t="s">
        <v>118</v>
      </c>
      <c r="D729" s="502">
        <v>150</v>
      </c>
      <c r="E729" s="502">
        <v>45</v>
      </c>
      <c r="F729" s="502">
        <v>85</v>
      </c>
      <c r="G729" s="502">
        <v>225</v>
      </c>
      <c r="H729" s="501">
        <f t="shared" si="36"/>
        <v>355</v>
      </c>
      <c r="I729" s="501">
        <v>25</v>
      </c>
      <c r="J729" s="501">
        <f t="shared" si="37"/>
        <v>380</v>
      </c>
      <c r="K729" s="503">
        <f t="shared" si="38"/>
        <v>6.333333333333333</v>
      </c>
      <c r="L729" s="501" t="s">
        <v>1531</v>
      </c>
    </row>
    <row r="730" spans="1:12" x14ac:dyDescent="0.25">
      <c r="A730" s="501" t="s">
        <v>1547</v>
      </c>
      <c r="B730" s="501" t="s">
        <v>1548</v>
      </c>
      <c r="C730" s="502" t="s">
        <v>118</v>
      </c>
      <c r="D730" s="502">
        <v>300</v>
      </c>
      <c r="E730" s="502">
        <v>45</v>
      </c>
      <c r="F730" s="502">
        <v>130</v>
      </c>
      <c r="G730" s="502">
        <v>255</v>
      </c>
      <c r="H730" s="501">
        <f t="shared" si="36"/>
        <v>430</v>
      </c>
      <c r="I730" s="501">
        <v>25</v>
      </c>
      <c r="J730" s="501">
        <f t="shared" si="37"/>
        <v>455</v>
      </c>
      <c r="K730" s="503">
        <f t="shared" si="38"/>
        <v>7.583333333333333</v>
      </c>
      <c r="L730" s="501" t="s">
        <v>1531</v>
      </c>
    </row>
    <row r="731" spans="1:12" x14ac:dyDescent="0.25">
      <c r="A731" s="501" t="s">
        <v>1547</v>
      </c>
      <c r="B731" s="501" t="s">
        <v>1548</v>
      </c>
      <c r="C731" s="502" t="s">
        <v>118</v>
      </c>
      <c r="D731" s="502">
        <v>600</v>
      </c>
      <c r="E731" s="504">
        <v>45</v>
      </c>
      <c r="F731" s="504">
        <v>220</v>
      </c>
      <c r="G731" s="504">
        <v>315</v>
      </c>
      <c r="H731" s="505">
        <f t="shared" si="36"/>
        <v>580</v>
      </c>
      <c r="I731" s="505">
        <v>25</v>
      </c>
      <c r="J731" s="505">
        <f t="shared" si="37"/>
        <v>605</v>
      </c>
      <c r="K731" s="503">
        <f t="shared" si="38"/>
        <v>10.083333333333334</v>
      </c>
      <c r="L731" s="505" t="s">
        <v>1533</v>
      </c>
    </row>
    <row r="732" spans="1:12" x14ac:dyDescent="0.25">
      <c r="A732" s="501" t="s">
        <v>1547</v>
      </c>
      <c r="B732" s="501" t="s">
        <v>1548</v>
      </c>
      <c r="C732" s="502" t="s">
        <v>118</v>
      </c>
      <c r="D732" s="502">
        <v>800</v>
      </c>
      <c r="E732" s="504">
        <v>45</v>
      </c>
      <c r="F732" s="504">
        <v>280</v>
      </c>
      <c r="G732" s="504">
        <v>355</v>
      </c>
      <c r="H732" s="505">
        <f t="shared" si="36"/>
        <v>680</v>
      </c>
      <c r="I732" s="505">
        <v>25</v>
      </c>
      <c r="J732" s="505">
        <f t="shared" si="37"/>
        <v>705</v>
      </c>
      <c r="K732" s="503">
        <f t="shared" si="38"/>
        <v>11.75</v>
      </c>
      <c r="L732" s="505" t="s">
        <v>1533</v>
      </c>
    </row>
    <row r="733" spans="1:12" x14ac:dyDescent="0.25">
      <c r="A733" s="501" t="s">
        <v>1547</v>
      </c>
      <c r="B733" s="501" t="s">
        <v>1548</v>
      </c>
      <c r="C733" s="502" t="s">
        <v>118</v>
      </c>
      <c r="D733" s="502">
        <v>900</v>
      </c>
      <c r="E733" s="504">
        <v>45</v>
      </c>
      <c r="F733" s="504">
        <v>310</v>
      </c>
      <c r="G733" s="504">
        <v>375</v>
      </c>
      <c r="H733" s="505">
        <f t="shared" si="36"/>
        <v>730</v>
      </c>
      <c r="I733" s="505">
        <v>25</v>
      </c>
      <c r="J733" s="505">
        <f t="shared" si="37"/>
        <v>755</v>
      </c>
      <c r="K733" s="503">
        <f t="shared" si="38"/>
        <v>12.583333333333334</v>
      </c>
      <c r="L733" s="505" t="s">
        <v>1533</v>
      </c>
    </row>
    <row r="734" spans="1:12" x14ac:dyDescent="0.25">
      <c r="A734" s="501" t="s">
        <v>1547</v>
      </c>
      <c r="B734" s="501" t="s">
        <v>1548</v>
      </c>
      <c r="C734" s="502" t="s">
        <v>118</v>
      </c>
      <c r="D734" s="502">
        <v>1500</v>
      </c>
      <c r="E734" s="504">
        <v>45</v>
      </c>
      <c r="F734" s="504">
        <v>490</v>
      </c>
      <c r="G734" s="504">
        <v>495</v>
      </c>
      <c r="H734" s="505">
        <f t="shared" si="36"/>
        <v>1030</v>
      </c>
      <c r="I734" s="505">
        <v>25</v>
      </c>
      <c r="J734" s="505">
        <f t="shared" si="37"/>
        <v>1055</v>
      </c>
      <c r="K734" s="503">
        <f t="shared" si="38"/>
        <v>17.583333333333332</v>
      </c>
      <c r="L734" s="505" t="s">
        <v>1533</v>
      </c>
    </row>
    <row r="735" spans="1:12" x14ac:dyDescent="0.25">
      <c r="A735" s="501" t="s">
        <v>1547</v>
      </c>
      <c r="B735" s="501" t="s">
        <v>1548</v>
      </c>
      <c r="C735" s="502" t="s">
        <v>688</v>
      </c>
      <c r="D735" s="502">
        <v>150</v>
      </c>
      <c r="E735" s="502">
        <v>50</v>
      </c>
      <c r="F735" s="502">
        <v>95</v>
      </c>
      <c r="G735" s="502">
        <v>270</v>
      </c>
      <c r="H735" s="501">
        <f t="shared" si="36"/>
        <v>415</v>
      </c>
      <c r="I735" s="501">
        <v>25</v>
      </c>
      <c r="J735" s="501">
        <f t="shared" si="37"/>
        <v>440</v>
      </c>
      <c r="K735" s="503">
        <f t="shared" si="38"/>
        <v>7.333333333333333</v>
      </c>
      <c r="L735" s="501" t="s">
        <v>1531</v>
      </c>
    </row>
    <row r="736" spans="1:12" x14ac:dyDescent="0.25">
      <c r="A736" s="501" t="s">
        <v>1547</v>
      </c>
      <c r="B736" s="501" t="s">
        <v>1548</v>
      </c>
      <c r="C736" s="502" t="s">
        <v>688</v>
      </c>
      <c r="D736" s="502">
        <v>300</v>
      </c>
      <c r="E736" s="502">
        <v>50</v>
      </c>
      <c r="F736" s="502">
        <v>150</v>
      </c>
      <c r="G736" s="502">
        <v>280</v>
      </c>
      <c r="H736" s="501">
        <f t="shared" si="36"/>
        <v>480</v>
      </c>
      <c r="I736" s="501">
        <v>25</v>
      </c>
      <c r="J736" s="501">
        <f t="shared" si="37"/>
        <v>505</v>
      </c>
      <c r="K736" s="503">
        <f t="shared" si="38"/>
        <v>8.4166666666666661</v>
      </c>
      <c r="L736" s="501" t="s">
        <v>1531</v>
      </c>
    </row>
    <row r="737" spans="1:12" x14ac:dyDescent="0.25">
      <c r="A737" s="501" t="s">
        <v>1547</v>
      </c>
      <c r="B737" s="501" t="s">
        <v>1548</v>
      </c>
      <c r="C737" s="502" t="s">
        <v>688</v>
      </c>
      <c r="D737" s="502">
        <v>600</v>
      </c>
      <c r="E737" s="504">
        <v>50</v>
      </c>
      <c r="F737" s="504">
        <v>260</v>
      </c>
      <c r="G737" s="504">
        <v>300</v>
      </c>
      <c r="H737" s="505">
        <f t="shared" si="36"/>
        <v>610</v>
      </c>
      <c r="I737" s="505">
        <v>25</v>
      </c>
      <c r="J737" s="505">
        <f t="shared" si="37"/>
        <v>635</v>
      </c>
      <c r="K737" s="503">
        <f t="shared" si="38"/>
        <v>10.583333333333334</v>
      </c>
      <c r="L737" s="505" t="s">
        <v>1533</v>
      </c>
    </row>
    <row r="738" spans="1:12" x14ac:dyDescent="0.25">
      <c r="A738" s="501" t="s">
        <v>1547</v>
      </c>
      <c r="B738" s="501" t="s">
        <v>1548</v>
      </c>
      <c r="C738" s="502" t="s">
        <v>688</v>
      </c>
      <c r="D738" s="502">
        <v>800</v>
      </c>
      <c r="E738" s="504">
        <v>50</v>
      </c>
      <c r="F738" s="504">
        <v>333</v>
      </c>
      <c r="G738" s="504">
        <v>313</v>
      </c>
      <c r="H738" s="505">
        <f t="shared" si="36"/>
        <v>696</v>
      </c>
      <c r="I738" s="505">
        <v>25</v>
      </c>
      <c r="J738" s="505">
        <f t="shared" si="37"/>
        <v>721</v>
      </c>
      <c r="K738" s="503">
        <f t="shared" si="38"/>
        <v>12.016666666666667</v>
      </c>
      <c r="L738" s="505" t="s">
        <v>1533</v>
      </c>
    </row>
    <row r="739" spans="1:12" x14ac:dyDescent="0.25">
      <c r="A739" s="501" t="s">
        <v>1547</v>
      </c>
      <c r="B739" s="501" t="s">
        <v>1548</v>
      </c>
      <c r="C739" s="502" t="s">
        <v>688</v>
      </c>
      <c r="D739" s="502">
        <v>900</v>
      </c>
      <c r="E739" s="504">
        <v>50</v>
      </c>
      <c r="F739" s="504">
        <v>370</v>
      </c>
      <c r="G739" s="504">
        <v>320</v>
      </c>
      <c r="H739" s="505">
        <f t="shared" si="36"/>
        <v>740</v>
      </c>
      <c r="I739" s="505">
        <v>25</v>
      </c>
      <c r="J739" s="505">
        <f t="shared" si="37"/>
        <v>765</v>
      </c>
      <c r="K739" s="503">
        <f t="shared" si="38"/>
        <v>12.75</v>
      </c>
      <c r="L739" s="505" t="s">
        <v>1533</v>
      </c>
    </row>
    <row r="740" spans="1:12" x14ac:dyDescent="0.25">
      <c r="A740" s="501" t="s">
        <v>1547</v>
      </c>
      <c r="B740" s="501" t="s">
        <v>1548</v>
      </c>
      <c r="C740" s="502" t="s">
        <v>688</v>
      </c>
      <c r="D740" s="502">
        <v>1500</v>
      </c>
      <c r="E740" s="504">
        <v>50</v>
      </c>
      <c r="F740" s="504">
        <v>590</v>
      </c>
      <c r="G740" s="504">
        <v>360</v>
      </c>
      <c r="H740" s="505">
        <f t="shared" si="36"/>
        <v>1000</v>
      </c>
      <c r="I740" s="505">
        <v>25</v>
      </c>
      <c r="J740" s="505">
        <f t="shared" si="37"/>
        <v>1025</v>
      </c>
      <c r="K740" s="503">
        <f t="shared" si="38"/>
        <v>17.083333333333332</v>
      </c>
      <c r="L740" s="505" t="s">
        <v>1533</v>
      </c>
    </row>
    <row r="741" spans="1:12" x14ac:dyDescent="0.25">
      <c r="A741" s="501" t="s">
        <v>1547</v>
      </c>
      <c r="B741" s="501" t="s">
        <v>1548</v>
      </c>
      <c r="C741" s="502" t="s">
        <v>171</v>
      </c>
      <c r="D741" s="502">
        <v>150</v>
      </c>
      <c r="E741" s="502">
        <v>60</v>
      </c>
      <c r="F741" s="502">
        <v>105</v>
      </c>
      <c r="G741" s="502">
        <v>300</v>
      </c>
      <c r="H741" s="501">
        <f t="shared" si="36"/>
        <v>465</v>
      </c>
      <c r="I741" s="501">
        <v>25</v>
      </c>
      <c r="J741" s="501">
        <f t="shared" si="37"/>
        <v>490</v>
      </c>
      <c r="K741" s="503">
        <f t="shared" si="38"/>
        <v>8.1666666666666661</v>
      </c>
      <c r="L741" s="501" t="s">
        <v>1531</v>
      </c>
    </row>
    <row r="742" spans="1:12" x14ac:dyDescent="0.25">
      <c r="A742" s="501" t="s">
        <v>1547</v>
      </c>
      <c r="B742" s="501" t="s">
        <v>1548</v>
      </c>
      <c r="C742" s="502" t="s">
        <v>171</v>
      </c>
      <c r="D742" s="502">
        <v>300</v>
      </c>
      <c r="E742" s="502">
        <v>60</v>
      </c>
      <c r="F742" s="502">
        <v>165</v>
      </c>
      <c r="G742" s="502">
        <v>320</v>
      </c>
      <c r="H742" s="501">
        <f t="shared" si="36"/>
        <v>545</v>
      </c>
      <c r="I742" s="501">
        <v>25</v>
      </c>
      <c r="J742" s="501">
        <f t="shared" si="37"/>
        <v>570</v>
      </c>
      <c r="K742" s="503">
        <f t="shared" si="38"/>
        <v>9.5</v>
      </c>
      <c r="L742" s="501" t="s">
        <v>1531</v>
      </c>
    </row>
    <row r="743" spans="1:12" x14ac:dyDescent="0.25">
      <c r="A743" s="501" t="s">
        <v>1547</v>
      </c>
      <c r="B743" s="501" t="s">
        <v>1548</v>
      </c>
      <c r="C743" s="502" t="s">
        <v>171</v>
      </c>
      <c r="D743" s="502">
        <v>600</v>
      </c>
      <c r="E743" s="504">
        <v>60</v>
      </c>
      <c r="F743" s="504">
        <v>285</v>
      </c>
      <c r="G743" s="504">
        <v>360</v>
      </c>
      <c r="H743" s="505">
        <f t="shared" si="36"/>
        <v>705</v>
      </c>
      <c r="I743" s="505">
        <v>25</v>
      </c>
      <c r="J743" s="505">
        <f t="shared" si="37"/>
        <v>730</v>
      </c>
      <c r="K743" s="503">
        <f t="shared" si="38"/>
        <v>12.166666666666666</v>
      </c>
      <c r="L743" s="505" t="s">
        <v>1533</v>
      </c>
    </row>
    <row r="744" spans="1:12" x14ac:dyDescent="0.25">
      <c r="A744" s="501" t="s">
        <v>1547</v>
      </c>
      <c r="B744" s="501" t="s">
        <v>1548</v>
      </c>
      <c r="C744" s="502" t="s">
        <v>171</v>
      </c>
      <c r="D744" s="502">
        <v>800</v>
      </c>
      <c r="E744" s="504">
        <v>60</v>
      </c>
      <c r="F744" s="504">
        <v>365</v>
      </c>
      <c r="G744" s="504">
        <v>387</v>
      </c>
      <c r="H744" s="505">
        <f t="shared" si="36"/>
        <v>812</v>
      </c>
      <c r="I744" s="505">
        <v>25</v>
      </c>
      <c r="J744" s="505">
        <f t="shared" si="37"/>
        <v>837</v>
      </c>
      <c r="K744" s="503">
        <f t="shared" si="38"/>
        <v>13.95</v>
      </c>
      <c r="L744" s="505" t="s">
        <v>1533</v>
      </c>
    </row>
    <row r="745" spans="1:12" x14ac:dyDescent="0.25">
      <c r="A745" s="501" t="s">
        <v>1547</v>
      </c>
      <c r="B745" s="501" t="s">
        <v>1548</v>
      </c>
      <c r="C745" s="502" t="s">
        <v>171</v>
      </c>
      <c r="D745" s="502">
        <v>900</v>
      </c>
      <c r="E745" s="504">
        <v>60</v>
      </c>
      <c r="F745" s="504">
        <v>405</v>
      </c>
      <c r="G745" s="504">
        <v>400</v>
      </c>
      <c r="H745" s="505">
        <f t="shared" si="36"/>
        <v>865</v>
      </c>
      <c r="I745" s="505">
        <v>25</v>
      </c>
      <c r="J745" s="505">
        <f t="shared" si="37"/>
        <v>890</v>
      </c>
      <c r="K745" s="503">
        <f t="shared" si="38"/>
        <v>14.833333333333334</v>
      </c>
      <c r="L745" s="505" t="s">
        <v>1533</v>
      </c>
    </row>
    <row r="746" spans="1:12" x14ac:dyDescent="0.25">
      <c r="A746" s="501" t="s">
        <v>1547</v>
      </c>
      <c r="B746" s="501" t="s">
        <v>1548</v>
      </c>
      <c r="C746" s="502" t="s">
        <v>171</v>
      </c>
      <c r="D746" s="502">
        <v>1500</v>
      </c>
      <c r="E746" s="504">
        <v>60</v>
      </c>
      <c r="F746" s="504">
        <v>645</v>
      </c>
      <c r="G746" s="504">
        <v>480</v>
      </c>
      <c r="H746" s="505">
        <f t="shared" si="36"/>
        <v>1185</v>
      </c>
      <c r="I746" s="505">
        <v>25</v>
      </c>
      <c r="J746" s="505">
        <f t="shared" si="37"/>
        <v>1210</v>
      </c>
      <c r="K746" s="503">
        <f t="shared" si="38"/>
        <v>20.166666666666668</v>
      </c>
      <c r="L746" s="505" t="s">
        <v>1533</v>
      </c>
    </row>
    <row r="747" spans="1:12" x14ac:dyDescent="0.25">
      <c r="A747" s="501" t="s">
        <v>1547</v>
      </c>
      <c r="B747" s="501" t="s">
        <v>1548</v>
      </c>
      <c r="C747" s="502" t="s">
        <v>195</v>
      </c>
      <c r="D747" s="502">
        <v>150</v>
      </c>
      <c r="E747" s="502">
        <v>70</v>
      </c>
      <c r="F747" s="502">
        <v>125</v>
      </c>
      <c r="G747" s="502">
        <v>330</v>
      </c>
      <c r="H747" s="501">
        <f t="shared" si="36"/>
        <v>525</v>
      </c>
      <c r="I747" s="501">
        <v>25</v>
      </c>
      <c r="J747" s="501">
        <f t="shared" si="37"/>
        <v>550</v>
      </c>
      <c r="K747" s="503">
        <f t="shared" si="38"/>
        <v>9.1666666666666661</v>
      </c>
      <c r="L747" s="501" t="s">
        <v>1531</v>
      </c>
    </row>
    <row r="748" spans="1:12" x14ac:dyDescent="0.25">
      <c r="A748" s="501" t="s">
        <v>1547</v>
      </c>
      <c r="B748" s="501" t="s">
        <v>1548</v>
      </c>
      <c r="C748" s="502" t="s">
        <v>195</v>
      </c>
      <c r="D748" s="502">
        <v>300</v>
      </c>
      <c r="E748" s="502">
        <v>70</v>
      </c>
      <c r="F748" s="502">
        <v>185</v>
      </c>
      <c r="G748" s="502">
        <v>370</v>
      </c>
      <c r="H748" s="501">
        <f t="shared" si="36"/>
        <v>625</v>
      </c>
      <c r="I748" s="501">
        <v>25</v>
      </c>
      <c r="J748" s="501">
        <f t="shared" si="37"/>
        <v>650</v>
      </c>
      <c r="K748" s="503">
        <f t="shared" si="38"/>
        <v>10.833333333333334</v>
      </c>
      <c r="L748" s="501" t="s">
        <v>1531</v>
      </c>
    </row>
    <row r="749" spans="1:12" x14ac:dyDescent="0.25">
      <c r="A749" s="501" t="s">
        <v>1547</v>
      </c>
      <c r="B749" s="501" t="s">
        <v>1548</v>
      </c>
      <c r="C749" s="502" t="s">
        <v>195</v>
      </c>
      <c r="D749" s="502">
        <v>600</v>
      </c>
      <c r="E749" s="504">
        <v>70</v>
      </c>
      <c r="F749" s="504">
        <v>305</v>
      </c>
      <c r="G749" s="504">
        <v>450</v>
      </c>
      <c r="H749" s="505">
        <f t="shared" si="36"/>
        <v>825</v>
      </c>
      <c r="I749" s="505">
        <v>25</v>
      </c>
      <c r="J749" s="505">
        <f t="shared" si="37"/>
        <v>850</v>
      </c>
      <c r="K749" s="503">
        <f t="shared" si="38"/>
        <v>14.166666666666666</v>
      </c>
      <c r="L749" s="505" t="s">
        <v>1533</v>
      </c>
    </row>
    <row r="750" spans="1:12" x14ac:dyDescent="0.25">
      <c r="A750" s="501" t="s">
        <v>1547</v>
      </c>
      <c r="B750" s="501" t="s">
        <v>1548</v>
      </c>
      <c r="C750" s="502" t="s">
        <v>195</v>
      </c>
      <c r="D750" s="502">
        <v>800</v>
      </c>
      <c r="E750" s="504">
        <v>70</v>
      </c>
      <c r="F750" s="504">
        <v>385</v>
      </c>
      <c r="G750" s="504">
        <v>503</v>
      </c>
      <c r="H750" s="505">
        <f t="shared" si="36"/>
        <v>958</v>
      </c>
      <c r="I750" s="505">
        <v>25</v>
      </c>
      <c r="J750" s="505">
        <f t="shared" si="37"/>
        <v>983</v>
      </c>
      <c r="K750" s="503">
        <f t="shared" si="38"/>
        <v>16.383333333333333</v>
      </c>
      <c r="L750" s="505" t="s">
        <v>1533</v>
      </c>
    </row>
    <row r="751" spans="1:12" x14ac:dyDescent="0.25">
      <c r="A751" s="501" t="s">
        <v>1547</v>
      </c>
      <c r="B751" s="501" t="s">
        <v>1548</v>
      </c>
      <c r="C751" s="502" t="s">
        <v>195</v>
      </c>
      <c r="D751" s="502">
        <v>900</v>
      </c>
      <c r="E751" s="504">
        <v>70</v>
      </c>
      <c r="F751" s="504">
        <v>425</v>
      </c>
      <c r="G751" s="504">
        <v>530</v>
      </c>
      <c r="H751" s="505">
        <f t="shared" si="36"/>
        <v>1025</v>
      </c>
      <c r="I751" s="505">
        <v>25</v>
      </c>
      <c r="J751" s="505">
        <f t="shared" si="37"/>
        <v>1050</v>
      </c>
      <c r="K751" s="503">
        <f t="shared" si="38"/>
        <v>17.5</v>
      </c>
      <c r="L751" s="505" t="s">
        <v>1533</v>
      </c>
    </row>
    <row r="752" spans="1:12" x14ac:dyDescent="0.25">
      <c r="A752" s="501" t="s">
        <v>1547</v>
      </c>
      <c r="B752" s="501" t="s">
        <v>1548</v>
      </c>
      <c r="C752" s="502" t="s">
        <v>195</v>
      </c>
      <c r="D752" s="502">
        <v>1500</v>
      </c>
      <c r="E752" s="504">
        <v>70</v>
      </c>
      <c r="F752" s="504">
        <v>665</v>
      </c>
      <c r="G752" s="504">
        <v>690</v>
      </c>
      <c r="H752" s="505">
        <f t="shared" si="36"/>
        <v>1425</v>
      </c>
      <c r="I752" s="505">
        <v>25</v>
      </c>
      <c r="J752" s="505">
        <f t="shared" si="37"/>
        <v>1450</v>
      </c>
      <c r="K752" s="503">
        <f t="shared" si="38"/>
        <v>24.166666666666668</v>
      </c>
      <c r="L752" s="505" t="s">
        <v>1533</v>
      </c>
    </row>
    <row r="753" spans="1:12" x14ac:dyDescent="0.25">
      <c r="A753" s="501" t="s">
        <v>1547</v>
      </c>
      <c r="B753" s="501" t="s">
        <v>1548</v>
      </c>
      <c r="C753" s="502" t="s">
        <v>1406</v>
      </c>
      <c r="D753" s="502">
        <v>150</v>
      </c>
      <c r="E753" s="502">
        <v>80</v>
      </c>
      <c r="F753" s="502">
        <v>140</v>
      </c>
      <c r="G753" s="502">
        <v>385</v>
      </c>
      <c r="H753" s="501">
        <f t="shared" si="36"/>
        <v>605</v>
      </c>
      <c r="I753" s="501">
        <v>30</v>
      </c>
      <c r="J753" s="501">
        <f t="shared" si="37"/>
        <v>635</v>
      </c>
      <c r="K753" s="503">
        <f t="shared" si="38"/>
        <v>10.583333333333334</v>
      </c>
      <c r="L753" s="501" t="s">
        <v>1531</v>
      </c>
    </row>
    <row r="754" spans="1:12" x14ac:dyDescent="0.25">
      <c r="A754" s="501" t="s">
        <v>1547</v>
      </c>
      <c r="B754" s="501" t="s">
        <v>1548</v>
      </c>
      <c r="C754" s="502" t="s">
        <v>1406</v>
      </c>
      <c r="D754" s="502">
        <v>300</v>
      </c>
      <c r="E754" s="502">
        <v>80</v>
      </c>
      <c r="F754" s="502">
        <v>215</v>
      </c>
      <c r="G754" s="502">
        <v>425</v>
      </c>
      <c r="H754" s="501">
        <f t="shared" si="36"/>
        <v>720</v>
      </c>
      <c r="I754" s="501">
        <v>30</v>
      </c>
      <c r="J754" s="501">
        <f t="shared" si="37"/>
        <v>750</v>
      </c>
      <c r="K754" s="503">
        <f t="shared" si="38"/>
        <v>12.5</v>
      </c>
      <c r="L754" s="501" t="s">
        <v>1531</v>
      </c>
    </row>
    <row r="755" spans="1:12" x14ac:dyDescent="0.25">
      <c r="A755" s="501" t="s">
        <v>1547</v>
      </c>
      <c r="B755" s="501" t="s">
        <v>1548</v>
      </c>
      <c r="C755" s="502" t="s">
        <v>1406</v>
      </c>
      <c r="D755" s="502">
        <v>600</v>
      </c>
      <c r="E755" s="504">
        <v>80</v>
      </c>
      <c r="F755" s="504">
        <v>365</v>
      </c>
      <c r="G755" s="504">
        <v>505</v>
      </c>
      <c r="H755" s="505">
        <f t="shared" si="36"/>
        <v>950</v>
      </c>
      <c r="I755" s="505">
        <v>30</v>
      </c>
      <c r="J755" s="505">
        <f t="shared" si="37"/>
        <v>980</v>
      </c>
      <c r="K755" s="503">
        <f t="shared" si="38"/>
        <v>16.333333333333332</v>
      </c>
      <c r="L755" s="505" t="s">
        <v>1533</v>
      </c>
    </row>
    <row r="756" spans="1:12" x14ac:dyDescent="0.25">
      <c r="A756" s="501" t="s">
        <v>1547</v>
      </c>
      <c r="B756" s="501" t="s">
        <v>1548</v>
      </c>
      <c r="C756" s="502" t="s">
        <v>1406</v>
      </c>
      <c r="D756" s="502">
        <v>800</v>
      </c>
      <c r="E756" s="504">
        <v>80</v>
      </c>
      <c r="F756" s="504">
        <v>465</v>
      </c>
      <c r="G756" s="504">
        <v>558</v>
      </c>
      <c r="H756" s="505">
        <f t="shared" si="36"/>
        <v>1103</v>
      </c>
      <c r="I756" s="505">
        <v>30</v>
      </c>
      <c r="J756" s="505">
        <f t="shared" si="37"/>
        <v>1133</v>
      </c>
      <c r="K756" s="503">
        <f t="shared" si="38"/>
        <v>18.883333333333333</v>
      </c>
      <c r="L756" s="505" t="s">
        <v>1533</v>
      </c>
    </row>
    <row r="757" spans="1:12" x14ac:dyDescent="0.25">
      <c r="A757" s="501" t="s">
        <v>1547</v>
      </c>
      <c r="B757" s="501" t="s">
        <v>1548</v>
      </c>
      <c r="C757" s="502" t="s">
        <v>1406</v>
      </c>
      <c r="D757" s="502">
        <v>900</v>
      </c>
      <c r="E757" s="504">
        <v>80</v>
      </c>
      <c r="F757" s="504">
        <v>515</v>
      </c>
      <c r="G757" s="504">
        <v>585</v>
      </c>
      <c r="H757" s="505">
        <f t="shared" si="36"/>
        <v>1180</v>
      </c>
      <c r="I757" s="505">
        <v>30</v>
      </c>
      <c r="J757" s="505">
        <f t="shared" si="37"/>
        <v>1210</v>
      </c>
      <c r="K757" s="503">
        <f t="shared" si="38"/>
        <v>20.166666666666668</v>
      </c>
      <c r="L757" s="505" t="s">
        <v>1533</v>
      </c>
    </row>
    <row r="758" spans="1:12" x14ac:dyDescent="0.25">
      <c r="A758" s="501" t="s">
        <v>1547</v>
      </c>
      <c r="B758" s="501" t="s">
        <v>1548</v>
      </c>
      <c r="C758" s="502" t="s">
        <v>1406</v>
      </c>
      <c r="D758" s="502">
        <v>1500</v>
      </c>
      <c r="E758" s="504">
        <v>80</v>
      </c>
      <c r="F758" s="504">
        <v>815</v>
      </c>
      <c r="G758" s="504">
        <v>745</v>
      </c>
      <c r="H758" s="505">
        <f t="shared" si="36"/>
        <v>1640</v>
      </c>
      <c r="I758" s="505">
        <v>30</v>
      </c>
      <c r="J758" s="505">
        <f t="shared" si="37"/>
        <v>1670</v>
      </c>
      <c r="K758" s="503">
        <f t="shared" si="38"/>
        <v>27.833333333333332</v>
      </c>
      <c r="L758" s="505" t="s">
        <v>1533</v>
      </c>
    </row>
    <row r="759" spans="1:12" x14ac:dyDescent="0.25">
      <c r="A759" s="501" t="s">
        <v>1547</v>
      </c>
      <c r="B759" s="501" t="s">
        <v>1548</v>
      </c>
      <c r="C759" s="502" t="s">
        <v>1407</v>
      </c>
      <c r="D759" s="502">
        <v>150</v>
      </c>
      <c r="E759" s="502">
        <v>90</v>
      </c>
      <c r="F759" s="502">
        <v>165</v>
      </c>
      <c r="G759" s="502">
        <v>440</v>
      </c>
      <c r="H759" s="501">
        <f t="shared" si="36"/>
        <v>695</v>
      </c>
      <c r="I759" s="501">
        <v>30</v>
      </c>
      <c r="J759" s="501">
        <f t="shared" si="37"/>
        <v>725</v>
      </c>
      <c r="K759" s="503">
        <f t="shared" si="38"/>
        <v>12.083333333333334</v>
      </c>
      <c r="L759" s="501" t="s">
        <v>1531</v>
      </c>
    </row>
    <row r="760" spans="1:12" x14ac:dyDescent="0.25">
      <c r="A760" s="501" t="s">
        <v>1547</v>
      </c>
      <c r="B760" s="501" t="s">
        <v>1548</v>
      </c>
      <c r="C760" s="502" t="s">
        <v>1407</v>
      </c>
      <c r="D760" s="502">
        <v>300</v>
      </c>
      <c r="E760" s="502">
        <v>90</v>
      </c>
      <c r="F760" s="502">
        <v>230</v>
      </c>
      <c r="G760" s="502">
        <v>520</v>
      </c>
      <c r="H760" s="501">
        <f t="shared" si="36"/>
        <v>840</v>
      </c>
      <c r="I760" s="501">
        <v>30</v>
      </c>
      <c r="J760" s="501">
        <f t="shared" si="37"/>
        <v>870</v>
      </c>
      <c r="K760" s="503">
        <f t="shared" si="38"/>
        <v>14.5</v>
      </c>
      <c r="L760" s="501" t="s">
        <v>1531</v>
      </c>
    </row>
    <row r="761" spans="1:12" x14ac:dyDescent="0.25">
      <c r="A761" s="501" t="s">
        <v>1547</v>
      </c>
      <c r="B761" s="501" t="s">
        <v>1548</v>
      </c>
      <c r="C761" s="502" t="s">
        <v>1407</v>
      </c>
      <c r="D761" s="502">
        <v>600</v>
      </c>
      <c r="E761" s="504">
        <v>90</v>
      </c>
      <c r="F761" s="504">
        <v>360</v>
      </c>
      <c r="G761" s="504">
        <v>680</v>
      </c>
      <c r="H761" s="505">
        <f t="shared" si="36"/>
        <v>1130</v>
      </c>
      <c r="I761" s="505">
        <v>30</v>
      </c>
      <c r="J761" s="505">
        <f t="shared" si="37"/>
        <v>1160</v>
      </c>
      <c r="K761" s="503">
        <f t="shared" si="38"/>
        <v>19.333333333333332</v>
      </c>
      <c r="L761" s="505" t="s">
        <v>1533</v>
      </c>
    </row>
    <row r="762" spans="1:12" x14ac:dyDescent="0.25">
      <c r="A762" s="501" t="s">
        <v>1547</v>
      </c>
      <c r="B762" s="501" t="s">
        <v>1548</v>
      </c>
      <c r="C762" s="502" t="s">
        <v>1407</v>
      </c>
      <c r="D762" s="502">
        <v>800</v>
      </c>
      <c r="E762" s="504">
        <v>90</v>
      </c>
      <c r="F762" s="504">
        <v>447</v>
      </c>
      <c r="G762" s="504">
        <v>787</v>
      </c>
      <c r="H762" s="505">
        <f t="shared" si="36"/>
        <v>1324</v>
      </c>
      <c r="I762" s="505">
        <v>30</v>
      </c>
      <c r="J762" s="505">
        <f t="shared" si="37"/>
        <v>1354</v>
      </c>
      <c r="K762" s="503">
        <f t="shared" si="38"/>
        <v>22.566666666666666</v>
      </c>
      <c r="L762" s="505" t="s">
        <v>1533</v>
      </c>
    </row>
    <row r="763" spans="1:12" x14ac:dyDescent="0.25">
      <c r="A763" s="501" t="s">
        <v>1547</v>
      </c>
      <c r="B763" s="501" t="s">
        <v>1548</v>
      </c>
      <c r="C763" s="502" t="s">
        <v>1407</v>
      </c>
      <c r="D763" s="502">
        <v>900</v>
      </c>
      <c r="E763" s="504">
        <v>90</v>
      </c>
      <c r="F763" s="504">
        <v>490</v>
      </c>
      <c r="G763" s="504">
        <v>840</v>
      </c>
      <c r="H763" s="505">
        <f t="shared" si="36"/>
        <v>1420</v>
      </c>
      <c r="I763" s="505">
        <v>30</v>
      </c>
      <c r="J763" s="505">
        <f t="shared" si="37"/>
        <v>1450</v>
      </c>
      <c r="K763" s="503">
        <f t="shared" si="38"/>
        <v>24.166666666666668</v>
      </c>
      <c r="L763" s="505" t="s">
        <v>1533</v>
      </c>
    </row>
    <row r="764" spans="1:12" x14ac:dyDescent="0.25">
      <c r="A764" s="501" t="s">
        <v>1547</v>
      </c>
      <c r="B764" s="501" t="s">
        <v>1548</v>
      </c>
      <c r="C764" s="502" t="s">
        <v>1407</v>
      </c>
      <c r="D764" s="502">
        <v>1500</v>
      </c>
      <c r="E764" s="504">
        <v>90</v>
      </c>
      <c r="F764" s="504">
        <v>750</v>
      </c>
      <c r="G764" s="504">
        <v>1160</v>
      </c>
      <c r="H764" s="505">
        <f t="shared" si="36"/>
        <v>2000</v>
      </c>
      <c r="I764" s="505">
        <v>30</v>
      </c>
      <c r="J764" s="505">
        <f t="shared" si="37"/>
        <v>2030</v>
      </c>
      <c r="K764" s="503">
        <f t="shared" si="38"/>
        <v>33.833333333333336</v>
      </c>
      <c r="L764" s="505" t="s">
        <v>1533</v>
      </c>
    </row>
    <row r="765" spans="1:12" x14ac:dyDescent="0.25">
      <c r="A765" s="501" t="s">
        <v>1547</v>
      </c>
      <c r="B765" s="501" t="s">
        <v>1548</v>
      </c>
      <c r="C765" s="502" t="s">
        <v>1408</v>
      </c>
      <c r="D765" s="502">
        <v>150</v>
      </c>
      <c r="E765" s="502">
        <v>95</v>
      </c>
      <c r="F765" s="502">
        <v>205</v>
      </c>
      <c r="G765" s="502">
        <v>560</v>
      </c>
      <c r="H765" s="501">
        <f t="shared" si="36"/>
        <v>860</v>
      </c>
      <c r="I765" s="501">
        <v>30</v>
      </c>
      <c r="J765" s="501">
        <f t="shared" si="37"/>
        <v>890</v>
      </c>
      <c r="K765" s="503">
        <f t="shared" si="38"/>
        <v>14.833333333333334</v>
      </c>
      <c r="L765" s="501" t="s">
        <v>1531</v>
      </c>
    </row>
    <row r="766" spans="1:12" x14ac:dyDescent="0.25">
      <c r="A766" s="501" t="s">
        <v>1547</v>
      </c>
      <c r="B766" s="501" t="s">
        <v>1548</v>
      </c>
      <c r="C766" s="502" t="s">
        <v>1408</v>
      </c>
      <c r="D766" s="502">
        <v>300</v>
      </c>
      <c r="E766" s="502">
        <v>100</v>
      </c>
      <c r="F766" s="502">
        <v>255</v>
      </c>
      <c r="G766" s="502">
        <v>620</v>
      </c>
      <c r="H766" s="501">
        <f t="shared" si="36"/>
        <v>975</v>
      </c>
      <c r="I766" s="501">
        <v>30</v>
      </c>
      <c r="J766" s="501">
        <f t="shared" si="37"/>
        <v>1005</v>
      </c>
      <c r="K766" s="503">
        <f t="shared" si="38"/>
        <v>16.75</v>
      </c>
      <c r="L766" s="501" t="s">
        <v>1531</v>
      </c>
    </row>
    <row r="767" spans="1:12" x14ac:dyDescent="0.25">
      <c r="A767" s="501" t="s">
        <v>1547</v>
      </c>
      <c r="B767" s="501" t="s">
        <v>1548</v>
      </c>
      <c r="C767" s="502" t="s">
        <v>1408</v>
      </c>
      <c r="D767" s="502">
        <v>600</v>
      </c>
      <c r="E767" s="504">
        <v>110</v>
      </c>
      <c r="F767" s="504">
        <v>355</v>
      </c>
      <c r="G767" s="504">
        <v>740</v>
      </c>
      <c r="H767" s="505">
        <f t="shared" si="36"/>
        <v>1205</v>
      </c>
      <c r="I767" s="505">
        <v>30</v>
      </c>
      <c r="J767" s="505">
        <f t="shared" si="37"/>
        <v>1235</v>
      </c>
      <c r="K767" s="503">
        <f t="shared" si="38"/>
        <v>20.583333333333332</v>
      </c>
      <c r="L767" s="505" t="s">
        <v>1533</v>
      </c>
    </row>
    <row r="768" spans="1:12" x14ac:dyDescent="0.25">
      <c r="A768" s="501" t="s">
        <v>1547</v>
      </c>
      <c r="B768" s="501" t="s">
        <v>1548</v>
      </c>
      <c r="C768" s="502" t="s">
        <v>1408</v>
      </c>
      <c r="D768" s="502">
        <v>800</v>
      </c>
      <c r="E768" s="504">
        <v>117</v>
      </c>
      <c r="F768" s="504">
        <v>422</v>
      </c>
      <c r="G768" s="504">
        <v>820</v>
      </c>
      <c r="H768" s="505">
        <f t="shared" si="36"/>
        <v>1359</v>
      </c>
      <c r="I768" s="505">
        <v>30</v>
      </c>
      <c r="J768" s="505">
        <f t="shared" si="37"/>
        <v>1389</v>
      </c>
      <c r="K768" s="503">
        <f t="shared" si="38"/>
        <v>23.15</v>
      </c>
      <c r="L768" s="505" t="s">
        <v>1533</v>
      </c>
    </row>
    <row r="769" spans="1:12" x14ac:dyDescent="0.25">
      <c r="A769" s="501" t="s">
        <v>1547</v>
      </c>
      <c r="B769" s="501" t="s">
        <v>1548</v>
      </c>
      <c r="C769" s="502" t="s">
        <v>1408</v>
      </c>
      <c r="D769" s="502">
        <v>900</v>
      </c>
      <c r="E769" s="504">
        <v>120</v>
      </c>
      <c r="F769" s="504">
        <v>455</v>
      </c>
      <c r="G769" s="504">
        <v>860</v>
      </c>
      <c r="H769" s="505">
        <f t="shared" si="36"/>
        <v>1435</v>
      </c>
      <c r="I769" s="505">
        <v>30</v>
      </c>
      <c r="J769" s="505">
        <f t="shared" si="37"/>
        <v>1465</v>
      </c>
      <c r="K769" s="503">
        <f t="shared" si="38"/>
        <v>24.416666666666668</v>
      </c>
      <c r="L769" s="505" t="s">
        <v>1533</v>
      </c>
    </row>
    <row r="770" spans="1:12" x14ac:dyDescent="0.25">
      <c r="A770" s="501" t="s">
        <v>1547</v>
      </c>
      <c r="B770" s="501" t="s">
        <v>1548</v>
      </c>
      <c r="C770" s="502" t="s">
        <v>1408</v>
      </c>
      <c r="D770" s="502">
        <v>1500</v>
      </c>
      <c r="E770" s="504">
        <v>140</v>
      </c>
      <c r="F770" s="504">
        <v>655</v>
      </c>
      <c r="G770" s="504">
        <v>1100</v>
      </c>
      <c r="H770" s="505">
        <f t="shared" si="36"/>
        <v>1895</v>
      </c>
      <c r="I770" s="505">
        <v>30</v>
      </c>
      <c r="J770" s="505">
        <f t="shared" si="37"/>
        <v>1925</v>
      </c>
      <c r="K770" s="503">
        <f t="shared" si="38"/>
        <v>32.083333333333336</v>
      </c>
      <c r="L770" s="505" t="s">
        <v>1533</v>
      </c>
    </row>
    <row r="771" spans="1:12" x14ac:dyDescent="0.25">
      <c r="A771" s="501" t="s">
        <v>1547</v>
      </c>
      <c r="B771" s="501" t="s">
        <v>1548</v>
      </c>
      <c r="C771" s="502" t="s">
        <v>1409</v>
      </c>
      <c r="D771" s="502">
        <v>150</v>
      </c>
      <c r="E771" s="502">
        <v>110</v>
      </c>
      <c r="F771" s="502">
        <v>245</v>
      </c>
      <c r="G771" s="502">
        <v>650</v>
      </c>
      <c r="H771" s="501">
        <f t="shared" si="36"/>
        <v>1005</v>
      </c>
      <c r="I771" s="501">
        <v>30</v>
      </c>
      <c r="J771" s="501">
        <f t="shared" si="37"/>
        <v>1035</v>
      </c>
      <c r="K771" s="503">
        <f t="shared" si="38"/>
        <v>17.25</v>
      </c>
      <c r="L771" s="501" t="s">
        <v>1531</v>
      </c>
    </row>
    <row r="772" spans="1:12" x14ac:dyDescent="0.25">
      <c r="A772" s="501" t="s">
        <v>1547</v>
      </c>
      <c r="B772" s="501" t="s">
        <v>1548</v>
      </c>
      <c r="C772" s="502" t="s">
        <v>1409</v>
      </c>
      <c r="D772" s="502">
        <v>300</v>
      </c>
      <c r="E772" s="502">
        <v>110</v>
      </c>
      <c r="F772" s="502">
        <v>285</v>
      </c>
      <c r="G772" s="502">
        <v>650</v>
      </c>
      <c r="H772" s="501">
        <f t="shared" si="36"/>
        <v>1045</v>
      </c>
      <c r="I772" s="501">
        <v>30</v>
      </c>
      <c r="J772" s="501">
        <f t="shared" si="37"/>
        <v>1075</v>
      </c>
      <c r="K772" s="503">
        <f t="shared" si="38"/>
        <v>17.916666666666668</v>
      </c>
      <c r="L772" s="501" t="s">
        <v>1531</v>
      </c>
    </row>
    <row r="773" spans="1:12" x14ac:dyDescent="0.25">
      <c r="A773" s="501" t="s">
        <v>1547</v>
      </c>
      <c r="B773" s="501" t="s">
        <v>1548</v>
      </c>
      <c r="C773" s="502" t="s">
        <v>1409</v>
      </c>
      <c r="D773" s="502">
        <v>600</v>
      </c>
      <c r="E773" s="504">
        <v>110</v>
      </c>
      <c r="F773" s="504">
        <v>365</v>
      </c>
      <c r="G773" s="504">
        <v>650</v>
      </c>
      <c r="H773" s="505">
        <f t="shared" si="36"/>
        <v>1125</v>
      </c>
      <c r="I773" s="505">
        <v>30</v>
      </c>
      <c r="J773" s="505">
        <f t="shared" si="37"/>
        <v>1155</v>
      </c>
      <c r="K773" s="503">
        <f t="shared" si="38"/>
        <v>19.25</v>
      </c>
      <c r="L773" s="505" t="s">
        <v>1533</v>
      </c>
    </row>
    <row r="774" spans="1:12" x14ac:dyDescent="0.25">
      <c r="A774" s="501" t="s">
        <v>1547</v>
      </c>
      <c r="B774" s="501" t="s">
        <v>1548</v>
      </c>
      <c r="C774" s="502" t="s">
        <v>1409</v>
      </c>
      <c r="D774" s="502">
        <v>800</v>
      </c>
      <c r="E774" s="504">
        <v>110</v>
      </c>
      <c r="F774" s="504">
        <v>418</v>
      </c>
      <c r="G774" s="504">
        <v>650</v>
      </c>
      <c r="H774" s="505">
        <f t="shared" si="36"/>
        <v>1178</v>
      </c>
      <c r="I774" s="505">
        <v>30</v>
      </c>
      <c r="J774" s="505">
        <f t="shared" si="37"/>
        <v>1208</v>
      </c>
      <c r="K774" s="503">
        <f t="shared" si="38"/>
        <v>20.133333333333333</v>
      </c>
      <c r="L774" s="505" t="s">
        <v>1533</v>
      </c>
    </row>
    <row r="775" spans="1:12" x14ac:dyDescent="0.25">
      <c r="A775" s="501" t="s">
        <v>1547</v>
      </c>
      <c r="B775" s="501" t="s">
        <v>1548</v>
      </c>
      <c r="C775" s="502" t="s">
        <v>1409</v>
      </c>
      <c r="D775" s="502">
        <v>900</v>
      </c>
      <c r="E775" s="504">
        <v>110</v>
      </c>
      <c r="F775" s="504">
        <v>445</v>
      </c>
      <c r="G775" s="504">
        <v>650</v>
      </c>
      <c r="H775" s="505">
        <f t="shared" si="36"/>
        <v>1205</v>
      </c>
      <c r="I775" s="505">
        <v>30</v>
      </c>
      <c r="J775" s="505">
        <f t="shared" si="37"/>
        <v>1235</v>
      </c>
      <c r="K775" s="503">
        <f t="shared" si="38"/>
        <v>20.583333333333332</v>
      </c>
      <c r="L775" s="505" t="s">
        <v>1533</v>
      </c>
    </row>
    <row r="776" spans="1:12" x14ac:dyDescent="0.25">
      <c r="A776" s="501" t="s">
        <v>1547</v>
      </c>
      <c r="B776" s="501" t="s">
        <v>1548</v>
      </c>
      <c r="C776" s="502" t="s">
        <v>1409</v>
      </c>
      <c r="D776" s="502">
        <v>1500</v>
      </c>
      <c r="E776" s="504">
        <v>110</v>
      </c>
      <c r="F776" s="504">
        <v>605</v>
      </c>
      <c r="G776" s="504">
        <v>650</v>
      </c>
      <c r="H776" s="505">
        <f t="shared" si="36"/>
        <v>1365</v>
      </c>
      <c r="I776" s="505">
        <v>30</v>
      </c>
      <c r="J776" s="505">
        <f t="shared" si="37"/>
        <v>1395</v>
      </c>
      <c r="K776" s="503">
        <f t="shared" si="38"/>
        <v>23.25</v>
      </c>
      <c r="L776" s="505" t="s">
        <v>1533</v>
      </c>
    </row>
    <row r="777" spans="1:12" x14ac:dyDescent="0.25">
      <c r="A777" s="501" t="s">
        <v>1547</v>
      </c>
      <c r="B777" s="501" t="s">
        <v>1549</v>
      </c>
      <c r="C777" s="502" t="s">
        <v>1403</v>
      </c>
      <c r="D777" s="502">
        <v>150</v>
      </c>
      <c r="E777" s="502">
        <v>7</v>
      </c>
      <c r="F777" s="502">
        <v>10</v>
      </c>
      <c r="G777" s="502">
        <v>35</v>
      </c>
      <c r="H777" s="501">
        <f t="shared" si="36"/>
        <v>52</v>
      </c>
      <c r="I777" s="501">
        <v>15</v>
      </c>
      <c r="J777" s="501">
        <f t="shared" si="37"/>
        <v>67</v>
      </c>
      <c r="K777" s="503">
        <f t="shared" si="38"/>
        <v>1.1166666666666667</v>
      </c>
      <c r="L777" s="501" t="s">
        <v>1531</v>
      </c>
    </row>
    <row r="778" spans="1:12" x14ac:dyDescent="0.25">
      <c r="A778" s="501" t="s">
        <v>1547</v>
      </c>
      <c r="B778" s="501" t="s">
        <v>1549</v>
      </c>
      <c r="C778" s="502" t="s">
        <v>1403</v>
      </c>
      <c r="D778" s="502">
        <v>300</v>
      </c>
      <c r="E778" s="502">
        <v>7</v>
      </c>
      <c r="F778" s="502">
        <v>10</v>
      </c>
      <c r="G778" s="502">
        <v>35</v>
      </c>
      <c r="H778" s="501">
        <f t="shared" si="36"/>
        <v>52</v>
      </c>
      <c r="I778" s="501">
        <v>15</v>
      </c>
      <c r="J778" s="501">
        <f t="shared" si="37"/>
        <v>67</v>
      </c>
      <c r="K778" s="503">
        <f t="shared" si="38"/>
        <v>1.1166666666666667</v>
      </c>
      <c r="L778" s="501" t="s">
        <v>1531</v>
      </c>
    </row>
    <row r="779" spans="1:12" x14ac:dyDescent="0.25">
      <c r="A779" s="501" t="s">
        <v>1547</v>
      </c>
      <c r="B779" s="501" t="s">
        <v>1549</v>
      </c>
      <c r="C779" s="502" t="s">
        <v>1403</v>
      </c>
      <c r="D779" s="502">
        <v>600</v>
      </c>
      <c r="E779" s="504">
        <v>7</v>
      </c>
      <c r="F779" s="504">
        <v>10</v>
      </c>
      <c r="G779" s="504">
        <v>35</v>
      </c>
      <c r="H779" s="505">
        <f t="shared" si="36"/>
        <v>52</v>
      </c>
      <c r="I779" s="505">
        <v>15</v>
      </c>
      <c r="J779" s="505">
        <f t="shared" si="37"/>
        <v>67</v>
      </c>
      <c r="K779" s="503">
        <f t="shared" si="38"/>
        <v>1.1166666666666667</v>
      </c>
      <c r="L779" s="505" t="s">
        <v>1533</v>
      </c>
    </row>
    <row r="780" spans="1:12" x14ac:dyDescent="0.25">
      <c r="A780" s="501" t="s">
        <v>1547</v>
      </c>
      <c r="B780" s="501" t="s">
        <v>1549</v>
      </c>
      <c r="C780" s="502" t="s">
        <v>1403</v>
      </c>
      <c r="D780" s="502">
        <v>800</v>
      </c>
      <c r="E780" s="504">
        <v>7</v>
      </c>
      <c r="F780" s="504">
        <v>10</v>
      </c>
      <c r="G780" s="504">
        <v>35</v>
      </c>
      <c r="H780" s="505">
        <f t="shared" si="36"/>
        <v>52</v>
      </c>
      <c r="I780" s="505">
        <v>15</v>
      </c>
      <c r="J780" s="505">
        <f t="shared" si="37"/>
        <v>67</v>
      </c>
      <c r="K780" s="503">
        <f t="shared" si="38"/>
        <v>1.1166666666666667</v>
      </c>
      <c r="L780" s="505" t="s">
        <v>1533</v>
      </c>
    </row>
    <row r="781" spans="1:12" x14ac:dyDescent="0.25">
      <c r="A781" s="501" t="s">
        <v>1547</v>
      </c>
      <c r="B781" s="501" t="s">
        <v>1549</v>
      </c>
      <c r="C781" s="502" t="s">
        <v>1403</v>
      </c>
      <c r="D781" s="502">
        <v>900</v>
      </c>
      <c r="E781" s="504">
        <v>7</v>
      </c>
      <c r="F781" s="504">
        <v>10</v>
      </c>
      <c r="G781" s="504">
        <v>35</v>
      </c>
      <c r="H781" s="505">
        <f t="shared" si="36"/>
        <v>52</v>
      </c>
      <c r="I781" s="505">
        <v>15</v>
      </c>
      <c r="J781" s="505">
        <f t="shared" si="37"/>
        <v>67</v>
      </c>
      <c r="K781" s="503">
        <f t="shared" si="38"/>
        <v>1.1166666666666667</v>
      </c>
      <c r="L781" s="505" t="s">
        <v>1533</v>
      </c>
    </row>
    <row r="782" spans="1:12" x14ac:dyDescent="0.25">
      <c r="A782" s="501" t="s">
        <v>1547</v>
      </c>
      <c r="B782" s="501" t="s">
        <v>1549</v>
      </c>
      <c r="C782" s="502" t="s">
        <v>1403</v>
      </c>
      <c r="D782" s="502">
        <v>1500</v>
      </c>
      <c r="E782" s="504">
        <v>7</v>
      </c>
      <c r="F782" s="504">
        <v>10</v>
      </c>
      <c r="G782" s="504">
        <v>35</v>
      </c>
      <c r="H782" s="505">
        <f t="shared" si="36"/>
        <v>52</v>
      </c>
      <c r="I782" s="505">
        <v>15</v>
      </c>
      <c r="J782" s="505">
        <f t="shared" si="37"/>
        <v>67</v>
      </c>
      <c r="K782" s="503">
        <f t="shared" si="38"/>
        <v>1.1166666666666667</v>
      </c>
      <c r="L782" s="505" t="s">
        <v>1533</v>
      </c>
    </row>
    <row r="783" spans="1:12" x14ac:dyDescent="0.25">
      <c r="A783" s="501" t="s">
        <v>1547</v>
      </c>
      <c r="B783" s="501" t="s">
        <v>1549</v>
      </c>
      <c r="C783" s="502" t="s">
        <v>1404</v>
      </c>
      <c r="D783" s="502">
        <v>150</v>
      </c>
      <c r="E783" s="502">
        <v>8</v>
      </c>
      <c r="F783" s="502">
        <v>10</v>
      </c>
      <c r="G783" s="502">
        <v>35</v>
      </c>
      <c r="H783" s="501">
        <f t="shared" ref="H783:H846" si="39">E783+F783+G783</f>
        <v>53</v>
      </c>
      <c r="I783" s="501">
        <v>15</v>
      </c>
      <c r="J783" s="501">
        <f t="shared" ref="J783:J846" si="40">H783+I783</f>
        <v>68</v>
      </c>
      <c r="K783" s="503">
        <f t="shared" ref="K783:K846" si="41">J783/60</f>
        <v>1.1333333333333333</v>
      </c>
      <c r="L783" s="501" t="s">
        <v>1531</v>
      </c>
    </row>
    <row r="784" spans="1:12" x14ac:dyDescent="0.25">
      <c r="A784" s="501" t="s">
        <v>1547</v>
      </c>
      <c r="B784" s="501" t="s">
        <v>1549</v>
      </c>
      <c r="C784" s="502" t="s">
        <v>1404</v>
      </c>
      <c r="D784" s="502">
        <v>300</v>
      </c>
      <c r="E784" s="502">
        <v>8</v>
      </c>
      <c r="F784" s="502">
        <v>10</v>
      </c>
      <c r="G784" s="502">
        <v>35</v>
      </c>
      <c r="H784" s="501">
        <f t="shared" si="39"/>
        <v>53</v>
      </c>
      <c r="I784" s="501">
        <v>15</v>
      </c>
      <c r="J784" s="501">
        <f t="shared" si="40"/>
        <v>68</v>
      </c>
      <c r="K784" s="503">
        <f t="shared" si="41"/>
        <v>1.1333333333333333</v>
      </c>
      <c r="L784" s="501" t="s">
        <v>1531</v>
      </c>
    </row>
    <row r="785" spans="1:12" x14ac:dyDescent="0.25">
      <c r="A785" s="501" t="s">
        <v>1547</v>
      </c>
      <c r="B785" s="501" t="s">
        <v>1549</v>
      </c>
      <c r="C785" s="502" t="s">
        <v>1404</v>
      </c>
      <c r="D785" s="502">
        <v>600</v>
      </c>
      <c r="E785" s="504">
        <v>8</v>
      </c>
      <c r="F785" s="504">
        <v>10</v>
      </c>
      <c r="G785" s="504">
        <v>35</v>
      </c>
      <c r="H785" s="505">
        <f t="shared" si="39"/>
        <v>53</v>
      </c>
      <c r="I785" s="505">
        <v>15</v>
      </c>
      <c r="J785" s="505">
        <f t="shared" si="40"/>
        <v>68</v>
      </c>
      <c r="K785" s="503">
        <f t="shared" si="41"/>
        <v>1.1333333333333333</v>
      </c>
      <c r="L785" s="505" t="s">
        <v>1533</v>
      </c>
    </row>
    <row r="786" spans="1:12" x14ac:dyDescent="0.25">
      <c r="A786" s="501" t="s">
        <v>1547</v>
      </c>
      <c r="B786" s="501" t="s">
        <v>1549</v>
      </c>
      <c r="C786" s="502" t="s">
        <v>1404</v>
      </c>
      <c r="D786" s="502">
        <v>800</v>
      </c>
      <c r="E786" s="504">
        <v>8</v>
      </c>
      <c r="F786" s="504">
        <v>10</v>
      </c>
      <c r="G786" s="504">
        <v>35</v>
      </c>
      <c r="H786" s="505">
        <f t="shared" si="39"/>
        <v>53</v>
      </c>
      <c r="I786" s="505">
        <v>15</v>
      </c>
      <c r="J786" s="505">
        <f t="shared" si="40"/>
        <v>68</v>
      </c>
      <c r="K786" s="503">
        <f t="shared" si="41"/>
        <v>1.1333333333333333</v>
      </c>
      <c r="L786" s="505" t="s">
        <v>1533</v>
      </c>
    </row>
    <row r="787" spans="1:12" x14ac:dyDescent="0.25">
      <c r="A787" s="501" t="s">
        <v>1547</v>
      </c>
      <c r="B787" s="501" t="s">
        <v>1549</v>
      </c>
      <c r="C787" s="502" t="s">
        <v>1404</v>
      </c>
      <c r="D787" s="502">
        <v>900</v>
      </c>
      <c r="E787" s="504">
        <v>8</v>
      </c>
      <c r="F787" s="504">
        <v>10</v>
      </c>
      <c r="G787" s="504">
        <v>35</v>
      </c>
      <c r="H787" s="505">
        <f t="shared" si="39"/>
        <v>53</v>
      </c>
      <c r="I787" s="505">
        <v>15</v>
      </c>
      <c r="J787" s="505">
        <f t="shared" si="40"/>
        <v>68</v>
      </c>
      <c r="K787" s="503">
        <f t="shared" si="41"/>
        <v>1.1333333333333333</v>
      </c>
      <c r="L787" s="505" t="s">
        <v>1533</v>
      </c>
    </row>
    <row r="788" spans="1:12" x14ac:dyDescent="0.25">
      <c r="A788" s="501" t="s">
        <v>1547</v>
      </c>
      <c r="B788" s="501" t="s">
        <v>1549</v>
      </c>
      <c r="C788" s="502" t="s">
        <v>1404</v>
      </c>
      <c r="D788" s="502">
        <v>1500</v>
      </c>
      <c r="E788" s="504">
        <v>8</v>
      </c>
      <c r="F788" s="504">
        <v>10</v>
      </c>
      <c r="G788" s="504">
        <v>35</v>
      </c>
      <c r="H788" s="505">
        <f t="shared" si="39"/>
        <v>53</v>
      </c>
      <c r="I788" s="505">
        <v>15</v>
      </c>
      <c r="J788" s="505">
        <f t="shared" si="40"/>
        <v>68</v>
      </c>
      <c r="K788" s="503">
        <f t="shared" si="41"/>
        <v>1.1333333333333333</v>
      </c>
      <c r="L788" s="505" t="s">
        <v>1533</v>
      </c>
    </row>
    <row r="789" spans="1:12" x14ac:dyDescent="0.25">
      <c r="A789" s="501" t="s">
        <v>1547</v>
      </c>
      <c r="B789" s="501" t="s">
        <v>1549</v>
      </c>
      <c r="C789" s="502" t="s">
        <v>86</v>
      </c>
      <c r="D789" s="502">
        <v>150</v>
      </c>
      <c r="E789" s="502">
        <v>8</v>
      </c>
      <c r="F789" s="502">
        <v>15</v>
      </c>
      <c r="G789" s="502">
        <v>50</v>
      </c>
      <c r="H789" s="501">
        <f t="shared" si="39"/>
        <v>73</v>
      </c>
      <c r="I789" s="501">
        <v>15</v>
      </c>
      <c r="J789" s="501">
        <f t="shared" si="40"/>
        <v>88</v>
      </c>
      <c r="K789" s="503">
        <f t="shared" si="41"/>
        <v>1.4666666666666666</v>
      </c>
      <c r="L789" s="501" t="s">
        <v>1531</v>
      </c>
    </row>
    <row r="790" spans="1:12" x14ac:dyDescent="0.25">
      <c r="A790" s="501" t="s">
        <v>1547</v>
      </c>
      <c r="B790" s="501" t="s">
        <v>1549</v>
      </c>
      <c r="C790" s="502" t="s">
        <v>86</v>
      </c>
      <c r="D790" s="502">
        <v>300</v>
      </c>
      <c r="E790" s="502">
        <v>13</v>
      </c>
      <c r="F790" s="502">
        <v>15</v>
      </c>
      <c r="G790" s="502">
        <v>50</v>
      </c>
      <c r="H790" s="501">
        <f t="shared" si="39"/>
        <v>78</v>
      </c>
      <c r="I790" s="501">
        <v>15</v>
      </c>
      <c r="J790" s="501">
        <f t="shared" si="40"/>
        <v>93</v>
      </c>
      <c r="K790" s="503">
        <f t="shared" si="41"/>
        <v>1.55</v>
      </c>
      <c r="L790" s="501" t="s">
        <v>1531</v>
      </c>
    </row>
    <row r="791" spans="1:12" x14ac:dyDescent="0.25">
      <c r="A791" s="501" t="s">
        <v>1547</v>
      </c>
      <c r="B791" s="501" t="s">
        <v>1549</v>
      </c>
      <c r="C791" s="502" t="s">
        <v>86</v>
      </c>
      <c r="D791" s="502">
        <v>600</v>
      </c>
      <c r="E791" s="504">
        <v>23</v>
      </c>
      <c r="F791" s="504">
        <v>15</v>
      </c>
      <c r="G791" s="504">
        <v>50</v>
      </c>
      <c r="H791" s="505">
        <f t="shared" si="39"/>
        <v>88</v>
      </c>
      <c r="I791" s="505">
        <v>15</v>
      </c>
      <c r="J791" s="505">
        <f t="shared" si="40"/>
        <v>103</v>
      </c>
      <c r="K791" s="503">
        <f t="shared" si="41"/>
        <v>1.7166666666666666</v>
      </c>
      <c r="L791" s="505" t="s">
        <v>1533</v>
      </c>
    </row>
    <row r="792" spans="1:12" x14ac:dyDescent="0.25">
      <c r="A792" s="501" t="s">
        <v>1547</v>
      </c>
      <c r="B792" s="501" t="s">
        <v>1549</v>
      </c>
      <c r="C792" s="502" t="s">
        <v>86</v>
      </c>
      <c r="D792" s="502">
        <v>800</v>
      </c>
      <c r="E792" s="504">
        <v>30</v>
      </c>
      <c r="F792" s="504">
        <v>15</v>
      </c>
      <c r="G792" s="504">
        <v>50</v>
      </c>
      <c r="H792" s="505">
        <f t="shared" si="39"/>
        <v>95</v>
      </c>
      <c r="I792" s="505">
        <v>15</v>
      </c>
      <c r="J792" s="505">
        <f t="shared" si="40"/>
        <v>110</v>
      </c>
      <c r="K792" s="503">
        <f t="shared" si="41"/>
        <v>1.8333333333333333</v>
      </c>
      <c r="L792" s="505" t="s">
        <v>1533</v>
      </c>
    </row>
    <row r="793" spans="1:12" x14ac:dyDescent="0.25">
      <c r="A793" s="501" t="s">
        <v>1547</v>
      </c>
      <c r="B793" s="501" t="s">
        <v>1549</v>
      </c>
      <c r="C793" s="502" t="s">
        <v>86</v>
      </c>
      <c r="D793" s="502">
        <v>900</v>
      </c>
      <c r="E793" s="504">
        <v>33</v>
      </c>
      <c r="F793" s="504">
        <v>15</v>
      </c>
      <c r="G793" s="504">
        <v>50</v>
      </c>
      <c r="H793" s="505">
        <f t="shared" si="39"/>
        <v>98</v>
      </c>
      <c r="I793" s="505">
        <v>15</v>
      </c>
      <c r="J793" s="505">
        <f t="shared" si="40"/>
        <v>113</v>
      </c>
      <c r="K793" s="503">
        <f t="shared" si="41"/>
        <v>1.8833333333333333</v>
      </c>
      <c r="L793" s="505" t="s">
        <v>1533</v>
      </c>
    </row>
    <row r="794" spans="1:12" x14ac:dyDescent="0.25">
      <c r="A794" s="501" t="s">
        <v>1547</v>
      </c>
      <c r="B794" s="501" t="s">
        <v>1549</v>
      </c>
      <c r="C794" s="502" t="s">
        <v>86</v>
      </c>
      <c r="D794" s="502">
        <v>1500</v>
      </c>
      <c r="E794" s="504">
        <v>53</v>
      </c>
      <c r="F794" s="504">
        <v>15</v>
      </c>
      <c r="G794" s="504">
        <v>50</v>
      </c>
      <c r="H794" s="505">
        <f t="shared" si="39"/>
        <v>118</v>
      </c>
      <c r="I794" s="505">
        <v>15</v>
      </c>
      <c r="J794" s="505">
        <f t="shared" si="40"/>
        <v>133</v>
      </c>
      <c r="K794" s="503">
        <f t="shared" si="41"/>
        <v>2.2166666666666668</v>
      </c>
      <c r="L794" s="505" t="s">
        <v>1533</v>
      </c>
    </row>
    <row r="795" spans="1:12" x14ac:dyDescent="0.25">
      <c r="A795" s="501" t="s">
        <v>1547</v>
      </c>
      <c r="B795" s="501" t="s">
        <v>1549</v>
      </c>
      <c r="C795" s="502" t="s">
        <v>85</v>
      </c>
      <c r="D795" s="502">
        <v>150</v>
      </c>
      <c r="E795" s="502">
        <v>10</v>
      </c>
      <c r="F795" s="502">
        <v>15</v>
      </c>
      <c r="G795" s="502">
        <v>50</v>
      </c>
      <c r="H795" s="501">
        <f t="shared" si="39"/>
        <v>75</v>
      </c>
      <c r="I795" s="501">
        <v>20</v>
      </c>
      <c r="J795" s="501">
        <f t="shared" si="40"/>
        <v>95</v>
      </c>
      <c r="K795" s="503">
        <f t="shared" si="41"/>
        <v>1.5833333333333333</v>
      </c>
      <c r="L795" s="501" t="s">
        <v>1531</v>
      </c>
    </row>
    <row r="796" spans="1:12" x14ac:dyDescent="0.25">
      <c r="A796" s="501" t="s">
        <v>1547</v>
      </c>
      <c r="B796" s="501" t="s">
        <v>1549</v>
      </c>
      <c r="C796" s="502" t="s">
        <v>85</v>
      </c>
      <c r="D796" s="502">
        <v>300</v>
      </c>
      <c r="E796" s="502">
        <v>15</v>
      </c>
      <c r="F796" s="502">
        <v>15</v>
      </c>
      <c r="G796" s="502">
        <v>50</v>
      </c>
      <c r="H796" s="501">
        <f t="shared" si="39"/>
        <v>80</v>
      </c>
      <c r="I796" s="501">
        <v>20</v>
      </c>
      <c r="J796" s="501">
        <f t="shared" si="40"/>
        <v>100</v>
      </c>
      <c r="K796" s="503">
        <f t="shared" si="41"/>
        <v>1.6666666666666667</v>
      </c>
      <c r="L796" s="501" t="s">
        <v>1531</v>
      </c>
    </row>
    <row r="797" spans="1:12" x14ac:dyDescent="0.25">
      <c r="A797" s="501" t="s">
        <v>1547</v>
      </c>
      <c r="B797" s="501" t="s">
        <v>1549</v>
      </c>
      <c r="C797" s="502" t="s">
        <v>85</v>
      </c>
      <c r="D797" s="502">
        <v>600</v>
      </c>
      <c r="E797" s="504">
        <v>25</v>
      </c>
      <c r="F797" s="504">
        <v>15</v>
      </c>
      <c r="G797" s="504">
        <v>50</v>
      </c>
      <c r="H797" s="505">
        <f t="shared" si="39"/>
        <v>90</v>
      </c>
      <c r="I797" s="505">
        <v>20</v>
      </c>
      <c r="J797" s="505">
        <f t="shared" si="40"/>
        <v>110</v>
      </c>
      <c r="K797" s="503">
        <f t="shared" si="41"/>
        <v>1.8333333333333333</v>
      </c>
      <c r="L797" s="505" t="s">
        <v>1533</v>
      </c>
    </row>
    <row r="798" spans="1:12" x14ac:dyDescent="0.25">
      <c r="A798" s="501" t="s">
        <v>1547</v>
      </c>
      <c r="B798" s="501" t="s">
        <v>1549</v>
      </c>
      <c r="C798" s="502" t="s">
        <v>85</v>
      </c>
      <c r="D798" s="502">
        <v>800</v>
      </c>
      <c r="E798" s="504">
        <v>32</v>
      </c>
      <c r="F798" s="504">
        <v>15</v>
      </c>
      <c r="G798" s="504">
        <v>50</v>
      </c>
      <c r="H798" s="505">
        <f t="shared" si="39"/>
        <v>97</v>
      </c>
      <c r="I798" s="505">
        <v>20</v>
      </c>
      <c r="J798" s="505">
        <f t="shared" si="40"/>
        <v>117</v>
      </c>
      <c r="K798" s="503">
        <f t="shared" si="41"/>
        <v>1.95</v>
      </c>
      <c r="L798" s="505" t="s">
        <v>1533</v>
      </c>
    </row>
    <row r="799" spans="1:12" x14ac:dyDescent="0.25">
      <c r="A799" s="501" t="s">
        <v>1547</v>
      </c>
      <c r="B799" s="501" t="s">
        <v>1549</v>
      </c>
      <c r="C799" s="502" t="s">
        <v>85</v>
      </c>
      <c r="D799" s="502">
        <v>900</v>
      </c>
      <c r="E799" s="504">
        <v>35</v>
      </c>
      <c r="F799" s="504">
        <v>15</v>
      </c>
      <c r="G799" s="504">
        <v>50</v>
      </c>
      <c r="H799" s="505">
        <f t="shared" si="39"/>
        <v>100</v>
      </c>
      <c r="I799" s="505">
        <v>20</v>
      </c>
      <c r="J799" s="505">
        <f t="shared" si="40"/>
        <v>120</v>
      </c>
      <c r="K799" s="503">
        <f t="shared" si="41"/>
        <v>2</v>
      </c>
      <c r="L799" s="505" t="s">
        <v>1533</v>
      </c>
    </row>
    <row r="800" spans="1:12" x14ac:dyDescent="0.25">
      <c r="A800" s="501" t="s">
        <v>1547</v>
      </c>
      <c r="B800" s="501" t="s">
        <v>1549</v>
      </c>
      <c r="C800" s="502" t="s">
        <v>85</v>
      </c>
      <c r="D800" s="502">
        <v>1500</v>
      </c>
      <c r="E800" s="504">
        <v>55</v>
      </c>
      <c r="F800" s="504">
        <v>15</v>
      </c>
      <c r="G800" s="504">
        <v>50</v>
      </c>
      <c r="H800" s="505">
        <f t="shared" si="39"/>
        <v>120</v>
      </c>
      <c r="I800" s="505">
        <v>20</v>
      </c>
      <c r="J800" s="505">
        <f t="shared" si="40"/>
        <v>140</v>
      </c>
      <c r="K800" s="503">
        <f t="shared" si="41"/>
        <v>2.3333333333333335</v>
      </c>
      <c r="L800" s="505" t="s">
        <v>1533</v>
      </c>
    </row>
    <row r="801" spans="1:12" x14ac:dyDescent="0.25">
      <c r="A801" s="501" t="s">
        <v>1547</v>
      </c>
      <c r="B801" s="501" t="s">
        <v>1549</v>
      </c>
      <c r="C801" s="502" t="s">
        <v>84</v>
      </c>
      <c r="D801" s="502">
        <v>150</v>
      </c>
      <c r="E801" s="502">
        <v>12</v>
      </c>
      <c r="F801" s="502">
        <v>15</v>
      </c>
      <c r="G801" s="502">
        <v>50</v>
      </c>
      <c r="H801" s="501">
        <f t="shared" si="39"/>
        <v>77</v>
      </c>
      <c r="I801" s="501">
        <v>20</v>
      </c>
      <c r="J801" s="501">
        <f t="shared" si="40"/>
        <v>97</v>
      </c>
      <c r="K801" s="503">
        <f t="shared" si="41"/>
        <v>1.6166666666666667</v>
      </c>
      <c r="L801" s="501" t="s">
        <v>1531</v>
      </c>
    </row>
    <row r="802" spans="1:12" x14ac:dyDescent="0.25">
      <c r="A802" s="501" t="s">
        <v>1547</v>
      </c>
      <c r="B802" s="501" t="s">
        <v>1549</v>
      </c>
      <c r="C802" s="502" t="s">
        <v>84</v>
      </c>
      <c r="D802" s="502">
        <v>300</v>
      </c>
      <c r="E802" s="502">
        <v>17</v>
      </c>
      <c r="F802" s="502">
        <v>25</v>
      </c>
      <c r="G802" s="502">
        <v>70</v>
      </c>
      <c r="H802" s="501">
        <f t="shared" si="39"/>
        <v>112</v>
      </c>
      <c r="I802" s="501">
        <v>20</v>
      </c>
      <c r="J802" s="501">
        <f t="shared" si="40"/>
        <v>132</v>
      </c>
      <c r="K802" s="503">
        <f t="shared" si="41"/>
        <v>2.2000000000000002</v>
      </c>
      <c r="L802" s="501" t="s">
        <v>1531</v>
      </c>
    </row>
    <row r="803" spans="1:12" x14ac:dyDescent="0.25">
      <c r="A803" s="501" t="s">
        <v>1547</v>
      </c>
      <c r="B803" s="501" t="s">
        <v>1549</v>
      </c>
      <c r="C803" s="502" t="s">
        <v>84</v>
      </c>
      <c r="D803" s="502">
        <v>600</v>
      </c>
      <c r="E803" s="504">
        <v>27</v>
      </c>
      <c r="F803" s="504">
        <v>45</v>
      </c>
      <c r="G803" s="504">
        <v>110</v>
      </c>
      <c r="H803" s="505">
        <f t="shared" si="39"/>
        <v>182</v>
      </c>
      <c r="I803" s="505">
        <v>20</v>
      </c>
      <c r="J803" s="505">
        <f t="shared" si="40"/>
        <v>202</v>
      </c>
      <c r="K803" s="503">
        <f t="shared" si="41"/>
        <v>3.3666666666666667</v>
      </c>
      <c r="L803" s="505" t="s">
        <v>1533</v>
      </c>
    </row>
    <row r="804" spans="1:12" x14ac:dyDescent="0.25">
      <c r="A804" s="501" t="s">
        <v>1547</v>
      </c>
      <c r="B804" s="501" t="s">
        <v>1549</v>
      </c>
      <c r="C804" s="502" t="s">
        <v>84</v>
      </c>
      <c r="D804" s="502">
        <v>800</v>
      </c>
      <c r="E804" s="504">
        <v>34</v>
      </c>
      <c r="F804" s="504">
        <v>58</v>
      </c>
      <c r="G804" s="504">
        <v>137</v>
      </c>
      <c r="H804" s="505">
        <f t="shared" si="39"/>
        <v>229</v>
      </c>
      <c r="I804" s="505">
        <v>20</v>
      </c>
      <c r="J804" s="505">
        <f t="shared" si="40"/>
        <v>249</v>
      </c>
      <c r="K804" s="503">
        <f t="shared" si="41"/>
        <v>4.1500000000000004</v>
      </c>
      <c r="L804" s="505" t="s">
        <v>1533</v>
      </c>
    </row>
    <row r="805" spans="1:12" x14ac:dyDescent="0.25">
      <c r="A805" s="501" t="s">
        <v>1547</v>
      </c>
      <c r="B805" s="501" t="s">
        <v>1549</v>
      </c>
      <c r="C805" s="502" t="s">
        <v>84</v>
      </c>
      <c r="D805" s="502">
        <v>900</v>
      </c>
      <c r="E805" s="504">
        <v>37</v>
      </c>
      <c r="F805" s="504">
        <v>65</v>
      </c>
      <c r="G805" s="504">
        <v>150</v>
      </c>
      <c r="H805" s="505">
        <f t="shared" si="39"/>
        <v>252</v>
      </c>
      <c r="I805" s="505">
        <v>20</v>
      </c>
      <c r="J805" s="505">
        <f t="shared" si="40"/>
        <v>272</v>
      </c>
      <c r="K805" s="503">
        <f t="shared" si="41"/>
        <v>4.5333333333333332</v>
      </c>
      <c r="L805" s="505" t="s">
        <v>1533</v>
      </c>
    </row>
    <row r="806" spans="1:12" x14ac:dyDescent="0.25">
      <c r="A806" s="501" t="s">
        <v>1547</v>
      </c>
      <c r="B806" s="501" t="s">
        <v>1549</v>
      </c>
      <c r="C806" s="502" t="s">
        <v>84</v>
      </c>
      <c r="D806" s="502">
        <v>1500</v>
      </c>
      <c r="E806" s="504">
        <v>57</v>
      </c>
      <c r="F806" s="504">
        <v>105</v>
      </c>
      <c r="G806" s="504">
        <v>230</v>
      </c>
      <c r="H806" s="505">
        <f t="shared" si="39"/>
        <v>392</v>
      </c>
      <c r="I806" s="505">
        <v>20</v>
      </c>
      <c r="J806" s="505">
        <f t="shared" si="40"/>
        <v>412</v>
      </c>
      <c r="K806" s="503">
        <f t="shared" si="41"/>
        <v>6.8666666666666663</v>
      </c>
      <c r="L806" s="505" t="s">
        <v>1533</v>
      </c>
    </row>
    <row r="807" spans="1:12" x14ac:dyDescent="0.25">
      <c r="A807" s="501" t="s">
        <v>1547</v>
      </c>
      <c r="B807" s="501" t="s">
        <v>1549</v>
      </c>
      <c r="C807" s="502" t="s">
        <v>82</v>
      </c>
      <c r="D807" s="502">
        <v>150</v>
      </c>
      <c r="E807" s="502">
        <v>15</v>
      </c>
      <c r="F807" s="502">
        <v>25</v>
      </c>
      <c r="G807" s="502">
        <v>80</v>
      </c>
      <c r="H807" s="501">
        <f t="shared" si="39"/>
        <v>120</v>
      </c>
      <c r="I807" s="501">
        <v>20</v>
      </c>
      <c r="J807" s="501">
        <f t="shared" si="40"/>
        <v>140</v>
      </c>
      <c r="K807" s="503">
        <f t="shared" si="41"/>
        <v>2.3333333333333335</v>
      </c>
      <c r="L807" s="501" t="s">
        <v>1531</v>
      </c>
    </row>
    <row r="808" spans="1:12" x14ac:dyDescent="0.25">
      <c r="A808" s="501" t="s">
        <v>1547</v>
      </c>
      <c r="B808" s="501" t="s">
        <v>1549</v>
      </c>
      <c r="C808" s="502" t="s">
        <v>82</v>
      </c>
      <c r="D808" s="502">
        <v>300</v>
      </c>
      <c r="E808" s="502">
        <v>20</v>
      </c>
      <c r="F808" s="502">
        <v>30</v>
      </c>
      <c r="G808" s="502">
        <v>90</v>
      </c>
      <c r="H808" s="501">
        <f t="shared" si="39"/>
        <v>140</v>
      </c>
      <c r="I808" s="501">
        <v>20</v>
      </c>
      <c r="J808" s="501">
        <f t="shared" si="40"/>
        <v>160</v>
      </c>
      <c r="K808" s="503">
        <f t="shared" si="41"/>
        <v>2.6666666666666665</v>
      </c>
      <c r="L808" s="501" t="s">
        <v>1531</v>
      </c>
    </row>
    <row r="809" spans="1:12" x14ac:dyDescent="0.25">
      <c r="A809" s="501" t="s">
        <v>1547</v>
      </c>
      <c r="B809" s="501" t="s">
        <v>1549</v>
      </c>
      <c r="C809" s="502" t="s">
        <v>82</v>
      </c>
      <c r="D809" s="502">
        <v>600</v>
      </c>
      <c r="E809" s="504">
        <v>30</v>
      </c>
      <c r="F809" s="504">
        <v>40</v>
      </c>
      <c r="G809" s="504">
        <v>110</v>
      </c>
      <c r="H809" s="505">
        <f t="shared" si="39"/>
        <v>180</v>
      </c>
      <c r="I809" s="505">
        <v>20</v>
      </c>
      <c r="J809" s="505">
        <f t="shared" si="40"/>
        <v>200</v>
      </c>
      <c r="K809" s="503">
        <f t="shared" si="41"/>
        <v>3.3333333333333335</v>
      </c>
      <c r="L809" s="505" t="s">
        <v>1533</v>
      </c>
    </row>
    <row r="810" spans="1:12" x14ac:dyDescent="0.25">
      <c r="A810" s="501" t="s">
        <v>1547</v>
      </c>
      <c r="B810" s="501" t="s">
        <v>1549</v>
      </c>
      <c r="C810" s="502" t="s">
        <v>82</v>
      </c>
      <c r="D810" s="502">
        <v>800</v>
      </c>
      <c r="E810" s="504">
        <v>37</v>
      </c>
      <c r="F810" s="504">
        <v>47</v>
      </c>
      <c r="G810" s="504">
        <v>123</v>
      </c>
      <c r="H810" s="505">
        <f t="shared" si="39"/>
        <v>207</v>
      </c>
      <c r="I810" s="505">
        <v>20</v>
      </c>
      <c r="J810" s="505">
        <f t="shared" si="40"/>
        <v>227</v>
      </c>
      <c r="K810" s="503">
        <f t="shared" si="41"/>
        <v>3.7833333333333332</v>
      </c>
      <c r="L810" s="505" t="s">
        <v>1533</v>
      </c>
    </row>
    <row r="811" spans="1:12" x14ac:dyDescent="0.25">
      <c r="A811" s="501" t="s">
        <v>1547</v>
      </c>
      <c r="B811" s="501" t="s">
        <v>1549</v>
      </c>
      <c r="C811" s="502" t="s">
        <v>82</v>
      </c>
      <c r="D811" s="502">
        <v>900</v>
      </c>
      <c r="E811" s="504">
        <v>40</v>
      </c>
      <c r="F811" s="504">
        <v>50</v>
      </c>
      <c r="G811" s="504">
        <v>130</v>
      </c>
      <c r="H811" s="505">
        <f t="shared" si="39"/>
        <v>220</v>
      </c>
      <c r="I811" s="505">
        <v>20</v>
      </c>
      <c r="J811" s="505">
        <f t="shared" si="40"/>
        <v>240</v>
      </c>
      <c r="K811" s="503">
        <f t="shared" si="41"/>
        <v>4</v>
      </c>
      <c r="L811" s="505" t="s">
        <v>1533</v>
      </c>
    </row>
    <row r="812" spans="1:12" x14ac:dyDescent="0.25">
      <c r="A812" s="501" t="s">
        <v>1547</v>
      </c>
      <c r="B812" s="501" t="s">
        <v>1549</v>
      </c>
      <c r="C812" s="502" t="s">
        <v>82</v>
      </c>
      <c r="D812" s="502">
        <v>1500</v>
      </c>
      <c r="E812" s="504">
        <v>60</v>
      </c>
      <c r="F812" s="504">
        <v>70</v>
      </c>
      <c r="G812" s="504">
        <v>170</v>
      </c>
      <c r="H812" s="505">
        <f t="shared" si="39"/>
        <v>300</v>
      </c>
      <c r="I812" s="505">
        <v>20</v>
      </c>
      <c r="J812" s="505">
        <f t="shared" si="40"/>
        <v>320</v>
      </c>
      <c r="K812" s="503">
        <f t="shared" si="41"/>
        <v>5.333333333333333</v>
      </c>
      <c r="L812" s="505" t="s">
        <v>1533</v>
      </c>
    </row>
    <row r="813" spans="1:12" x14ac:dyDescent="0.25">
      <c r="A813" s="501" t="s">
        <v>1547</v>
      </c>
      <c r="B813" s="501" t="s">
        <v>1549</v>
      </c>
      <c r="C813" s="502" t="s">
        <v>120</v>
      </c>
      <c r="D813" s="502">
        <v>150</v>
      </c>
      <c r="E813" s="502">
        <v>20</v>
      </c>
      <c r="F813" s="502">
        <v>30</v>
      </c>
      <c r="G813" s="502">
        <v>100</v>
      </c>
      <c r="H813" s="501">
        <f t="shared" si="39"/>
        <v>150</v>
      </c>
      <c r="I813" s="501">
        <v>20</v>
      </c>
      <c r="J813" s="501">
        <f t="shared" si="40"/>
        <v>170</v>
      </c>
      <c r="K813" s="503">
        <f t="shared" si="41"/>
        <v>2.8333333333333335</v>
      </c>
      <c r="L813" s="501" t="s">
        <v>1531</v>
      </c>
    </row>
    <row r="814" spans="1:12" x14ac:dyDescent="0.25">
      <c r="A814" s="501" t="s">
        <v>1547</v>
      </c>
      <c r="B814" s="501" t="s">
        <v>1549</v>
      </c>
      <c r="C814" s="502" t="s">
        <v>120</v>
      </c>
      <c r="D814" s="502">
        <v>300</v>
      </c>
      <c r="E814" s="502">
        <v>25</v>
      </c>
      <c r="F814" s="502">
        <v>40</v>
      </c>
      <c r="G814" s="502">
        <v>120</v>
      </c>
      <c r="H814" s="501">
        <f t="shared" si="39"/>
        <v>185</v>
      </c>
      <c r="I814" s="501">
        <v>20</v>
      </c>
      <c r="J814" s="501">
        <f t="shared" si="40"/>
        <v>205</v>
      </c>
      <c r="K814" s="503">
        <f t="shared" si="41"/>
        <v>3.4166666666666665</v>
      </c>
      <c r="L814" s="501" t="s">
        <v>1531</v>
      </c>
    </row>
    <row r="815" spans="1:12" x14ac:dyDescent="0.25">
      <c r="A815" s="501" t="s">
        <v>1547</v>
      </c>
      <c r="B815" s="501" t="s">
        <v>1549</v>
      </c>
      <c r="C815" s="502" t="s">
        <v>120</v>
      </c>
      <c r="D815" s="502">
        <v>600</v>
      </c>
      <c r="E815" s="504">
        <v>35</v>
      </c>
      <c r="F815" s="504">
        <v>60</v>
      </c>
      <c r="G815" s="504">
        <v>160</v>
      </c>
      <c r="H815" s="505">
        <f t="shared" si="39"/>
        <v>255</v>
      </c>
      <c r="I815" s="505">
        <v>20</v>
      </c>
      <c r="J815" s="505">
        <f t="shared" si="40"/>
        <v>275</v>
      </c>
      <c r="K815" s="503">
        <f t="shared" si="41"/>
        <v>4.583333333333333</v>
      </c>
      <c r="L815" s="505" t="s">
        <v>1533</v>
      </c>
    </row>
    <row r="816" spans="1:12" x14ac:dyDescent="0.25">
      <c r="A816" s="501" t="s">
        <v>1547</v>
      </c>
      <c r="B816" s="501" t="s">
        <v>1549</v>
      </c>
      <c r="C816" s="502" t="s">
        <v>120</v>
      </c>
      <c r="D816" s="502">
        <v>800</v>
      </c>
      <c r="E816" s="504">
        <v>42</v>
      </c>
      <c r="F816" s="504">
        <v>73</v>
      </c>
      <c r="G816" s="504">
        <v>187</v>
      </c>
      <c r="H816" s="505">
        <f t="shared" si="39"/>
        <v>302</v>
      </c>
      <c r="I816" s="505">
        <v>20</v>
      </c>
      <c r="J816" s="505">
        <f t="shared" si="40"/>
        <v>322</v>
      </c>
      <c r="K816" s="503">
        <f t="shared" si="41"/>
        <v>5.3666666666666663</v>
      </c>
      <c r="L816" s="505" t="s">
        <v>1533</v>
      </c>
    </row>
    <row r="817" spans="1:12" x14ac:dyDescent="0.25">
      <c r="A817" s="501" t="s">
        <v>1547</v>
      </c>
      <c r="B817" s="501" t="s">
        <v>1549</v>
      </c>
      <c r="C817" s="502" t="s">
        <v>120</v>
      </c>
      <c r="D817" s="502">
        <v>900</v>
      </c>
      <c r="E817" s="504">
        <v>45</v>
      </c>
      <c r="F817" s="504">
        <v>80</v>
      </c>
      <c r="G817" s="504">
        <v>200</v>
      </c>
      <c r="H817" s="505">
        <f t="shared" si="39"/>
        <v>325</v>
      </c>
      <c r="I817" s="505">
        <v>20</v>
      </c>
      <c r="J817" s="505">
        <f t="shared" si="40"/>
        <v>345</v>
      </c>
      <c r="K817" s="503">
        <f t="shared" si="41"/>
        <v>5.75</v>
      </c>
      <c r="L817" s="505" t="s">
        <v>1533</v>
      </c>
    </row>
    <row r="818" spans="1:12" x14ac:dyDescent="0.25">
      <c r="A818" s="501" t="s">
        <v>1547</v>
      </c>
      <c r="B818" s="501" t="s">
        <v>1549</v>
      </c>
      <c r="C818" s="502" t="s">
        <v>120</v>
      </c>
      <c r="D818" s="502">
        <v>1500</v>
      </c>
      <c r="E818" s="504">
        <v>65</v>
      </c>
      <c r="F818" s="504">
        <v>120</v>
      </c>
      <c r="G818" s="504">
        <v>280</v>
      </c>
      <c r="H818" s="505">
        <f t="shared" si="39"/>
        <v>465</v>
      </c>
      <c r="I818" s="505">
        <v>20</v>
      </c>
      <c r="J818" s="505">
        <f t="shared" si="40"/>
        <v>485</v>
      </c>
      <c r="K818" s="503">
        <f t="shared" si="41"/>
        <v>8.0833333333333339</v>
      </c>
      <c r="L818" s="505" t="s">
        <v>1533</v>
      </c>
    </row>
    <row r="819" spans="1:12" x14ac:dyDescent="0.25">
      <c r="A819" s="501" t="s">
        <v>1547</v>
      </c>
      <c r="B819" s="501" t="s">
        <v>1549</v>
      </c>
      <c r="C819" s="502" t="s">
        <v>80</v>
      </c>
      <c r="D819" s="502">
        <v>150</v>
      </c>
      <c r="E819" s="502">
        <v>25</v>
      </c>
      <c r="F819" s="502">
        <v>40</v>
      </c>
      <c r="G819" s="502">
        <v>130</v>
      </c>
      <c r="H819" s="501">
        <f t="shared" si="39"/>
        <v>195</v>
      </c>
      <c r="I819" s="501">
        <v>20</v>
      </c>
      <c r="J819" s="501">
        <f t="shared" si="40"/>
        <v>215</v>
      </c>
      <c r="K819" s="503">
        <f t="shared" si="41"/>
        <v>3.5833333333333335</v>
      </c>
      <c r="L819" s="501" t="s">
        <v>1531</v>
      </c>
    </row>
    <row r="820" spans="1:12" x14ac:dyDescent="0.25">
      <c r="A820" s="501" t="s">
        <v>1547</v>
      </c>
      <c r="B820" s="501" t="s">
        <v>1549</v>
      </c>
      <c r="C820" s="502" t="s">
        <v>80</v>
      </c>
      <c r="D820" s="502">
        <v>300</v>
      </c>
      <c r="E820" s="502">
        <v>30</v>
      </c>
      <c r="F820" s="502">
        <v>45</v>
      </c>
      <c r="G820" s="502">
        <v>140</v>
      </c>
      <c r="H820" s="501">
        <f t="shared" si="39"/>
        <v>215</v>
      </c>
      <c r="I820" s="501">
        <v>20</v>
      </c>
      <c r="J820" s="501">
        <f t="shared" si="40"/>
        <v>235</v>
      </c>
      <c r="K820" s="503">
        <f t="shared" si="41"/>
        <v>3.9166666666666665</v>
      </c>
      <c r="L820" s="501" t="s">
        <v>1531</v>
      </c>
    </row>
    <row r="821" spans="1:12" x14ac:dyDescent="0.25">
      <c r="A821" s="501" t="s">
        <v>1547</v>
      </c>
      <c r="B821" s="501" t="s">
        <v>1549</v>
      </c>
      <c r="C821" s="502" t="s">
        <v>80</v>
      </c>
      <c r="D821" s="502">
        <v>600</v>
      </c>
      <c r="E821" s="504">
        <v>40</v>
      </c>
      <c r="F821" s="504">
        <v>55</v>
      </c>
      <c r="G821" s="504">
        <v>160</v>
      </c>
      <c r="H821" s="505">
        <f t="shared" si="39"/>
        <v>255</v>
      </c>
      <c r="I821" s="505">
        <v>20</v>
      </c>
      <c r="J821" s="505">
        <f t="shared" si="40"/>
        <v>275</v>
      </c>
      <c r="K821" s="503">
        <f t="shared" si="41"/>
        <v>4.583333333333333</v>
      </c>
      <c r="L821" s="505" t="s">
        <v>1533</v>
      </c>
    </row>
    <row r="822" spans="1:12" x14ac:dyDescent="0.25">
      <c r="A822" s="501" t="s">
        <v>1547</v>
      </c>
      <c r="B822" s="501" t="s">
        <v>1549</v>
      </c>
      <c r="C822" s="502" t="s">
        <v>80</v>
      </c>
      <c r="D822" s="502">
        <v>800</v>
      </c>
      <c r="E822" s="504">
        <v>47</v>
      </c>
      <c r="F822" s="504">
        <v>62</v>
      </c>
      <c r="G822" s="504">
        <v>173</v>
      </c>
      <c r="H822" s="505">
        <f t="shared" si="39"/>
        <v>282</v>
      </c>
      <c r="I822" s="505">
        <v>20</v>
      </c>
      <c r="J822" s="505">
        <f t="shared" si="40"/>
        <v>302</v>
      </c>
      <c r="K822" s="503">
        <f t="shared" si="41"/>
        <v>5.0333333333333332</v>
      </c>
      <c r="L822" s="505" t="s">
        <v>1533</v>
      </c>
    </row>
    <row r="823" spans="1:12" x14ac:dyDescent="0.25">
      <c r="A823" s="501" t="s">
        <v>1547</v>
      </c>
      <c r="B823" s="501" t="s">
        <v>1549</v>
      </c>
      <c r="C823" s="502" t="s">
        <v>80</v>
      </c>
      <c r="D823" s="502">
        <v>900</v>
      </c>
      <c r="E823" s="504">
        <v>50</v>
      </c>
      <c r="F823" s="504">
        <v>65</v>
      </c>
      <c r="G823" s="504">
        <v>180</v>
      </c>
      <c r="H823" s="505">
        <f t="shared" si="39"/>
        <v>295</v>
      </c>
      <c r="I823" s="505">
        <v>20</v>
      </c>
      <c r="J823" s="505">
        <f t="shared" si="40"/>
        <v>315</v>
      </c>
      <c r="K823" s="503">
        <f t="shared" si="41"/>
        <v>5.25</v>
      </c>
      <c r="L823" s="505" t="s">
        <v>1533</v>
      </c>
    </row>
    <row r="824" spans="1:12" x14ac:dyDescent="0.25">
      <c r="A824" s="501" t="s">
        <v>1547</v>
      </c>
      <c r="B824" s="501" t="s">
        <v>1549</v>
      </c>
      <c r="C824" s="502" t="s">
        <v>80</v>
      </c>
      <c r="D824" s="502">
        <v>1500</v>
      </c>
      <c r="E824" s="504">
        <v>70</v>
      </c>
      <c r="F824" s="504">
        <v>85</v>
      </c>
      <c r="G824" s="504">
        <v>220</v>
      </c>
      <c r="H824" s="505">
        <f t="shared" si="39"/>
        <v>375</v>
      </c>
      <c r="I824" s="505">
        <v>20</v>
      </c>
      <c r="J824" s="505">
        <f t="shared" si="40"/>
        <v>395</v>
      </c>
      <c r="K824" s="503">
        <f t="shared" si="41"/>
        <v>6.583333333333333</v>
      </c>
      <c r="L824" s="505" t="s">
        <v>1533</v>
      </c>
    </row>
    <row r="825" spans="1:12" x14ac:dyDescent="0.25">
      <c r="A825" s="501" t="s">
        <v>1547</v>
      </c>
      <c r="B825" s="501" t="s">
        <v>1549</v>
      </c>
      <c r="C825" s="502" t="s">
        <v>119</v>
      </c>
      <c r="D825" s="502">
        <v>150</v>
      </c>
      <c r="E825" s="502">
        <v>30</v>
      </c>
      <c r="F825" s="502">
        <v>45</v>
      </c>
      <c r="G825" s="502">
        <v>150</v>
      </c>
      <c r="H825" s="501">
        <f t="shared" si="39"/>
        <v>225</v>
      </c>
      <c r="I825" s="501">
        <v>20</v>
      </c>
      <c r="J825" s="501">
        <f t="shared" si="40"/>
        <v>245</v>
      </c>
      <c r="K825" s="503">
        <f t="shared" si="41"/>
        <v>4.083333333333333</v>
      </c>
      <c r="L825" s="501" t="s">
        <v>1531</v>
      </c>
    </row>
    <row r="826" spans="1:12" x14ac:dyDescent="0.25">
      <c r="A826" s="501" t="s">
        <v>1547</v>
      </c>
      <c r="B826" s="501" t="s">
        <v>1549</v>
      </c>
      <c r="C826" s="502" t="s">
        <v>119</v>
      </c>
      <c r="D826" s="502">
        <v>300</v>
      </c>
      <c r="E826" s="502">
        <v>35</v>
      </c>
      <c r="F826" s="502">
        <v>55</v>
      </c>
      <c r="G826" s="502">
        <v>170</v>
      </c>
      <c r="H826" s="501">
        <f t="shared" si="39"/>
        <v>260</v>
      </c>
      <c r="I826" s="501">
        <v>20</v>
      </c>
      <c r="J826" s="501">
        <f t="shared" si="40"/>
        <v>280</v>
      </c>
      <c r="K826" s="503">
        <f t="shared" si="41"/>
        <v>4.666666666666667</v>
      </c>
      <c r="L826" s="501" t="s">
        <v>1531</v>
      </c>
    </row>
    <row r="827" spans="1:12" x14ac:dyDescent="0.25">
      <c r="A827" s="501" t="s">
        <v>1547</v>
      </c>
      <c r="B827" s="501" t="s">
        <v>1549</v>
      </c>
      <c r="C827" s="502" t="s">
        <v>119</v>
      </c>
      <c r="D827" s="502">
        <v>600</v>
      </c>
      <c r="E827" s="504">
        <v>45</v>
      </c>
      <c r="F827" s="504">
        <v>75</v>
      </c>
      <c r="G827" s="504">
        <v>210</v>
      </c>
      <c r="H827" s="505">
        <f t="shared" si="39"/>
        <v>330</v>
      </c>
      <c r="I827" s="505">
        <v>20</v>
      </c>
      <c r="J827" s="505">
        <f t="shared" si="40"/>
        <v>350</v>
      </c>
      <c r="K827" s="503">
        <f t="shared" si="41"/>
        <v>5.833333333333333</v>
      </c>
      <c r="L827" s="505" t="s">
        <v>1533</v>
      </c>
    </row>
    <row r="828" spans="1:12" x14ac:dyDescent="0.25">
      <c r="A828" s="501" t="s">
        <v>1547</v>
      </c>
      <c r="B828" s="501" t="s">
        <v>1549</v>
      </c>
      <c r="C828" s="502" t="s">
        <v>119</v>
      </c>
      <c r="D828" s="502">
        <v>800</v>
      </c>
      <c r="E828" s="504">
        <v>52</v>
      </c>
      <c r="F828" s="504">
        <v>88</v>
      </c>
      <c r="G828" s="504">
        <v>237</v>
      </c>
      <c r="H828" s="505">
        <f t="shared" si="39"/>
        <v>377</v>
      </c>
      <c r="I828" s="505">
        <v>20</v>
      </c>
      <c r="J828" s="505">
        <f t="shared" si="40"/>
        <v>397</v>
      </c>
      <c r="K828" s="503">
        <f t="shared" si="41"/>
        <v>6.6166666666666663</v>
      </c>
      <c r="L828" s="505" t="s">
        <v>1533</v>
      </c>
    </row>
    <row r="829" spans="1:12" x14ac:dyDescent="0.25">
      <c r="A829" s="501" t="s">
        <v>1547</v>
      </c>
      <c r="B829" s="501" t="s">
        <v>1549</v>
      </c>
      <c r="C829" s="502" t="s">
        <v>119</v>
      </c>
      <c r="D829" s="502">
        <v>900</v>
      </c>
      <c r="E829" s="504">
        <v>55</v>
      </c>
      <c r="F829" s="504">
        <v>95</v>
      </c>
      <c r="G829" s="504">
        <v>250</v>
      </c>
      <c r="H829" s="505">
        <f t="shared" si="39"/>
        <v>400</v>
      </c>
      <c r="I829" s="505">
        <v>20</v>
      </c>
      <c r="J829" s="505">
        <f t="shared" si="40"/>
        <v>420</v>
      </c>
      <c r="K829" s="503">
        <f t="shared" si="41"/>
        <v>7</v>
      </c>
      <c r="L829" s="505" t="s">
        <v>1533</v>
      </c>
    </row>
    <row r="830" spans="1:12" x14ac:dyDescent="0.25">
      <c r="A830" s="501" t="s">
        <v>1547</v>
      </c>
      <c r="B830" s="501" t="s">
        <v>1549</v>
      </c>
      <c r="C830" s="502" t="s">
        <v>119</v>
      </c>
      <c r="D830" s="502">
        <v>1500</v>
      </c>
      <c r="E830" s="504">
        <v>75</v>
      </c>
      <c r="F830" s="504">
        <v>135</v>
      </c>
      <c r="G830" s="504">
        <v>330</v>
      </c>
      <c r="H830" s="505">
        <f t="shared" si="39"/>
        <v>540</v>
      </c>
      <c r="I830" s="505">
        <v>20</v>
      </c>
      <c r="J830" s="505">
        <f t="shared" si="40"/>
        <v>560</v>
      </c>
      <c r="K830" s="503">
        <f t="shared" si="41"/>
        <v>9.3333333333333339</v>
      </c>
      <c r="L830" s="505" t="s">
        <v>1533</v>
      </c>
    </row>
    <row r="831" spans="1:12" x14ac:dyDescent="0.25">
      <c r="A831" s="501" t="s">
        <v>1547</v>
      </c>
      <c r="B831" s="501" t="s">
        <v>1549</v>
      </c>
      <c r="C831" s="502" t="s">
        <v>179</v>
      </c>
      <c r="D831" s="502">
        <v>150</v>
      </c>
      <c r="E831" s="502">
        <v>40</v>
      </c>
      <c r="F831" s="502">
        <v>55</v>
      </c>
      <c r="G831" s="502">
        <v>180</v>
      </c>
      <c r="H831" s="501">
        <f t="shared" si="39"/>
        <v>275</v>
      </c>
      <c r="I831" s="501">
        <v>25</v>
      </c>
      <c r="J831" s="501">
        <f t="shared" si="40"/>
        <v>300</v>
      </c>
      <c r="K831" s="503">
        <f t="shared" si="41"/>
        <v>5</v>
      </c>
      <c r="L831" s="501" t="s">
        <v>1531</v>
      </c>
    </row>
    <row r="832" spans="1:12" x14ac:dyDescent="0.25">
      <c r="A832" s="501" t="s">
        <v>1547</v>
      </c>
      <c r="B832" s="501" t="s">
        <v>1549</v>
      </c>
      <c r="C832" s="502" t="s">
        <v>179</v>
      </c>
      <c r="D832" s="502">
        <v>300</v>
      </c>
      <c r="E832" s="502">
        <v>45</v>
      </c>
      <c r="F832" s="502">
        <v>70</v>
      </c>
      <c r="G832" s="502">
        <v>210</v>
      </c>
      <c r="H832" s="501">
        <f t="shared" si="39"/>
        <v>325</v>
      </c>
      <c r="I832" s="501">
        <v>25</v>
      </c>
      <c r="J832" s="501">
        <f t="shared" si="40"/>
        <v>350</v>
      </c>
      <c r="K832" s="503">
        <f t="shared" si="41"/>
        <v>5.833333333333333</v>
      </c>
      <c r="L832" s="501" t="s">
        <v>1531</v>
      </c>
    </row>
    <row r="833" spans="1:12" x14ac:dyDescent="0.25">
      <c r="A833" s="501" t="s">
        <v>1547</v>
      </c>
      <c r="B833" s="501" t="s">
        <v>1549</v>
      </c>
      <c r="C833" s="502" t="s">
        <v>179</v>
      </c>
      <c r="D833" s="502">
        <v>600</v>
      </c>
      <c r="E833" s="504">
        <v>55</v>
      </c>
      <c r="F833" s="504">
        <v>100</v>
      </c>
      <c r="G833" s="504">
        <v>270</v>
      </c>
      <c r="H833" s="505">
        <f t="shared" si="39"/>
        <v>425</v>
      </c>
      <c r="I833" s="505">
        <v>25</v>
      </c>
      <c r="J833" s="505">
        <f t="shared" si="40"/>
        <v>450</v>
      </c>
      <c r="K833" s="503">
        <f t="shared" si="41"/>
        <v>7.5</v>
      </c>
      <c r="L833" s="505" t="s">
        <v>1533</v>
      </c>
    </row>
    <row r="834" spans="1:12" x14ac:dyDescent="0.25">
      <c r="A834" s="501" t="s">
        <v>1547</v>
      </c>
      <c r="B834" s="501" t="s">
        <v>1549</v>
      </c>
      <c r="C834" s="502" t="s">
        <v>179</v>
      </c>
      <c r="D834" s="502">
        <v>800</v>
      </c>
      <c r="E834" s="504">
        <v>62</v>
      </c>
      <c r="F834" s="504">
        <v>120</v>
      </c>
      <c r="G834" s="504">
        <v>310</v>
      </c>
      <c r="H834" s="505">
        <f t="shared" si="39"/>
        <v>492</v>
      </c>
      <c r="I834" s="505">
        <v>25</v>
      </c>
      <c r="J834" s="505">
        <f t="shared" si="40"/>
        <v>517</v>
      </c>
      <c r="K834" s="503">
        <f t="shared" si="41"/>
        <v>8.6166666666666671</v>
      </c>
      <c r="L834" s="505" t="s">
        <v>1533</v>
      </c>
    </row>
    <row r="835" spans="1:12" x14ac:dyDescent="0.25">
      <c r="A835" s="501" t="s">
        <v>1547</v>
      </c>
      <c r="B835" s="501" t="s">
        <v>1549</v>
      </c>
      <c r="C835" s="502" t="s">
        <v>179</v>
      </c>
      <c r="D835" s="502">
        <v>900</v>
      </c>
      <c r="E835" s="504">
        <v>65</v>
      </c>
      <c r="F835" s="504">
        <v>130</v>
      </c>
      <c r="G835" s="504">
        <v>330</v>
      </c>
      <c r="H835" s="505">
        <f t="shared" si="39"/>
        <v>525</v>
      </c>
      <c r="I835" s="505">
        <v>25</v>
      </c>
      <c r="J835" s="505">
        <f t="shared" si="40"/>
        <v>550</v>
      </c>
      <c r="K835" s="503">
        <f t="shared" si="41"/>
        <v>9.1666666666666661</v>
      </c>
      <c r="L835" s="505" t="s">
        <v>1533</v>
      </c>
    </row>
    <row r="836" spans="1:12" x14ac:dyDescent="0.25">
      <c r="A836" s="501" t="s">
        <v>1547</v>
      </c>
      <c r="B836" s="501" t="s">
        <v>1549</v>
      </c>
      <c r="C836" s="502" t="s">
        <v>179</v>
      </c>
      <c r="D836" s="502">
        <v>1500</v>
      </c>
      <c r="E836" s="504">
        <v>85</v>
      </c>
      <c r="F836" s="504">
        <v>190</v>
      </c>
      <c r="G836" s="504">
        <v>450</v>
      </c>
      <c r="H836" s="505">
        <f t="shared" si="39"/>
        <v>725</v>
      </c>
      <c r="I836" s="505">
        <v>25</v>
      </c>
      <c r="J836" s="505">
        <f t="shared" si="40"/>
        <v>750</v>
      </c>
      <c r="K836" s="503">
        <f t="shared" si="41"/>
        <v>12.5</v>
      </c>
      <c r="L836" s="505" t="s">
        <v>1533</v>
      </c>
    </row>
    <row r="837" spans="1:12" x14ac:dyDescent="0.25">
      <c r="A837" s="501" t="s">
        <v>1547</v>
      </c>
      <c r="B837" s="501" t="s">
        <v>1549</v>
      </c>
      <c r="C837" s="502" t="s">
        <v>118</v>
      </c>
      <c r="D837" s="502">
        <v>150</v>
      </c>
      <c r="E837" s="502">
        <v>45</v>
      </c>
      <c r="F837" s="502">
        <v>70</v>
      </c>
      <c r="G837" s="502">
        <v>225</v>
      </c>
      <c r="H837" s="501">
        <f t="shared" si="39"/>
        <v>340</v>
      </c>
      <c r="I837" s="501">
        <v>25</v>
      </c>
      <c r="J837" s="501">
        <f t="shared" si="40"/>
        <v>365</v>
      </c>
      <c r="K837" s="503">
        <f t="shared" si="41"/>
        <v>6.083333333333333</v>
      </c>
      <c r="L837" s="501" t="s">
        <v>1531</v>
      </c>
    </row>
    <row r="838" spans="1:12" x14ac:dyDescent="0.25">
      <c r="A838" s="501" t="s">
        <v>1547</v>
      </c>
      <c r="B838" s="501" t="s">
        <v>1549</v>
      </c>
      <c r="C838" s="502" t="s">
        <v>118</v>
      </c>
      <c r="D838" s="502">
        <v>300</v>
      </c>
      <c r="E838" s="502">
        <v>50</v>
      </c>
      <c r="F838" s="502">
        <v>85</v>
      </c>
      <c r="G838" s="502">
        <v>255</v>
      </c>
      <c r="H838" s="501">
        <f t="shared" si="39"/>
        <v>390</v>
      </c>
      <c r="I838" s="501">
        <v>25</v>
      </c>
      <c r="J838" s="501">
        <f t="shared" si="40"/>
        <v>415</v>
      </c>
      <c r="K838" s="503">
        <f t="shared" si="41"/>
        <v>6.916666666666667</v>
      </c>
      <c r="L838" s="501" t="s">
        <v>1531</v>
      </c>
    </row>
    <row r="839" spans="1:12" x14ac:dyDescent="0.25">
      <c r="A839" s="501" t="s">
        <v>1547</v>
      </c>
      <c r="B839" s="501" t="s">
        <v>1549</v>
      </c>
      <c r="C839" s="502" t="s">
        <v>118</v>
      </c>
      <c r="D839" s="502">
        <v>600</v>
      </c>
      <c r="E839" s="504">
        <v>60</v>
      </c>
      <c r="F839" s="504">
        <v>115</v>
      </c>
      <c r="G839" s="504">
        <v>315</v>
      </c>
      <c r="H839" s="505">
        <f t="shared" si="39"/>
        <v>490</v>
      </c>
      <c r="I839" s="505">
        <v>25</v>
      </c>
      <c r="J839" s="505">
        <f t="shared" si="40"/>
        <v>515</v>
      </c>
      <c r="K839" s="503">
        <f t="shared" si="41"/>
        <v>8.5833333333333339</v>
      </c>
      <c r="L839" s="505" t="s">
        <v>1533</v>
      </c>
    </row>
    <row r="840" spans="1:12" x14ac:dyDescent="0.25">
      <c r="A840" s="501" t="s">
        <v>1547</v>
      </c>
      <c r="B840" s="501" t="s">
        <v>1549</v>
      </c>
      <c r="C840" s="502" t="s">
        <v>118</v>
      </c>
      <c r="D840" s="502">
        <v>800</v>
      </c>
      <c r="E840" s="504">
        <v>67</v>
      </c>
      <c r="F840" s="504">
        <v>135</v>
      </c>
      <c r="G840" s="504">
        <v>355</v>
      </c>
      <c r="H840" s="505">
        <f t="shared" si="39"/>
        <v>557</v>
      </c>
      <c r="I840" s="505">
        <v>25</v>
      </c>
      <c r="J840" s="505">
        <f t="shared" si="40"/>
        <v>582</v>
      </c>
      <c r="K840" s="503">
        <f t="shared" si="41"/>
        <v>9.6999999999999993</v>
      </c>
      <c r="L840" s="505" t="s">
        <v>1533</v>
      </c>
    </row>
    <row r="841" spans="1:12" x14ac:dyDescent="0.25">
      <c r="A841" s="501" t="s">
        <v>1547</v>
      </c>
      <c r="B841" s="501" t="s">
        <v>1549</v>
      </c>
      <c r="C841" s="502" t="s">
        <v>118</v>
      </c>
      <c r="D841" s="502">
        <v>900</v>
      </c>
      <c r="E841" s="504">
        <v>70</v>
      </c>
      <c r="F841" s="504">
        <v>145</v>
      </c>
      <c r="G841" s="504">
        <v>375</v>
      </c>
      <c r="H841" s="505">
        <f t="shared" si="39"/>
        <v>590</v>
      </c>
      <c r="I841" s="505">
        <v>25</v>
      </c>
      <c r="J841" s="505">
        <f t="shared" si="40"/>
        <v>615</v>
      </c>
      <c r="K841" s="503">
        <f t="shared" si="41"/>
        <v>10.25</v>
      </c>
      <c r="L841" s="505" t="s">
        <v>1533</v>
      </c>
    </row>
    <row r="842" spans="1:12" x14ac:dyDescent="0.25">
      <c r="A842" s="501" t="s">
        <v>1547</v>
      </c>
      <c r="B842" s="501" t="s">
        <v>1549</v>
      </c>
      <c r="C842" s="502" t="s">
        <v>118</v>
      </c>
      <c r="D842" s="502">
        <v>1500</v>
      </c>
      <c r="E842" s="504">
        <v>90</v>
      </c>
      <c r="F842" s="504">
        <v>205</v>
      </c>
      <c r="G842" s="504">
        <v>495</v>
      </c>
      <c r="H842" s="505">
        <f t="shared" si="39"/>
        <v>790</v>
      </c>
      <c r="I842" s="505">
        <v>25</v>
      </c>
      <c r="J842" s="505">
        <f t="shared" si="40"/>
        <v>815</v>
      </c>
      <c r="K842" s="503">
        <f t="shared" si="41"/>
        <v>13.583333333333334</v>
      </c>
      <c r="L842" s="505" t="s">
        <v>1533</v>
      </c>
    </row>
    <row r="843" spans="1:12" x14ac:dyDescent="0.25">
      <c r="A843" s="501" t="s">
        <v>1547</v>
      </c>
      <c r="B843" s="501" t="s">
        <v>1549</v>
      </c>
      <c r="C843" s="502" t="s">
        <v>688</v>
      </c>
      <c r="D843" s="502">
        <v>150</v>
      </c>
      <c r="E843" s="502">
        <v>60</v>
      </c>
      <c r="F843" s="502"/>
      <c r="G843" s="502">
        <v>0</v>
      </c>
      <c r="H843" s="501">
        <f t="shared" si="39"/>
        <v>60</v>
      </c>
      <c r="I843" s="501">
        <v>25</v>
      </c>
      <c r="J843" s="501">
        <f t="shared" si="40"/>
        <v>85</v>
      </c>
      <c r="K843" s="503">
        <f t="shared" si="41"/>
        <v>1.4166666666666667</v>
      </c>
      <c r="L843" s="501" t="s">
        <v>1531</v>
      </c>
    </row>
    <row r="844" spans="1:12" x14ac:dyDescent="0.25">
      <c r="A844" s="501" t="s">
        <v>1547</v>
      </c>
      <c r="B844" s="501" t="s">
        <v>1549</v>
      </c>
      <c r="C844" s="502" t="s">
        <v>688</v>
      </c>
      <c r="D844" s="502">
        <v>300</v>
      </c>
      <c r="E844" s="504">
        <v>60</v>
      </c>
      <c r="F844" s="504"/>
      <c r="G844" s="504">
        <v>0</v>
      </c>
      <c r="H844" s="505">
        <f t="shared" si="39"/>
        <v>60</v>
      </c>
      <c r="I844" s="505">
        <v>25</v>
      </c>
      <c r="J844" s="505">
        <f t="shared" si="40"/>
        <v>85</v>
      </c>
      <c r="K844" s="503">
        <f t="shared" si="41"/>
        <v>1.4166666666666667</v>
      </c>
      <c r="L844" s="505" t="s">
        <v>1540</v>
      </c>
    </row>
    <row r="845" spans="1:12" x14ac:dyDescent="0.25">
      <c r="A845" s="501" t="s">
        <v>1547</v>
      </c>
      <c r="B845" s="501" t="s">
        <v>1549</v>
      </c>
      <c r="C845" s="502" t="s">
        <v>688</v>
      </c>
      <c r="D845" s="502">
        <v>600</v>
      </c>
      <c r="E845" s="504">
        <v>60</v>
      </c>
      <c r="F845" s="504"/>
      <c r="G845" s="504">
        <v>0</v>
      </c>
      <c r="H845" s="505">
        <f t="shared" si="39"/>
        <v>60</v>
      </c>
      <c r="I845" s="505">
        <v>25</v>
      </c>
      <c r="J845" s="505">
        <f t="shared" si="40"/>
        <v>85</v>
      </c>
      <c r="K845" s="503">
        <f t="shared" si="41"/>
        <v>1.4166666666666667</v>
      </c>
      <c r="L845" s="505" t="s">
        <v>1540</v>
      </c>
    </row>
    <row r="846" spans="1:12" x14ac:dyDescent="0.25">
      <c r="A846" s="501" t="s">
        <v>1547</v>
      </c>
      <c r="B846" s="501" t="s">
        <v>1549</v>
      </c>
      <c r="C846" s="502" t="s">
        <v>688</v>
      </c>
      <c r="D846" s="502">
        <v>800</v>
      </c>
      <c r="E846" s="504">
        <v>60</v>
      </c>
      <c r="F846" s="504"/>
      <c r="G846" s="504">
        <v>0</v>
      </c>
      <c r="H846" s="505">
        <f t="shared" si="39"/>
        <v>60</v>
      </c>
      <c r="I846" s="505">
        <v>25</v>
      </c>
      <c r="J846" s="505">
        <f t="shared" si="40"/>
        <v>85</v>
      </c>
      <c r="K846" s="503">
        <f t="shared" si="41"/>
        <v>1.4166666666666667</v>
      </c>
      <c r="L846" s="505" t="s">
        <v>1540</v>
      </c>
    </row>
    <row r="847" spans="1:12" x14ac:dyDescent="0.25">
      <c r="A847" s="501" t="s">
        <v>1547</v>
      </c>
      <c r="B847" s="501" t="s">
        <v>1549</v>
      </c>
      <c r="C847" s="502" t="s">
        <v>688</v>
      </c>
      <c r="D847" s="502">
        <v>900</v>
      </c>
      <c r="E847" s="504">
        <v>60</v>
      </c>
      <c r="F847" s="504"/>
      <c r="G847" s="504">
        <v>0</v>
      </c>
      <c r="H847" s="505">
        <f t="shared" ref="H847:H860" si="42">E847+F847+G847</f>
        <v>60</v>
      </c>
      <c r="I847" s="505">
        <v>25</v>
      </c>
      <c r="J847" s="505">
        <f t="shared" ref="J847:J860" si="43">H847+I847</f>
        <v>85</v>
      </c>
      <c r="K847" s="503">
        <f t="shared" ref="K847:K860" si="44">J847/60</f>
        <v>1.4166666666666667</v>
      </c>
      <c r="L847" s="505" t="s">
        <v>1540</v>
      </c>
    </row>
    <row r="848" spans="1:12" x14ac:dyDescent="0.25">
      <c r="A848" s="501" t="s">
        <v>1547</v>
      </c>
      <c r="B848" s="501" t="s">
        <v>1549</v>
      </c>
      <c r="C848" s="502" t="s">
        <v>688</v>
      </c>
      <c r="D848" s="502">
        <v>1500</v>
      </c>
      <c r="E848" s="504">
        <v>60</v>
      </c>
      <c r="F848" s="504"/>
      <c r="G848" s="504">
        <v>0</v>
      </c>
      <c r="H848" s="505">
        <f t="shared" si="42"/>
        <v>60</v>
      </c>
      <c r="I848" s="505">
        <v>25</v>
      </c>
      <c r="J848" s="505">
        <f t="shared" si="43"/>
        <v>85</v>
      </c>
      <c r="K848" s="503">
        <f t="shared" si="44"/>
        <v>1.4166666666666667</v>
      </c>
      <c r="L848" s="505" t="s">
        <v>1540</v>
      </c>
    </row>
    <row r="849" spans="1:12" x14ac:dyDescent="0.25">
      <c r="A849" s="501" t="s">
        <v>1547</v>
      </c>
      <c r="B849" s="501" t="s">
        <v>1549</v>
      </c>
      <c r="C849" s="502" t="s">
        <v>171</v>
      </c>
      <c r="D849" s="502">
        <v>150</v>
      </c>
      <c r="E849" s="502">
        <v>75</v>
      </c>
      <c r="F849" s="502"/>
      <c r="G849" s="502">
        <v>0</v>
      </c>
      <c r="H849" s="501">
        <f t="shared" si="42"/>
        <v>75</v>
      </c>
      <c r="I849" s="501">
        <v>25</v>
      </c>
      <c r="J849" s="501">
        <f t="shared" si="43"/>
        <v>100</v>
      </c>
      <c r="K849" s="503">
        <f t="shared" si="44"/>
        <v>1.6666666666666667</v>
      </c>
      <c r="L849" s="501" t="s">
        <v>1531</v>
      </c>
    </row>
    <row r="850" spans="1:12" x14ac:dyDescent="0.25">
      <c r="A850" s="501" t="s">
        <v>1547</v>
      </c>
      <c r="B850" s="501" t="s">
        <v>1549</v>
      </c>
      <c r="C850" s="502" t="s">
        <v>171</v>
      </c>
      <c r="D850" s="502">
        <v>300</v>
      </c>
      <c r="E850" s="504">
        <v>75</v>
      </c>
      <c r="F850" s="504"/>
      <c r="G850" s="504">
        <v>0</v>
      </c>
      <c r="H850" s="505">
        <f t="shared" si="42"/>
        <v>75</v>
      </c>
      <c r="I850" s="505">
        <v>25</v>
      </c>
      <c r="J850" s="505">
        <f t="shared" si="43"/>
        <v>100</v>
      </c>
      <c r="K850" s="503">
        <f t="shared" si="44"/>
        <v>1.6666666666666667</v>
      </c>
      <c r="L850" s="505" t="s">
        <v>1540</v>
      </c>
    </row>
    <row r="851" spans="1:12" x14ac:dyDescent="0.25">
      <c r="A851" s="501" t="s">
        <v>1547</v>
      </c>
      <c r="B851" s="501" t="s">
        <v>1549</v>
      </c>
      <c r="C851" s="502" t="s">
        <v>171</v>
      </c>
      <c r="D851" s="502">
        <v>600</v>
      </c>
      <c r="E851" s="504">
        <v>75</v>
      </c>
      <c r="F851" s="504"/>
      <c r="G851" s="504">
        <v>0</v>
      </c>
      <c r="H851" s="505">
        <f t="shared" si="42"/>
        <v>75</v>
      </c>
      <c r="I851" s="505">
        <v>25</v>
      </c>
      <c r="J851" s="505">
        <f t="shared" si="43"/>
        <v>100</v>
      </c>
      <c r="K851" s="503">
        <f t="shared" si="44"/>
        <v>1.6666666666666667</v>
      </c>
      <c r="L851" s="505" t="s">
        <v>1540</v>
      </c>
    </row>
    <row r="852" spans="1:12" x14ac:dyDescent="0.25">
      <c r="A852" s="501" t="s">
        <v>1547</v>
      </c>
      <c r="B852" s="501" t="s">
        <v>1549</v>
      </c>
      <c r="C852" s="502" t="s">
        <v>171</v>
      </c>
      <c r="D852" s="502">
        <v>800</v>
      </c>
      <c r="E852" s="504">
        <v>75</v>
      </c>
      <c r="F852" s="504"/>
      <c r="G852" s="504">
        <v>0</v>
      </c>
      <c r="H852" s="505">
        <f t="shared" si="42"/>
        <v>75</v>
      </c>
      <c r="I852" s="505">
        <v>25</v>
      </c>
      <c r="J852" s="505">
        <f t="shared" si="43"/>
        <v>100</v>
      </c>
      <c r="K852" s="503">
        <f t="shared" si="44"/>
        <v>1.6666666666666667</v>
      </c>
      <c r="L852" s="505" t="s">
        <v>1540</v>
      </c>
    </row>
    <row r="853" spans="1:12" x14ac:dyDescent="0.25">
      <c r="A853" s="501" t="s">
        <v>1547</v>
      </c>
      <c r="B853" s="501" t="s">
        <v>1549</v>
      </c>
      <c r="C853" s="502" t="s">
        <v>171</v>
      </c>
      <c r="D853" s="502">
        <v>900</v>
      </c>
      <c r="E853" s="504">
        <v>75</v>
      </c>
      <c r="F853" s="504"/>
      <c r="G853" s="504">
        <v>0</v>
      </c>
      <c r="H853" s="505">
        <f t="shared" si="42"/>
        <v>75</v>
      </c>
      <c r="I853" s="505">
        <v>25</v>
      </c>
      <c r="J853" s="505">
        <f t="shared" si="43"/>
        <v>100</v>
      </c>
      <c r="K853" s="503">
        <f t="shared" si="44"/>
        <v>1.6666666666666667</v>
      </c>
      <c r="L853" s="505" t="s">
        <v>1540</v>
      </c>
    </row>
    <row r="854" spans="1:12" x14ac:dyDescent="0.25">
      <c r="A854" s="501" t="s">
        <v>1547</v>
      </c>
      <c r="B854" s="501" t="s">
        <v>1549</v>
      </c>
      <c r="C854" s="502" t="s">
        <v>171</v>
      </c>
      <c r="D854" s="502">
        <v>1500</v>
      </c>
      <c r="E854" s="504">
        <v>75</v>
      </c>
      <c r="F854" s="504"/>
      <c r="G854" s="504">
        <v>0</v>
      </c>
      <c r="H854" s="505">
        <f t="shared" si="42"/>
        <v>75</v>
      </c>
      <c r="I854" s="505">
        <v>25</v>
      </c>
      <c r="J854" s="505">
        <f t="shared" si="43"/>
        <v>100</v>
      </c>
      <c r="K854" s="503">
        <f t="shared" si="44"/>
        <v>1.6666666666666667</v>
      </c>
      <c r="L854" s="505" t="s">
        <v>1540</v>
      </c>
    </row>
    <row r="855" spans="1:12" x14ac:dyDescent="0.25">
      <c r="A855" s="501" t="s">
        <v>1547</v>
      </c>
      <c r="B855" s="501" t="s">
        <v>1549</v>
      </c>
      <c r="C855" s="502" t="s">
        <v>195</v>
      </c>
      <c r="D855" s="502">
        <v>150</v>
      </c>
      <c r="E855" s="502">
        <v>90</v>
      </c>
      <c r="F855" s="502"/>
      <c r="G855" s="502">
        <v>0</v>
      </c>
      <c r="H855" s="501">
        <f t="shared" si="42"/>
        <v>90</v>
      </c>
      <c r="I855" s="501">
        <v>25</v>
      </c>
      <c r="J855" s="501">
        <f t="shared" si="43"/>
        <v>115</v>
      </c>
      <c r="K855" s="503">
        <f t="shared" si="44"/>
        <v>1.9166666666666667</v>
      </c>
      <c r="L855" s="501" t="s">
        <v>1531</v>
      </c>
    </row>
    <row r="856" spans="1:12" x14ac:dyDescent="0.25">
      <c r="A856" s="501" t="s">
        <v>1547</v>
      </c>
      <c r="B856" s="501" t="s">
        <v>1549</v>
      </c>
      <c r="C856" s="502" t="s">
        <v>195</v>
      </c>
      <c r="D856" s="502">
        <v>300</v>
      </c>
      <c r="E856" s="504">
        <v>90</v>
      </c>
      <c r="F856" s="504"/>
      <c r="G856" s="504">
        <v>0</v>
      </c>
      <c r="H856" s="505">
        <f t="shared" si="42"/>
        <v>90</v>
      </c>
      <c r="I856" s="505">
        <v>25</v>
      </c>
      <c r="J856" s="505">
        <f t="shared" si="43"/>
        <v>115</v>
      </c>
      <c r="K856" s="503">
        <f t="shared" si="44"/>
        <v>1.9166666666666667</v>
      </c>
      <c r="L856" s="505" t="s">
        <v>1540</v>
      </c>
    </row>
    <row r="857" spans="1:12" x14ac:dyDescent="0.25">
      <c r="A857" s="501" t="s">
        <v>1547</v>
      </c>
      <c r="B857" s="501" t="s">
        <v>1549</v>
      </c>
      <c r="C857" s="502" t="s">
        <v>195</v>
      </c>
      <c r="D857" s="502">
        <v>600</v>
      </c>
      <c r="E857" s="504">
        <v>90</v>
      </c>
      <c r="F857" s="504"/>
      <c r="G857" s="504">
        <v>0</v>
      </c>
      <c r="H857" s="505">
        <f t="shared" si="42"/>
        <v>90</v>
      </c>
      <c r="I857" s="505">
        <v>25</v>
      </c>
      <c r="J857" s="505">
        <f t="shared" si="43"/>
        <v>115</v>
      </c>
      <c r="K857" s="503">
        <f t="shared" si="44"/>
        <v>1.9166666666666667</v>
      </c>
      <c r="L857" s="505" t="s">
        <v>1540</v>
      </c>
    </row>
    <row r="858" spans="1:12" x14ac:dyDescent="0.25">
      <c r="A858" s="501" t="s">
        <v>1547</v>
      </c>
      <c r="B858" s="501" t="s">
        <v>1549</v>
      </c>
      <c r="C858" s="502" t="s">
        <v>195</v>
      </c>
      <c r="D858" s="502">
        <v>800</v>
      </c>
      <c r="E858" s="504">
        <v>90</v>
      </c>
      <c r="F858" s="504"/>
      <c r="G858" s="504">
        <v>0</v>
      </c>
      <c r="H858" s="505">
        <f t="shared" si="42"/>
        <v>90</v>
      </c>
      <c r="I858" s="505">
        <v>25</v>
      </c>
      <c r="J858" s="505">
        <f t="shared" si="43"/>
        <v>115</v>
      </c>
      <c r="K858" s="503">
        <f t="shared" si="44"/>
        <v>1.9166666666666667</v>
      </c>
      <c r="L858" s="505" t="s">
        <v>1540</v>
      </c>
    </row>
    <row r="859" spans="1:12" x14ac:dyDescent="0.25">
      <c r="A859" s="501" t="s">
        <v>1547</v>
      </c>
      <c r="B859" s="501" t="s">
        <v>1549</v>
      </c>
      <c r="C859" s="502" t="s">
        <v>195</v>
      </c>
      <c r="D859" s="502">
        <v>900</v>
      </c>
      <c r="E859" s="504">
        <v>90</v>
      </c>
      <c r="F859" s="504"/>
      <c r="G859" s="504">
        <v>0</v>
      </c>
      <c r="H859" s="505">
        <f t="shared" si="42"/>
        <v>90</v>
      </c>
      <c r="I859" s="505">
        <v>25</v>
      </c>
      <c r="J859" s="505">
        <f t="shared" si="43"/>
        <v>115</v>
      </c>
      <c r="K859" s="503">
        <f t="shared" si="44"/>
        <v>1.9166666666666667</v>
      </c>
      <c r="L859" s="505" t="s">
        <v>1540</v>
      </c>
    </row>
    <row r="860" spans="1:12" x14ac:dyDescent="0.25">
      <c r="A860" s="501" t="s">
        <v>1547</v>
      </c>
      <c r="B860" s="501" t="s">
        <v>1549</v>
      </c>
      <c r="C860" s="502" t="s">
        <v>195</v>
      </c>
      <c r="D860" s="502">
        <v>1500</v>
      </c>
      <c r="E860" s="504">
        <v>90</v>
      </c>
      <c r="F860" s="504"/>
      <c r="G860" s="504">
        <v>0</v>
      </c>
      <c r="H860" s="505">
        <f t="shared" si="42"/>
        <v>90</v>
      </c>
      <c r="I860" s="505">
        <v>25</v>
      </c>
      <c r="J860" s="505">
        <f t="shared" si="43"/>
        <v>115</v>
      </c>
      <c r="K860" s="503">
        <f t="shared" si="44"/>
        <v>1.9166666666666667</v>
      </c>
      <c r="L860" s="505" t="s">
        <v>1540</v>
      </c>
    </row>
  </sheetData>
  <mergeCells count="1">
    <mergeCell ref="A1:L1"/>
  </mergeCells>
  <hyperlinks>
    <hyperlink ref="A1" r:id="rId1" location="'Dashboard'!A1" xr:uid="{01B5A9A4-577C-4FE9-B365-3103652527EF}"/>
    <hyperlink ref="A1:L1" location="Dashboard!A1" display="⬅ Kembali ke Dashboard" xr:uid="{AC258E6D-56C2-4A0F-93C6-96DE7FDDA495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E5A9-BB9E-41FF-AC6C-B92156CEC20D}">
  <sheetPr codeName="Sheet16">
    <tabColor rgb="FF00B0F0"/>
  </sheetPr>
  <dimension ref="A1:I61"/>
  <sheetViews>
    <sheetView zoomScale="55" zoomScaleNormal="55" workbookViewId="0">
      <pane xSplit="2" ySplit="3" topLeftCell="C4" activePane="bottomRight" state="frozen"/>
      <selection pane="topRight" activeCell="C1" sqref="C1"/>
      <selection pane="bottomLeft" activeCell="A4" sqref="A4"/>
      <selection pane="bottomRight" sqref="A1:B1"/>
    </sheetView>
  </sheetViews>
  <sheetFormatPr defaultRowHeight="12.5" outlineLevelRow="1" outlineLevelCol="1" x14ac:dyDescent="0.25"/>
  <cols>
    <col min="3" max="7" width="40.6328125" customWidth="1"/>
    <col min="8" max="9" width="40.6328125" customWidth="1" outlineLevel="1"/>
  </cols>
  <sheetData>
    <row r="1" spans="1:9" s="214" customFormat="1" ht="34.5" customHeight="1" x14ac:dyDescent="0.25">
      <c r="A1" s="628" t="s">
        <v>1713</v>
      </c>
      <c r="B1" s="628"/>
      <c r="C1" s="416">
        <v>4</v>
      </c>
      <c r="D1" s="610" t="s">
        <v>985</v>
      </c>
      <c r="E1" s="610"/>
      <c r="F1" s="610">
        <v>2026</v>
      </c>
      <c r="G1" s="610"/>
      <c r="H1" s="610" t="s">
        <v>1181</v>
      </c>
      <c r="I1" s="610"/>
    </row>
    <row r="2" spans="1:9" s="215" customFormat="1" ht="16" thickBot="1" x14ac:dyDescent="0.35">
      <c r="C2" s="217" t="s">
        <v>235</v>
      </c>
      <c r="D2" s="217" t="s">
        <v>236</v>
      </c>
      <c r="E2" s="217" t="s">
        <v>237</v>
      </c>
      <c r="F2" s="217" t="s">
        <v>238</v>
      </c>
      <c r="G2" s="217" t="s">
        <v>239</v>
      </c>
      <c r="H2" s="218" t="s">
        <v>240</v>
      </c>
      <c r="I2" s="218" t="s">
        <v>241</v>
      </c>
    </row>
    <row r="3" spans="1:9" s="81" customFormat="1" ht="24.5" thickTop="1" thickBot="1" x14ac:dyDescent="0.3">
      <c r="C3" s="410" cm="1">
        <f t="array" ref="C3:I3">_xlfn.LET(_xlpm.tgl,_xlfn.SEQUENCE(1,7,(1&amp;D1&amp;F1)-WEEKDAY((1&amp;D1&amp;F1),2)+1+(C1-1)*7),IF(MONTH(_xlpm.tgl)=MONTH(1&amp;D1&amp;F1),_xlpm.tgl,""))</f>
        <v>46223</v>
      </c>
      <c r="D3" s="411">
        <v>46224</v>
      </c>
      <c r="E3" s="411">
        <v>46225</v>
      </c>
      <c r="F3" s="411">
        <v>46226</v>
      </c>
      <c r="G3" s="429">
        <v>46227</v>
      </c>
      <c r="H3" s="424">
        <v>46228</v>
      </c>
      <c r="I3" s="412">
        <v>46229</v>
      </c>
    </row>
    <row r="4" spans="1:9" s="81" customFormat="1" ht="24" thickBot="1" x14ac:dyDescent="0.3">
      <c r="C4" s="413" t="s">
        <v>1177</v>
      </c>
      <c r="D4" s="414" t="s">
        <v>1177</v>
      </c>
      <c r="E4" s="414" t="s">
        <v>1177</v>
      </c>
      <c r="F4" s="414" t="s">
        <v>1177</v>
      </c>
      <c r="G4" s="415" t="s">
        <v>1177</v>
      </c>
      <c r="H4" s="425" t="s">
        <v>1177</v>
      </c>
      <c r="I4" s="415" t="s">
        <v>1177</v>
      </c>
    </row>
    <row r="5" spans="1:9" s="216" customFormat="1" ht="26" customHeight="1" outlineLevel="1" x14ac:dyDescent="0.25">
      <c r="A5" s="611" t="s">
        <v>875</v>
      </c>
      <c r="B5" s="613" t="s">
        <v>877</v>
      </c>
      <c r="C5" s="225" t="str" cm="1">
        <f t="array" ref="C5">IF(C$3="","",IF(_xlfn._xlws.FILTER(Schedule!$U:$U,Schedule!$T:$T=C$3,"")="",_xlfn._xlws.FILTER(Schedule!$C:$C,(Schedule!$B:$B=C$3)*(Schedule!$D:$D=$B5),""),_xlfn._xlws.FILTER(Schedule!$U:$U,Schedule!$T:$T=C$3,"")))</f>
        <v>2.BLASTING &amp; PRIMER - SO 030 (BATCH 2) - 54 NO'S</v>
      </c>
      <c r="D5" s="226" t="str" cm="1">
        <f t="array" ref="D5">IF(D$3="","",IF(_xlfn._xlws.FILTER(Schedule!$U:$U,Schedule!$T:$T=D$3,"")="",_xlfn._xlws.FILTER(Schedule!$C:$C,(Schedule!$B:$B=D$3)*(Schedule!$D:$D=$B5),""),_xlfn._xlws.FILTER(Schedule!$U:$U,Schedule!$T:$T=D$3,"")))</f>
        <v>3.SECOND &amp; TOP COAT - SO 030 (BATCH 2) - 54 NO'S</v>
      </c>
      <c r="E5" s="226" t="str" cm="1">
        <f t="array" ref="E5">IF(E$3="","",IF(_xlfn._xlws.FILTER(Schedule!$U:$U,Schedule!$T:$T=E$3,"")="",_xlfn._xlws.FILTER(Schedule!$C:$C,(Schedule!$B:$B=E$3)*(Schedule!$D:$D=$B5),""),_xlfn._xlws.FILTER(Schedule!$U:$U,Schedule!$T:$T=E$3,"")))</f>
        <v>3.SECOND &amp; TOP COAT - SO 030 (BATCH 2) - 54 NO'S</v>
      </c>
      <c r="F5" s="226" t="str" cm="1">
        <f t="array" ref="F5:F6">IF(F$3="","",IF(_xlfn._xlws.FILTER(Schedule!$U:$U,Schedule!$T:$T=F$3,"")="",_xlfn._xlws.FILTER(Schedule!$C:$C,(Schedule!$B:$B=F$3)*(Schedule!$D:$D=$B5),""),_xlfn._xlws.FILTER(Schedule!$U:$U,Schedule!$T:$T=F$3,"")))</f>
        <v>2.BLASTING &amp; PRIMER - SO 002 - 4 NO'S (2 valve 8")</v>
      </c>
      <c r="G5" s="430" t="str" cm="1">
        <f t="array" ref="G5:G8">IF(G$3="","",IF(_xlfn._xlws.FILTER(Schedule!$U:$U,Schedule!$T:$T=G$3,"")="",_xlfn._xlws.FILTER(Schedule!$C:$C,(Schedule!$B:$B=G$3)*(Schedule!$D:$D=$B5),""),_xlfn._xlws.FILTER(Schedule!$U:$U,Schedule!$T:$T=G$3,"")))</f>
        <v>2.BLASTING &amp; PRIMER - SO 002 - 4 NO'S (Balance 2 valve)</v>
      </c>
      <c r="H5" s="426" t="str" cm="1">
        <f t="array" ref="H5:H6">IF(H$3="","",IF(_xlfn._xlws.FILTER(Schedule!$U:$U,Schedule!$T:$T=H$3,"")="",_xlfn._xlws.FILTER(Schedule!$C:$C,(Schedule!$B:$B=H$3)*(Schedule!$D:$D=$B5),""),_xlfn._xlws.FILTER(Schedule!$U:$U,Schedule!$T:$T=H$3,"")))</f>
        <v>1.HYDRO - SO 012 - 8 NO'S</v>
      </c>
      <c r="I5" s="237" t="str" cm="1">
        <f t="array" ref="I5">IF(I$3="","",IF(_xlfn._xlws.FILTER(Schedule!$U:$U,Schedule!$T:$T=I$3,"")="",_xlfn._xlws.FILTER(Schedule!$C:$C,(Schedule!$B:$B=I$3)*(Schedule!$D:$D=$B5),""),_xlfn._xlws.FILTER(Schedule!$U:$U,Schedule!$T:$T=I$3,"")))</f>
        <v/>
      </c>
    </row>
    <row r="6" spans="1:9" s="216" customFormat="1" ht="26" customHeight="1" outlineLevel="1" x14ac:dyDescent="0.25">
      <c r="A6" s="612"/>
      <c r="B6" s="614"/>
      <c r="C6" s="223"/>
      <c r="D6" s="224"/>
      <c r="E6" s="224"/>
      <c r="F6" s="224" t="str">
        <v>3.SECOND &amp; TOP COAT - SO 030 (BATCH 2) - 54 NO'S</v>
      </c>
      <c r="G6" s="431" t="str">
        <v>2.BLASTING &amp; PRIMER - SO 005 - 2 NO'S</v>
      </c>
      <c r="H6" s="427" t="str">
        <v>1.HYDRO - SO 013 - 7 NO'S</v>
      </c>
      <c r="I6" s="236"/>
    </row>
    <row r="7" spans="1:9" s="216" customFormat="1" ht="26" customHeight="1" outlineLevel="1" x14ac:dyDescent="0.25">
      <c r="A7" s="612"/>
      <c r="B7" s="614"/>
      <c r="C7" s="223"/>
      <c r="D7" s="224"/>
      <c r="E7" s="224"/>
      <c r="F7" s="224"/>
      <c r="G7" s="431" t="str">
        <v>3.SECOND &amp; TOP COAT - SO 002 - 4 NO'S (2 valve 8")</v>
      </c>
      <c r="H7" s="427"/>
      <c r="I7" s="236"/>
    </row>
    <row r="8" spans="1:9" s="216" customFormat="1" ht="26" customHeight="1" outlineLevel="1" x14ac:dyDescent="0.25">
      <c r="A8" s="612"/>
      <c r="B8" s="614"/>
      <c r="C8" s="223"/>
      <c r="D8" s="224"/>
      <c r="E8" s="224"/>
      <c r="F8" s="224"/>
      <c r="G8" s="431" t="str">
        <v>3.SECOND &amp; TOP COAT - SO 030 (BATCH 2) - 54 NO'S</v>
      </c>
      <c r="H8" s="427"/>
      <c r="I8" s="236"/>
    </row>
    <row r="9" spans="1:9" s="216" customFormat="1" ht="26" customHeight="1" outlineLevel="1" thickBot="1" x14ac:dyDescent="0.3">
      <c r="A9" s="612"/>
      <c r="B9" s="615"/>
      <c r="C9" s="227"/>
      <c r="D9" s="228"/>
      <c r="E9" s="228"/>
      <c r="F9" s="228"/>
      <c r="G9" s="432"/>
      <c r="H9" s="428"/>
      <c r="I9" s="235"/>
    </row>
    <row r="10" spans="1:9" s="216" customFormat="1" ht="26" customHeight="1" outlineLevel="1" x14ac:dyDescent="0.25">
      <c r="A10" s="612"/>
      <c r="B10" s="614" t="s">
        <v>878</v>
      </c>
      <c r="C10" s="225" t="str" cm="1">
        <f t="array" ref="C10">IF(C$3="","",IF(_xlfn._xlws.FILTER(Schedule!$U:$U,Schedule!$T:$T=C$3,"")="",_xlfn._xlws.FILTER(Schedule!$C:$C,(Schedule!$B:$B=C$3)*(Schedule!$D:$D=$B10),""),_xlfn._xlws.FILTER(Schedule!$U:$U,Schedule!$T:$T=C$3,"")))</f>
        <v/>
      </c>
      <c r="D10" s="226" t="str" cm="1">
        <f t="array" ref="D10">IF(D$3="","",IF(_xlfn._xlws.FILTER(Schedule!$U:$U,Schedule!$T:$T=D$3,"")="",_xlfn._xlws.FILTER(Schedule!$C:$C,(Schedule!$B:$B=D$3)*(Schedule!$D:$D=$B10),""),_xlfn._xlws.FILTER(Schedule!$U:$U,Schedule!$T:$T=D$3,"")))</f>
        <v>3.SECOND &amp; TOP COAT - SO 030 (BATCH 2) - 54 NO'S</v>
      </c>
      <c r="E10" s="226" t="str" cm="1">
        <f t="array" ref="E10:E12">IF(E$3="","",IF(_xlfn._xlws.FILTER(Schedule!$U:$U,Schedule!$T:$T=E$3,"")="",_xlfn._xlws.FILTER(Schedule!$C:$C,(Schedule!$B:$B=E$3)*(Schedule!$D:$D=$B10),""),_xlfn._xlws.FILTER(Schedule!$U:$U,Schedule!$T:$T=E$3,"")))</f>
        <v>1.HYDRO - SO 002 - 4 NO'S (2 valve 8")</v>
      </c>
      <c r="F10" s="226" t="str" cm="1">
        <f t="array" ref="F10:F12">IF(F$3="","",IF(_xlfn._xlws.FILTER(Schedule!$U:$U,Schedule!$T:$T=F$3,"")="",_xlfn._xlws.FILTER(Schedule!$C:$C,(Schedule!$B:$B=F$3)*(Schedule!$D:$D=$B10),""),_xlfn._xlws.FILTER(Schedule!$U:$U,Schedule!$T:$T=F$3,"")))</f>
        <v>1.HYDRO - SO 005 - 2 NO'S</v>
      </c>
      <c r="G10" s="430" t="str" cm="1">
        <f t="array" ref="G10:G14">IF(G$3="","",IF(_xlfn._xlws.FILTER(Schedule!$U:$U,Schedule!$T:$T=G$3,"")="",_xlfn._xlws.FILTER(Schedule!$C:$C,(Schedule!$B:$B=G$3)*(Schedule!$D:$D=$B10),""),_xlfn._xlws.FILTER(Schedule!$U:$U,Schedule!$T:$T=G$3,"")))</f>
        <v>1.HYDRO - SO 010 - 11 NO'S</v>
      </c>
      <c r="H10" s="426" t="str" cm="1">
        <f t="array" ref="H10:H11">IF(H$3="","",IF(_xlfn._xlws.FILTER(Schedule!$U:$U,Schedule!$T:$T=H$3,"")="",_xlfn._xlws.FILTER(Schedule!$C:$C,(Schedule!$B:$B=H$3)*(Schedule!$D:$D=$B10),""),_xlfn._xlws.FILTER(Schedule!$U:$U,Schedule!$T:$T=H$3,"")))</f>
        <v>1.HYDRO - SO 010 - 11 NO'S</v>
      </c>
      <c r="I10" s="237" t="str" cm="1">
        <f t="array" ref="I10">IF(I$3="","",IF(_xlfn._xlws.FILTER(Schedule!$U:$U,Schedule!$T:$T=I$3,"")="",_xlfn._xlws.FILTER(Schedule!$C:$C,(Schedule!$B:$B=I$3)*(Schedule!$D:$D=$B10),""),_xlfn._xlws.FILTER(Schedule!$U:$U,Schedule!$T:$T=I$3,"")))</f>
        <v/>
      </c>
    </row>
    <row r="11" spans="1:9" s="216" customFormat="1" ht="26" customHeight="1" outlineLevel="1" x14ac:dyDescent="0.25">
      <c r="A11" s="612"/>
      <c r="B11" s="614"/>
      <c r="C11" s="223"/>
      <c r="D11" s="224"/>
      <c r="E11" s="224" t="str">
        <v>1.HYDRO - SO 002 - 4 NO'S (Balance 2 valve)</v>
      </c>
      <c r="F11" s="224" t="str">
        <v>2.BLASTING &amp; PRIMER - SO 002 - 4 NO'S (2 valve 8")</v>
      </c>
      <c r="G11" s="431" t="str">
        <v>1.HYDRO - SO 012 - 8 NO'S</v>
      </c>
      <c r="H11" s="427" t="str">
        <v>1.HYDRO - SO 013 - 7 NO'S</v>
      </c>
      <c r="I11" s="236"/>
    </row>
    <row r="12" spans="1:9" s="216" customFormat="1" ht="26" customHeight="1" outlineLevel="1" x14ac:dyDescent="0.25">
      <c r="A12" s="612"/>
      <c r="B12" s="614"/>
      <c r="C12" s="223"/>
      <c r="D12" s="224"/>
      <c r="E12" s="224" t="str">
        <v>3.SECOND &amp; TOP COAT - SO 030 (BATCH 2) - 54 NO'S</v>
      </c>
      <c r="F12" s="224" t="str">
        <v>3.SECOND &amp; TOP COAT - SO 030 (BATCH 2) - 54 NO'S</v>
      </c>
      <c r="G12" s="431" t="str">
        <v>2.BLASTING &amp; PRIMER - SO 002 - 4 NO'S (Balance 2 valve)</v>
      </c>
      <c r="H12" s="427"/>
      <c r="I12" s="236"/>
    </row>
    <row r="13" spans="1:9" s="216" customFormat="1" ht="26" customHeight="1" outlineLevel="1" x14ac:dyDescent="0.25">
      <c r="A13" s="612"/>
      <c r="B13" s="614"/>
      <c r="C13" s="223"/>
      <c r="D13" s="224"/>
      <c r="E13" s="224"/>
      <c r="F13" s="224"/>
      <c r="G13" s="431" t="str">
        <v>3.SECOND &amp; TOP COAT - SO 002 - 4 NO'S (2 valve 8")</v>
      </c>
      <c r="H13" s="427"/>
      <c r="I13" s="236"/>
    </row>
    <row r="14" spans="1:9" s="216" customFormat="1" ht="26" customHeight="1" outlineLevel="1" x14ac:dyDescent="0.25">
      <c r="A14" s="612"/>
      <c r="B14" s="614"/>
      <c r="C14" s="223"/>
      <c r="D14" s="224"/>
      <c r="E14" s="224"/>
      <c r="F14" s="224"/>
      <c r="G14" s="431" t="str">
        <v>3.SECOND &amp; TOP COAT - SO 030 (BATCH 2) - 54 NO'S</v>
      </c>
      <c r="H14" s="427"/>
      <c r="I14" s="236"/>
    </row>
    <row r="15" spans="1:9" s="216" customFormat="1" ht="26" customHeight="1" outlineLevel="1" thickBot="1" x14ac:dyDescent="0.3">
      <c r="A15" s="612"/>
      <c r="B15" s="615"/>
      <c r="C15" s="223"/>
      <c r="D15" s="224"/>
      <c r="E15" s="224"/>
      <c r="F15" s="224"/>
      <c r="G15" s="431"/>
      <c r="H15" s="427"/>
      <c r="I15" s="236"/>
    </row>
    <row r="16" spans="1:9" s="216" customFormat="1" ht="26" customHeight="1" outlineLevel="1" x14ac:dyDescent="0.25">
      <c r="A16" s="616" t="s">
        <v>874</v>
      </c>
      <c r="B16" s="617"/>
      <c r="C16" s="225" t="str" cm="1">
        <f t="array" ref="C16">IF(C$3="","",_xlfn._xlws.FILTER(Schedule!$G:$G,Schedule!$F:$F=C$3,""))</f>
        <v/>
      </c>
      <c r="D16" s="226" t="str" cm="1">
        <f t="array" ref="D16">IF(D$3="","",_xlfn._xlws.FILTER(Schedule!$G:$G,Schedule!$F:$F=D$3,""))</f>
        <v>1.HYDRO INSPECTION - SO 030 (BATCH 2) - 54 NO'S</v>
      </c>
      <c r="E16" s="226" t="str" cm="1">
        <f t="array" ref="E16">IF(E$3="","",_xlfn._xlws.FILTER(Schedule!$G:$G,Schedule!$F:$F=E$3,""))</f>
        <v>1.HYDRO INSPECTION - SO 030 (BATCH 2) - 54 NO'S</v>
      </c>
      <c r="F16" s="226" t="str" cm="1">
        <f t="array" ref="F16">IF(F$3="","",_xlfn._xlws.FILTER(Schedule!$G:$G,Schedule!$F:$F=F$3,""))</f>
        <v>1.HYDRO INSPECTION - SO 030 (BATCH 2) - 54 NO'S</v>
      </c>
      <c r="G16" s="430" t="str" cm="1">
        <f t="array" ref="G16">IF(G$3="","",_xlfn._xlws.FILTER(Schedule!$G:$G,Schedule!$F:$F=G$3,""))</f>
        <v>1.HYDRO INSPECTION - SO 030 (BATCH 2) - 54 NO'S</v>
      </c>
      <c r="H16" s="426" t="str" cm="1">
        <f t="array" ref="H16">IF(H$3="","",_xlfn._xlws.FILTER(Schedule!$G:$G,Schedule!$F:$F=H$3,""))</f>
        <v/>
      </c>
      <c r="I16" s="237" t="str" cm="1">
        <f t="array" ref="I16">IF(I$3="","",_xlfn._xlws.FILTER(Schedule!$G:$G,Schedule!$F:$F=I$3,""))</f>
        <v/>
      </c>
    </row>
    <row r="17" spans="1:9" s="216" customFormat="1" ht="26" customHeight="1" outlineLevel="1" x14ac:dyDescent="0.25">
      <c r="A17" s="618"/>
      <c r="B17" s="619"/>
      <c r="C17" s="223"/>
      <c r="D17" s="224"/>
      <c r="E17" s="224"/>
      <c r="F17" s="224"/>
      <c r="G17" s="431"/>
      <c r="H17" s="427"/>
      <c r="I17" s="236"/>
    </row>
    <row r="18" spans="1:9" s="216" customFormat="1" ht="26" customHeight="1" outlineLevel="1" thickBot="1" x14ac:dyDescent="0.3">
      <c r="A18" s="620"/>
      <c r="B18" s="621"/>
      <c r="C18" s="227"/>
      <c r="D18" s="228"/>
      <c r="E18" s="228"/>
      <c r="F18" s="228"/>
      <c r="G18" s="432"/>
      <c r="H18" s="428"/>
      <c r="I18" s="235"/>
    </row>
    <row r="19" spans="1:9" s="81" customFormat="1" ht="19" thickBot="1" x14ac:dyDescent="0.3">
      <c r="C19" s="434" t="s">
        <v>1178</v>
      </c>
      <c r="D19" s="435" t="s">
        <v>1178</v>
      </c>
      <c r="E19" s="435" t="s">
        <v>1178</v>
      </c>
      <c r="F19" s="435" t="s">
        <v>1178</v>
      </c>
      <c r="G19" s="436" t="s">
        <v>1178</v>
      </c>
      <c r="H19" s="437" t="s">
        <v>1178</v>
      </c>
      <c r="I19" s="436" t="s">
        <v>1178</v>
      </c>
    </row>
    <row r="20" spans="1:9" s="216" customFormat="1" ht="26" customHeight="1" x14ac:dyDescent="0.25">
      <c r="A20" s="629" t="s">
        <v>946</v>
      </c>
      <c r="B20" s="613" t="s">
        <v>877</v>
      </c>
      <c r="C20" s="225" t="str" cm="1">
        <f t="array" ref="C20">IF(C$3="","",_xlfn._xlws.FILTER(Schedule!$L:$L,(Schedule!$I:$I=C$3)*(Schedule!$J:$J=$B20)*(Schedule!$R:$R=$A20),""))</f>
        <v/>
      </c>
      <c r="D20" s="226" t="str" cm="1">
        <f t="array" ref="D20">IF(D$3="","",_xlfn._xlws.FILTER(Schedule!$L:$L,(Schedule!$I:$I=D$3)*(Schedule!$J:$J=$B20)*(Schedule!$R:$R=$A20),""))</f>
        <v/>
      </c>
      <c r="E20" s="226" t="str" cm="1">
        <f t="array" ref="E20">IF(E$3="","",_xlfn._xlws.FILTER(Schedule!$L:$L,(Schedule!$I:$I=E$3)*(Schedule!$J:$J=$B20)*(Schedule!$R:$R=$A20),""))</f>
        <v/>
      </c>
      <c r="F20" s="226" t="str" cm="1">
        <f t="array" ref="F20">IF(F$3="","",_xlfn._xlws.FILTER(Schedule!$L:$L,(Schedule!$I:$I=F$3)*(Schedule!$J:$J=$B20)*(Schedule!$R:$R=$A20),""))</f>
        <v/>
      </c>
      <c r="G20" s="430" t="str" cm="1">
        <f t="array" ref="G20">IF(G$3="","",_xlfn._xlws.FILTER(Schedule!$L:$L,(Schedule!$I:$I=G$3)*(Schedule!$J:$J=$B20)*(Schedule!$R:$R=$A20),""))</f>
        <v/>
      </c>
      <c r="H20" s="443" t="str" cm="1">
        <f t="array" ref="H20">IF(H$3="","",_xlfn._xlws.FILTER(Schedule!$L:$L,(Schedule!$I:$I=H$3)*(Schedule!$J:$J=$B20)*(Schedule!$R:$R=$A20),""))</f>
        <v/>
      </c>
      <c r="I20" s="444" t="str" cm="1">
        <f t="array" ref="I20">IF(I$3="","",_xlfn._xlws.FILTER(Schedule!$L:$L,(Schedule!$I:$I=I$3)*(Schedule!$J:$J=$B20)*(Schedule!$R:$R=$A20),""))</f>
        <v/>
      </c>
    </row>
    <row r="21" spans="1:9" s="216" customFormat="1" ht="26" customHeight="1" outlineLevel="1" x14ac:dyDescent="0.25">
      <c r="A21" s="630"/>
      <c r="B21" s="614"/>
      <c r="C21" s="223"/>
      <c r="D21" s="224"/>
      <c r="E21" s="224"/>
      <c r="F21" s="224"/>
      <c r="G21" s="431"/>
      <c r="H21" s="447"/>
      <c r="I21" s="448"/>
    </row>
    <row r="22" spans="1:9" s="216" customFormat="1" ht="26" customHeight="1" outlineLevel="1" thickBot="1" x14ac:dyDescent="0.3">
      <c r="A22" s="630"/>
      <c r="B22" s="615"/>
      <c r="C22" s="227"/>
      <c r="D22" s="228"/>
      <c r="E22" s="228"/>
      <c r="F22" s="228"/>
      <c r="G22" s="432"/>
      <c r="H22" s="445"/>
      <c r="I22" s="446"/>
    </row>
    <row r="23" spans="1:9" s="216" customFormat="1" ht="26" customHeight="1" outlineLevel="1" x14ac:dyDescent="0.25">
      <c r="A23" s="630"/>
      <c r="B23" s="614" t="s">
        <v>878</v>
      </c>
      <c r="C23" s="225" t="str" cm="1">
        <f t="array" ref="C23">IF(C$3="","",_xlfn._xlws.FILTER(Schedule!$L:$L,(Schedule!$I:$I=C$3)*(Schedule!$J:$J=$B23)*(Schedule!$R:$R=$A20),""))</f>
        <v/>
      </c>
      <c r="D23" s="226" t="str" cm="1">
        <f t="array" ref="D23">IF(D$3="","",_xlfn._xlws.FILTER(Schedule!$L:$L,(Schedule!$I:$I=D$3)*(Schedule!$J:$J=$B23)*(Schedule!$R:$R=$A20),""))</f>
        <v/>
      </c>
      <c r="E23" s="226" t="str" cm="1">
        <f t="array" ref="E23">IF(E$3="","",_xlfn._xlws.FILTER(Schedule!$L:$L,(Schedule!$I:$I=E$3)*(Schedule!$J:$J=$B23)*(Schedule!$R:$R=$A20),""))</f>
        <v/>
      </c>
      <c r="F23" s="226" t="str" cm="1">
        <f t="array" ref="F23">IF(F$3="","",_xlfn._xlws.FILTER(Schedule!$L:$L,(Schedule!$I:$I=F$3)*(Schedule!$J:$J=$B23)*(Schedule!$R:$R=$A20),""))</f>
        <v/>
      </c>
      <c r="G23" s="430" t="str" cm="1">
        <f t="array" ref="G23">IF(G$3="","",_xlfn._xlws.FILTER(Schedule!$L:$L,(Schedule!$I:$I=G$3)*(Schedule!$J:$J=$B23)*(Schedule!$R:$R=$A20),""))</f>
        <v/>
      </c>
      <c r="H23" s="443" t="str" cm="1">
        <f t="array" ref="H23">IF(H$3="","",_xlfn._xlws.FILTER(Schedule!$L:$L,(Schedule!$I:$I=H$3)*(Schedule!$J:$J=$B23)*(Schedule!$R:$R=$A20),""))</f>
        <v/>
      </c>
      <c r="I23" s="444" t="str" cm="1">
        <f t="array" ref="I23">IF(I$3="","",_xlfn._xlws.FILTER(Schedule!$L:$L,(Schedule!$I:$I=I$3)*(Schedule!$J:$J=$B23)*(Schedule!$R:$R=$A20),""))</f>
        <v/>
      </c>
    </row>
    <row r="24" spans="1:9" s="216" customFormat="1" ht="26" customHeight="1" outlineLevel="1" x14ac:dyDescent="0.25">
      <c r="A24" s="630"/>
      <c r="B24" s="614"/>
      <c r="C24" s="223"/>
      <c r="D24" s="224"/>
      <c r="E24" s="224"/>
      <c r="F24" s="224"/>
      <c r="G24" s="431"/>
      <c r="H24" s="447"/>
      <c r="I24" s="448"/>
    </row>
    <row r="25" spans="1:9" s="216" customFormat="1" ht="26" customHeight="1" outlineLevel="1" x14ac:dyDescent="0.25">
      <c r="A25" s="630"/>
      <c r="B25" s="614"/>
      <c r="C25" s="223"/>
      <c r="D25" s="224"/>
      <c r="E25" s="224"/>
      <c r="F25" s="224"/>
      <c r="G25" s="431"/>
      <c r="H25" s="447"/>
      <c r="I25" s="448"/>
    </row>
    <row r="26" spans="1:9" s="216" customFormat="1" ht="25.5" customHeight="1" outlineLevel="1" x14ac:dyDescent="0.25">
      <c r="A26" s="630"/>
      <c r="B26" s="614"/>
      <c r="C26" s="223"/>
      <c r="D26" s="224"/>
      <c r="E26" s="224"/>
      <c r="F26" s="224"/>
      <c r="G26" s="431"/>
      <c r="H26" s="447"/>
      <c r="I26" s="448"/>
    </row>
    <row r="27" spans="1:9" s="216" customFormat="1" ht="26" customHeight="1" outlineLevel="1" thickBot="1" x14ac:dyDescent="0.3">
      <c r="A27" s="631"/>
      <c r="B27" s="615"/>
      <c r="C27" s="227"/>
      <c r="D27" s="228"/>
      <c r="E27" s="228"/>
      <c r="F27" s="228"/>
      <c r="G27" s="432"/>
      <c r="H27" s="445"/>
      <c r="I27" s="446"/>
    </row>
    <row r="28" spans="1:9" s="216" customFormat="1" ht="26" customHeight="1" thickTop="1" x14ac:dyDescent="0.25">
      <c r="A28" s="607" t="s">
        <v>364</v>
      </c>
      <c r="B28" s="613" t="s">
        <v>877</v>
      </c>
      <c r="C28" s="225" t="str" cm="1">
        <f t="array" ref="C28">IF(C$3="","",_xlfn._xlws.FILTER(Schedule!$L:$L,(Schedule!$I:$I=C$3)*(Schedule!$J:$J=$B28)*(Schedule!$R:$R=$A28),""))</f>
        <v/>
      </c>
      <c r="D28" s="226" t="str" cm="1">
        <f t="array" ref="D28">IF(D$3="","",_xlfn._xlws.FILTER(Schedule!$L:$L,(Schedule!$I:$I=D$3)*(Schedule!$J:$J=$B28)*(Schedule!$R:$R=$A28),""))</f>
        <v/>
      </c>
      <c r="E28" s="226" t="str" cm="1">
        <f t="array" ref="E28">IF(E$3="","",_xlfn._xlws.FILTER(Schedule!$L:$L,(Schedule!$I:$I=E$3)*(Schedule!$J:$J=$B28)*(Schedule!$R:$R=$A28),""))</f>
        <v/>
      </c>
      <c r="F28" s="226" t="str" cm="1">
        <f t="array" ref="F28">IF(F$3="","",_xlfn._xlws.FILTER(Schedule!$L:$L,(Schedule!$I:$I=F$3)*(Schedule!$J:$J=$B28)*(Schedule!$R:$R=$A28),""))</f>
        <v/>
      </c>
      <c r="G28" s="430" t="str" cm="1">
        <f t="array" ref="G28">IF(G$3="","",_xlfn._xlws.FILTER(Schedule!$L:$L,(Schedule!$I:$I=G$3)*(Schedule!$J:$J=$B28)*(Schedule!$R:$R=$A28),""))</f>
        <v/>
      </c>
      <c r="H28" s="443" t="str" cm="1">
        <f t="array" ref="H28">IF(H$3="","",_xlfn._xlws.FILTER(Schedule!$L:$L,(Schedule!$I:$I=H$3)*(Schedule!$J:$J=$B28)*(Schedule!$R:$R=$A28),""))</f>
        <v/>
      </c>
      <c r="I28" s="444" t="str" cm="1">
        <f t="array" ref="I28">IF(I$3="","",_xlfn._xlws.FILTER(Schedule!$L:$L,(Schedule!$I:$I=I$3)*(Schedule!$J:$J=$B28)*(Schedule!$R:$R=$A28),""))</f>
        <v/>
      </c>
    </row>
    <row r="29" spans="1:9" s="216" customFormat="1" ht="26" customHeight="1" outlineLevel="1" x14ac:dyDescent="0.25">
      <c r="A29" s="608"/>
      <c r="B29" s="614"/>
      <c r="C29" s="223"/>
      <c r="D29" s="224"/>
      <c r="E29" s="224"/>
      <c r="F29" s="224"/>
      <c r="G29" s="431"/>
      <c r="H29" s="447"/>
      <c r="I29" s="448"/>
    </row>
    <row r="30" spans="1:9" s="216" customFormat="1" ht="26" customHeight="1" outlineLevel="1" thickBot="1" x14ac:dyDescent="0.3">
      <c r="A30" s="608"/>
      <c r="B30" s="615"/>
      <c r="C30" s="423"/>
      <c r="D30" s="228"/>
      <c r="E30" s="228"/>
      <c r="F30" s="228"/>
      <c r="G30" s="432"/>
      <c r="H30" s="445"/>
      <c r="I30" s="446"/>
    </row>
    <row r="31" spans="1:9" s="216" customFormat="1" ht="26" customHeight="1" outlineLevel="1" x14ac:dyDescent="0.25">
      <c r="A31" s="608"/>
      <c r="B31" s="614" t="s">
        <v>878</v>
      </c>
      <c r="C31" s="225" t="str" cm="1">
        <f t="array" ref="C31">IF(C$3="","",_xlfn._xlws.FILTER(Schedule!$L:$L,(Schedule!$I:$I=C$3)*(Schedule!$J:$J=$B31)*(Schedule!$R:$R=$A28),""))</f>
        <v/>
      </c>
      <c r="D31" s="226" t="str" cm="1">
        <f t="array" ref="D31">IF(D$3="","",_xlfn._xlws.FILTER(Schedule!$L:$L,(Schedule!$I:$I=D$3)*(Schedule!$J:$J=$B31)*(Schedule!$R:$R=$A28),""))</f>
        <v/>
      </c>
      <c r="E31" s="226" t="str" cm="1">
        <f t="array" ref="E31">IF(E$3="","",_xlfn._xlws.FILTER(Schedule!$L:$L,(Schedule!$I:$I=E$3)*(Schedule!$J:$J=$B31)*(Schedule!$R:$R=$A28),""))</f>
        <v/>
      </c>
      <c r="F31" s="226" t="str" cm="1">
        <f t="array" ref="F31">IF(F$3="","",_xlfn._xlws.FILTER(Schedule!$L:$L,(Schedule!$I:$I=F$3)*(Schedule!$J:$J=$B31)*(Schedule!$R:$R=$A28),""))</f>
        <v/>
      </c>
      <c r="G31" s="430" t="str" cm="1">
        <f t="array" ref="G31">IF(G$3="","",_xlfn._xlws.FILTER(Schedule!$L:$L,(Schedule!$I:$I=G$3)*(Schedule!$J:$J=$B31)*(Schedule!$R:$R=$A28),""))</f>
        <v/>
      </c>
      <c r="H31" s="443" t="str" cm="1">
        <f t="array" ref="H31">IF(H$3="","",_xlfn._xlws.FILTER(Schedule!$L:$L,(Schedule!$I:$I=H$3)*(Schedule!$J:$J=$B31)*(Schedule!$R:$R=$A28),""))</f>
        <v/>
      </c>
      <c r="I31" s="444" t="str" cm="1">
        <f t="array" ref="I31">IF(I$3="","",_xlfn._xlws.FILTER(Schedule!$L:$L,(Schedule!$I:$I=I$3)*(Schedule!$J:$J=$B31)*(Schedule!$R:$R=$A28),""))</f>
        <v/>
      </c>
    </row>
    <row r="32" spans="1:9" s="216" customFormat="1" ht="26" customHeight="1" outlineLevel="1" x14ac:dyDescent="0.25">
      <c r="A32" s="608"/>
      <c r="B32" s="614"/>
      <c r="C32" s="223"/>
      <c r="D32" s="224"/>
      <c r="E32" s="224"/>
      <c r="F32" s="224"/>
      <c r="G32" s="431"/>
      <c r="H32" s="447"/>
      <c r="I32" s="448"/>
    </row>
    <row r="33" spans="1:9" s="216" customFormat="1" ht="26" customHeight="1" outlineLevel="1" x14ac:dyDescent="0.25">
      <c r="A33" s="608"/>
      <c r="B33" s="614"/>
      <c r="C33" s="223"/>
      <c r="D33" s="224"/>
      <c r="E33" s="224"/>
      <c r="F33" s="224"/>
      <c r="G33" s="431"/>
      <c r="H33" s="447"/>
      <c r="I33" s="448"/>
    </row>
    <row r="34" spans="1:9" s="216" customFormat="1" ht="26" customHeight="1" outlineLevel="1" thickBot="1" x14ac:dyDescent="0.3">
      <c r="A34" s="609"/>
      <c r="B34" s="615"/>
      <c r="C34" s="223"/>
      <c r="D34" s="224"/>
      <c r="E34" s="224"/>
      <c r="F34" s="224"/>
      <c r="G34" s="431"/>
      <c r="H34" s="447"/>
      <c r="I34" s="448"/>
    </row>
    <row r="35" spans="1:9" s="216" customFormat="1" ht="26" customHeight="1" thickTop="1" x14ac:dyDescent="0.25">
      <c r="A35" s="607" t="s">
        <v>386</v>
      </c>
      <c r="B35" s="613" t="s">
        <v>877</v>
      </c>
      <c r="C35" s="225" t="str" cm="1">
        <f t="array" ref="C35">IF(C$3="","",_xlfn._xlws.FILTER(Schedule!$L:$L,(Schedule!$I:$I=C$3)*(Schedule!$J:$J=$B35)*(Schedule!$R:$R=$A35),""))</f>
        <v/>
      </c>
      <c r="D35" s="226" t="str" cm="1">
        <f t="array" ref="D35">IF(D$3="","",_xlfn._xlws.FILTER(Schedule!$L:$L,(Schedule!$I:$I=D$3)*(Schedule!$J:$J=$B35)*(Schedule!$R:$R=$A35),""))</f>
        <v/>
      </c>
      <c r="E35" s="226" t="str" cm="1">
        <f t="array" ref="E35">IF(E$3="","",_xlfn._xlws.FILTER(Schedule!$L:$L,(Schedule!$I:$I=E$3)*(Schedule!$J:$J=$B35)*(Schedule!$R:$R=$A35),""))</f>
        <v/>
      </c>
      <c r="F35" s="226" t="str" cm="1">
        <f t="array" ref="F35">IF(F$3="","",_xlfn._xlws.FILTER(Schedule!$L:$L,(Schedule!$I:$I=F$3)*(Schedule!$J:$J=$B35)*(Schedule!$R:$R=$A35),""))</f>
        <v/>
      </c>
      <c r="G35" s="430" t="str" cm="1">
        <f t="array" ref="G35">IF(G$3="","",_xlfn._xlws.FILTER(Schedule!$L:$L,(Schedule!$I:$I=G$3)*(Schedule!$J:$J=$B35)*(Schedule!$R:$R=$A35),""))</f>
        <v/>
      </c>
      <c r="H35" s="443" t="str" cm="1">
        <f t="array" ref="H35">IF(H$3="","",_xlfn._xlws.FILTER(Schedule!$L:$L,(Schedule!$I:$I=H$3)*(Schedule!$J:$J=$B35)*(Schedule!$R:$R=$A35),""))</f>
        <v/>
      </c>
      <c r="I35" s="444" t="str" cm="1">
        <f t="array" ref="I35">IF(I$3="","",_xlfn._xlws.FILTER(Schedule!$L:$L,(Schedule!$I:$I=I$3)*(Schedule!$J:$J=$B35)*(Schedule!$R:$R=$A35),""))</f>
        <v/>
      </c>
    </row>
    <row r="36" spans="1:9" s="216" customFormat="1" ht="26" customHeight="1" outlineLevel="1" thickBot="1" x14ac:dyDescent="0.3">
      <c r="A36" s="608"/>
      <c r="B36" s="615"/>
      <c r="C36" s="227"/>
      <c r="D36" s="228"/>
      <c r="E36" s="228"/>
      <c r="F36" s="228"/>
      <c r="G36" s="432"/>
      <c r="H36" s="445"/>
      <c r="I36" s="446"/>
    </row>
    <row r="37" spans="1:9" s="216" customFormat="1" ht="26" customHeight="1" outlineLevel="1" x14ac:dyDescent="0.25">
      <c r="A37" s="608"/>
      <c r="B37" s="614" t="s">
        <v>878</v>
      </c>
      <c r="C37" s="225" t="str" cm="1">
        <f t="array" ref="C37">IF(C$3="","",_xlfn._xlws.FILTER(Schedule!$L:$L,(Schedule!$I:$I=C$3)*(Schedule!$J:$J=$B37)*(Schedule!$R:$R=$A35),""))</f>
        <v/>
      </c>
      <c r="D37" s="226" t="str" cm="1">
        <f t="array" ref="D37">IF(D$3="","",_xlfn._xlws.FILTER(Schedule!$L:$L,(Schedule!$I:$I=D$3)*(Schedule!$J:$J=$B37)*(Schedule!$R:$R=$A35),""))</f>
        <v/>
      </c>
      <c r="E37" s="226" t="str" cm="1">
        <f t="array" ref="E37">IF(E$3="","",_xlfn._xlws.FILTER(Schedule!$L:$L,(Schedule!$I:$I=E$3)*(Schedule!$J:$J=$B37)*(Schedule!$R:$R=$A35),""))</f>
        <v/>
      </c>
      <c r="F37" s="226" t="str" cm="1">
        <f t="array" ref="F37">IF(F$3="","",_xlfn._xlws.FILTER(Schedule!$L:$L,(Schedule!$I:$I=F$3)*(Schedule!$J:$J=$B37)*(Schedule!$R:$R=$A35),""))</f>
        <v/>
      </c>
      <c r="G37" s="430" t="str" cm="1">
        <f t="array" ref="G37">IF(G$3="","",_xlfn._xlws.FILTER(Schedule!$L:$L,(Schedule!$I:$I=G$3)*(Schedule!$J:$J=$B37)*(Schedule!$R:$R=$A35),""))</f>
        <v/>
      </c>
      <c r="H37" s="443" t="str" cm="1">
        <f t="array" ref="H37">IF(H$3="","",_xlfn._xlws.FILTER(Schedule!$L:$L,(Schedule!$I:$I=H$3)*(Schedule!$J:$J=$B37)*(Schedule!$R:$R=$A35),""))</f>
        <v/>
      </c>
      <c r="I37" s="444" t="str" cm="1">
        <f t="array" ref="I37">IF(I$3="","",_xlfn._xlws.FILTER(Schedule!$L:$L,(Schedule!$I:$I=I$3)*(Schedule!$J:$J=$B37)*(Schedule!$R:$R=$A35),""))</f>
        <v/>
      </c>
    </row>
    <row r="38" spans="1:9" s="216" customFormat="1" ht="26" customHeight="1" outlineLevel="1" thickBot="1" x14ac:dyDescent="0.3">
      <c r="A38" s="609"/>
      <c r="B38" s="615"/>
      <c r="C38" s="227"/>
      <c r="D38" s="228"/>
      <c r="E38" s="228"/>
      <c r="F38" s="228"/>
      <c r="G38" s="432"/>
      <c r="H38" s="445"/>
      <c r="I38" s="446"/>
    </row>
    <row r="39" spans="1:9" ht="26" customHeight="1" thickTop="1" x14ac:dyDescent="0.25">
      <c r="A39" s="622" t="s">
        <v>1182</v>
      </c>
      <c r="B39" s="613" t="s">
        <v>877</v>
      </c>
      <c r="C39" s="225" t="str" cm="1">
        <f t="array" ref="C39">IF(C$3="","",_xlfn._xlws.FILTER(Schedule!$L:$L,(Schedule!$I:$I=C$3)*(Schedule!$J:$J=$B39)*(Schedule!$R:$R=$A39),""))</f>
        <v/>
      </c>
      <c r="D39" s="226" t="str" cm="1">
        <f t="array" ref="D39">IF(D$3="","",_xlfn._xlws.FILTER(Schedule!$L:$L,(Schedule!$I:$I=D$3)*(Schedule!$J:$J=$B39)*(Schedule!$R:$R=$A39),""))</f>
        <v/>
      </c>
      <c r="E39" s="226" t="str" cm="1">
        <f t="array" ref="E39">IF(E$3="","",_xlfn._xlws.FILTER(Schedule!$L:$L,(Schedule!$I:$I=E$3)*(Schedule!$J:$J=$B39)*(Schedule!$R:$R=$A39),""))</f>
        <v/>
      </c>
      <c r="F39" s="226" t="str" cm="1">
        <f t="array" ref="F39">IF(F$3="","",_xlfn._xlws.FILTER(Schedule!$L:$L,(Schedule!$I:$I=F$3)*(Schedule!$J:$J=$B39)*(Schedule!$R:$R=$A39),""))</f>
        <v/>
      </c>
      <c r="G39" s="430" t="str" cm="1">
        <f t="array" ref="G39">IF(G$3="","",_xlfn._xlws.FILTER(Schedule!$L:$L,(Schedule!$I:$I=G$3)*(Schedule!$J:$J=$B39)*(Schedule!$R:$R=$A39),""))</f>
        <v/>
      </c>
      <c r="H39" s="443" t="str" cm="1">
        <f t="array" ref="H39">IF(H$3="","",_xlfn._xlws.FILTER(Schedule!$L:$L,(Schedule!$I:$I=H$3)*(Schedule!$J:$J=$B39)*(Schedule!$R:$R=$A39),""))</f>
        <v/>
      </c>
      <c r="I39" s="444" t="str" cm="1">
        <f t="array" ref="I39">IF(I$3="","",_xlfn._xlws.FILTER(Schedule!$L:$L,(Schedule!$I:$I=I$3)*(Schedule!$J:$J=$B39)*(Schedule!$R:$R=$A39),""))</f>
        <v/>
      </c>
    </row>
    <row r="40" spans="1:9" ht="26" customHeight="1" outlineLevel="1" x14ac:dyDescent="0.25">
      <c r="A40" s="623"/>
      <c r="B40" s="614"/>
      <c r="C40" s="223"/>
      <c r="D40" s="224"/>
      <c r="E40" s="224"/>
      <c r="F40" s="224"/>
      <c r="G40" s="431"/>
      <c r="H40" s="447"/>
      <c r="I40" s="448"/>
    </row>
    <row r="41" spans="1:9" ht="26" customHeight="1" outlineLevel="1" x14ac:dyDescent="0.25">
      <c r="A41" s="623"/>
      <c r="B41" s="614"/>
      <c r="C41" s="223"/>
      <c r="D41" s="224"/>
      <c r="E41" s="224"/>
      <c r="F41" s="224"/>
      <c r="G41" s="431"/>
      <c r="H41" s="447"/>
      <c r="I41" s="448"/>
    </row>
    <row r="42" spans="1:9" ht="26" customHeight="1" outlineLevel="1" x14ac:dyDescent="0.25">
      <c r="A42" s="623"/>
      <c r="B42" s="614"/>
      <c r="C42" s="223"/>
      <c r="D42" s="224"/>
      <c r="E42" s="224"/>
      <c r="F42" s="224"/>
      <c r="G42" s="431"/>
      <c r="H42" s="447"/>
      <c r="I42" s="448"/>
    </row>
    <row r="43" spans="1:9" ht="26" customHeight="1" outlineLevel="1" x14ac:dyDescent="0.25">
      <c r="A43" s="623"/>
      <c r="B43" s="614"/>
      <c r="C43" s="223"/>
      <c r="D43" s="224"/>
      <c r="E43" s="224"/>
      <c r="F43" s="224"/>
      <c r="G43" s="431"/>
      <c r="H43" s="447"/>
      <c r="I43" s="448"/>
    </row>
    <row r="44" spans="1:9" ht="26" customHeight="1" outlineLevel="1" thickBot="1" x14ac:dyDescent="0.3">
      <c r="A44" s="623"/>
      <c r="B44" s="615"/>
      <c r="C44" s="227"/>
      <c r="D44" s="228"/>
      <c r="E44" s="228"/>
      <c r="F44" s="228"/>
      <c r="G44" s="432"/>
      <c r="H44" s="445"/>
      <c r="I44" s="446"/>
    </row>
    <row r="45" spans="1:9" ht="26" customHeight="1" outlineLevel="1" x14ac:dyDescent="0.25">
      <c r="A45" s="623"/>
      <c r="B45" s="614" t="s">
        <v>878</v>
      </c>
      <c r="C45" s="225" t="str" cm="1">
        <f t="array" ref="C45">IF(C$3="","",_xlfn._xlws.FILTER(Schedule!$L:$L,(Schedule!$I:$I=C$3)*(Schedule!$J:$J=$B45)*(Schedule!$R:$R=$A39),""))</f>
        <v/>
      </c>
      <c r="D45" s="226" t="str" cm="1">
        <f t="array" ref="D45">IF(D$3="","",_xlfn._xlws.FILTER(Schedule!$L:$L,(Schedule!$I:$I=D$3)*(Schedule!$J:$J=$B45)*(Schedule!$R:$R=$A39),""))</f>
        <v/>
      </c>
      <c r="E45" s="226" t="str" cm="1">
        <f t="array" ref="E45">IF(E$3="","",_xlfn._xlws.FILTER(Schedule!$L:$L,(Schedule!$I:$I=E$3)*(Schedule!$J:$J=$B45)*(Schedule!$R:$R=$A39),""))</f>
        <v/>
      </c>
      <c r="F45" s="226" t="str" cm="1">
        <f t="array" ref="F45">IF(F$3="","",_xlfn._xlws.FILTER(Schedule!$L:$L,(Schedule!$I:$I=F$3)*(Schedule!$J:$J=$B45)*(Schedule!$R:$R=$A39),""))</f>
        <v/>
      </c>
      <c r="G45" s="430" t="str" cm="1">
        <f t="array" ref="G45">IF(G$3="","",_xlfn._xlws.FILTER(Schedule!$L:$L,(Schedule!$I:$I=G$3)*(Schedule!$J:$J=$B45)*(Schedule!$R:$R=$A39),""))</f>
        <v/>
      </c>
      <c r="H45" s="443" t="str" cm="1">
        <f t="array" ref="H45">IF(H$3="","",_xlfn._xlws.FILTER(Schedule!$L:$L,(Schedule!$I:$I=H$3)*(Schedule!$J:$J=$B45)*(Schedule!$R:$R=$A39),""))</f>
        <v/>
      </c>
      <c r="I45" s="444" t="str" cm="1">
        <f t="array" ref="I45">IF(I$3="","",_xlfn._xlws.FILTER(Schedule!$L:$L,(Schedule!$I:$I=I$3)*(Schedule!$J:$J=$B45)*(Schedule!$R:$R=$A39),""))</f>
        <v/>
      </c>
    </row>
    <row r="46" spans="1:9" ht="26" customHeight="1" outlineLevel="1" x14ac:dyDescent="0.25">
      <c r="A46" s="623"/>
      <c r="B46" s="614"/>
      <c r="C46" s="223"/>
      <c r="D46" s="224"/>
      <c r="E46" s="224"/>
      <c r="F46" s="224"/>
      <c r="G46" s="431"/>
      <c r="H46" s="447"/>
      <c r="I46" s="448"/>
    </row>
    <row r="47" spans="1:9" ht="26" customHeight="1" outlineLevel="1" x14ac:dyDescent="0.25">
      <c r="A47" s="623"/>
      <c r="B47" s="614"/>
      <c r="C47" s="223"/>
      <c r="D47" s="224"/>
      <c r="E47" s="224"/>
      <c r="F47" s="224"/>
      <c r="G47" s="431"/>
      <c r="H47" s="447"/>
      <c r="I47" s="448"/>
    </row>
    <row r="48" spans="1:9" ht="26" customHeight="1" outlineLevel="1" x14ac:dyDescent="0.25">
      <c r="A48" s="623"/>
      <c r="B48" s="614"/>
      <c r="C48" s="223"/>
      <c r="D48" s="224"/>
      <c r="E48" s="224"/>
      <c r="F48" s="224"/>
      <c r="G48" s="431"/>
      <c r="H48" s="447"/>
      <c r="I48" s="448"/>
    </row>
    <row r="49" spans="1:9" ht="26" customHeight="1" outlineLevel="1" thickBot="1" x14ac:dyDescent="0.3">
      <c r="A49" s="624"/>
      <c r="B49" s="615"/>
      <c r="C49" s="227"/>
      <c r="D49" s="228"/>
      <c r="E49" s="228"/>
      <c r="F49" s="228"/>
      <c r="G49" s="432"/>
      <c r="H49" s="445"/>
      <c r="I49" s="446"/>
    </row>
    <row r="50" spans="1:9" ht="26" customHeight="1" thickTop="1" x14ac:dyDescent="0.25">
      <c r="A50" s="625" t="s">
        <v>1184</v>
      </c>
      <c r="B50" s="613" t="s">
        <v>877</v>
      </c>
      <c r="C50" s="225" t="str" cm="1">
        <f t="array" ref="C50">IF(C$3="","",_xlfn._xlws.FILTER(Schedule!$L:$L,(Schedule!$I:$I=C$3)*(Schedule!$J:$J=$B50)*(Schedule!$R:$R=$A50),""))</f>
        <v/>
      </c>
      <c r="D50" s="226" t="str" cm="1">
        <f t="array" ref="D50">IF(D$3="","",_xlfn._xlws.FILTER(Schedule!$L:$L,(Schedule!$I:$I=D$3)*(Schedule!$J:$J=$B50)*(Schedule!$R:$R=$A50),""))</f>
        <v/>
      </c>
      <c r="E50" s="226" t="str" cm="1">
        <f t="array" ref="E50">IF(E$3="","",_xlfn._xlws.FILTER(Schedule!$L:$L,(Schedule!$I:$I=E$3)*(Schedule!$J:$J=$B50)*(Schedule!$R:$R=$A50),""))</f>
        <v/>
      </c>
      <c r="F50" s="226" t="str" cm="1">
        <f t="array" ref="F50">IF(F$3="","",_xlfn._xlws.FILTER(Schedule!$L:$L,(Schedule!$I:$I=F$3)*(Schedule!$J:$J=$B50)*(Schedule!$R:$R=$A50),""))</f>
        <v/>
      </c>
      <c r="G50" s="430" t="str" cm="1">
        <f t="array" ref="G50">IF(G$3="","",_xlfn._xlws.FILTER(Schedule!$L:$L,(Schedule!$I:$I=G$3)*(Schedule!$J:$J=$B50)*(Schedule!$R:$R=$A50),""))</f>
        <v/>
      </c>
      <c r="H50" s="443" t="str" cm="1">
        <f t="array" ref="H50">IF(H$3="","",_xlfn._xlws.FILTER(Schedule!$L:$L,(Schedule!$I:$I=H$3)*(Schedule!$J:$J=$B50)*(Schedule!$R:$R=$A50),""))</f>
        <v/>
      </c>
      <c r="I50" s="444" t="str" cm="1">
        <f t="array" ref="I50">IF(I$3="","",_xlfn._xlws.FILTER(Schedule!$L:$L,(Schedule!$I:$I=I$3)*(Schedule!$J:$J=$B50)*(Schedule!$R:$R=$A50),""))</f>
        <v/>
      </c>
    </row>
    <row r="51" spans="1:9" ht="26" customHeight="1" outlineLevel="1" x14ac:dyDescent="0.25">
      <c r="A51" s="626"/>
      <c r="B51" s="614"/>
      <c r="C51" s="223"/>
      <c r="D51" s="224"/>
      <c r="E51" s="224"/>
      <c r="F51" s="224"/>
      <c r="G51" s="431"/>
      <c r="H51" s="447"/>
      <c r="I51" s="448"/>
    </row>
    <row r="52" spans="1:9" ht="26" customHeight="1" outlineLevel="1" x14ac:dyDescent="0.25">
      <c r="A52" s="626"/>
      <c r="B52" s="614"/>
      <c r="C52" s="223"/>
      <c r="D52" s="224"/>
      <c r="E52" s="224"/>
      <c r="F52" s="224"/>
      <c r="G52" s="431"/>
      <c r="H52" s="447"/>
      <c r="I52" s="448"/>
    </row>
    <row r="53" spans="1:9" ht="26" customHeight="1" outlineLevel="1" x14ac:dyDescent="0.25">
      <c r="A53" s="626"/>
      <c r="B53" s="614"/>
      <c r="C53" s="223"/>
      <c r="D53" s="224"/>
      <c r="E53" s="224"/>
      <c r="F53" s="224"/>
      <c r="G53" s="431"/>
      <c r="H53" s="447"/>
      <c r="I53" s="448"/>
    </row>
    <row r="54" spans="1:9" ht="26" customHeight="1" outlineLevel="1" x14ac:dyDescent="0.25">
      <c r="A54" s="626"/>
      <c r="B54" s="614"/>
      <c r="C54" s="223"/>
      <c r="D54" s="224"/>
      <c r="E54" s="224"/>
      <c r="F54" s="224"/>
      <c r="G54" s="431"/>
      <c r="H54" s="447"/>
      <c r="I54" s="448"/>
    </row>
    <row r="55" spans="1:9" ht="26" customHeight="1" outlineLevel="1" thickBot="1" x14ac:dyDescent="0.3">
      <c r="A55" s="626"/>
      <c r="B55" s="615"/>
      <c r="C55" s="227"/>
      <c r="D55" s="228"/>
      <c r="E55" s="228"/>
      <c r="F55" s="228"/>
      <c r="G55" s="432"/>
      <c r="H55" s="445"/>
      <c r="I55" s="446"/>
    </row>
    <row r="56" spans="1:9" ht="26" customHeight="1" outlineLevel="1" x14ac:dyDescent="0.25">
      <c r="A56" s="626"/>
      <c r="B56" s="614" t="s">
        <v>878</v>
      </c>
      <c r="C56" s="225" t="str" cm="1">
        <f t="array" ref="C56">IF(C$3="","",_xlfn._xlws.FILTER(Schedule!$L:$L,(Schedule!$I:$I=C$3)*(Schedule!$J:$J=$B56)*(Schedule!$R:$R=$A50),""))</f>
        <v/>
      </c>
      <c r="D56" s="226" t="str" cm="1">
        <f t="array" ref="D56">IF(D$3="","",_xlfn._xlws.FILTER(Schedule!$L:$L,(Schedule!$I:$I=D$3)*(Schedule!$J:$J=$B56)*(Schedule!$R:$R=$A50),""))</f>
        <v/>
      </c>
      <c r="E56" s="226" t="str" cm="1">
        <f t="array" ref="E56">IF(E$3="","",_xlfn._xlws.FILTER(Schedule!$L:$L,(Schedule!$I:$I=E$3)*(Schedule!$J:$J=$B56)*(Schedule!$R:$R=$A50),""))</f>
        <v/>
      </c>
      <c r="F56" s="226" t="str" cm="1">
        <f t="array" ref="F56">IF(F$3="","",_xlfn._xlws.FILTER(Schedule!$L:$L,(Schedule!$I:$I=F$3)*(Schedule!$J:$J=$B56)*(Schedule!$R:$R=$A50),""))</f>
        <v/>
      </c>
      <c r="G56" s="430" t="str" cm="1">
        <f t="array" ref="G56">IF(G$3="","",_xlfn._xlws.FILTER(Schedule!$L:$L,(Schedule!$I:$I=G$3)*(Schedule!$J:$J=$B56)*(Schedule!$R:$R=$A50),""))</f>
        <v/>
      </c>
      <c r="H56" s="443" t="str" cm="1">
        <f t="array" ref="H56">IF(H$3="","",_xlfn._xlws.FILTER(Schedule!$L:$L,(Schedule!$I:$I=H$3)*(Schedule!$J:$J=$B56)*(Schedule!$R:$R=$A50),""))</f>
        <v/>
      </c>
      <c r="I56" s="444" t="str" cm="1">
        <f t="array" ref="I56">IF(I$3="","",_xlfn._xlws.FILTER(Schedule!$L:$L,(Schedule!$I:$I=I$3)*(Schedule!$J:$J=$B56)*(Schedule!$R:$R=$A50),""))</f>
        <v/>
      </c>
    </row>
    <row r="57" spans="1:9" ht="26" customHeight="1" outlineLevel="1" x14ac:dyDescent="0.25">
      <c r="A57" s="626"/>
      <c r="B57" s="614"/>
      <c r="C57" s="223"/>
      <c r="D57" s="224"/>
      <c r="E57" s="224"/>
      <c r="F57" s="224"/>
      <c r="G57" s="431"/>
      <c r="H57" s="447"/>
      <c r="I57" s="448"/>
    </row>
    <row r="58" spans="1:9" ht="26" customHeight="1" outlineLevel="1" x14ac:dyDescent="0.25">
      <c r="A58" s="626"/>
      <c r="B58" s="614"/>
      <c r="C58" s="223"/>
      <c r="D58" s="224"/>
      <c r="E58" s="224"/>
      <c r="F58" s="224"/>
      <c r="G58" s="431"/>
      <c r="H58" s="447"/>
      <c r="I58" s="448"/>
    </row>
    <row r="59" spans="1:9" ht="26" customHeight="1" outlineLevel="1" x14ac:dyDescent="0.25">
      <c r="A59" s="626"/>
      <c r="B59" s="614"/>
      <c r="C59" s="223"/>
      <c r="D59" s="224"/>
      <c r="E59" s="224"/>
      <c r="F59" s="224"/>
      <c r="G59" s="431"/>
      <c r="H59" s="447"/>
      <c r="I59" s="448"/>
    </row>
    <row r="60" spans="1:9" ht="26" customHeight="1" outlineLevel="1" thickBot="1" x14ac:dyDescent="0.3">
      <c r="A60" s="627"/>
      <c r="B60" s="615"/>
      <c r="C60" s="408"/>
      <c r="D60" s="409"/>
      <c r="E60" s="409"/>
      <c r="F60" s="409"/>
      <c r="G60" s="433"/>
      <c r="H60" s="449"/>
      <c r="I60" s="450"/>
    </row>
    <row r="61" spans="1:9" ht="13" thickTop="1" x14ac:dyDescent="0.25"/>
  </sheetData>
  <mergeCells count="23">
    <mergeCell ref="H1:I1"/>
    <mergeCell ref="B20:B22"/>
    <mergeCell ref="B23:B27"/>
    <mergeCell ref="B28:B30"/>
    <mergeCell ref="B31:B34"/>
    <mergeCell ref="A1:B1"/>
    <mergeCell ref="A20:A27"/>
    <mergeCell ref="A28:A34"/>
    <mergeCell ref="A39:A49"/>
    <mergeCell ref="B39:B44"/>
    <mergeCell ref="B45:B49"/>
    <mergeCell ref="A50:A60"/>
    <mergeCell ref="B50:B55"/>
    <mergeCell ref="B56:B60"/>
    <mergeCell ref="A35:A38"/>
    <mergeCell ref="F1:G1"/>
    <mergeCell ref="A5:A15"/>
    <mergeCell ref="B5:B9"/>
    <mergeCell ref="B10:B15"/>
    <mergeCell ref="A16:B18"/>
    <mergeCell ref="D1:E1"/>
    <mergeCell ref="B35:B36"/>
    <mergeCell ref="B37:B38"/>
  </mergeCells>
  <conditionalFormatting sqref="C5:I18">
    <cfRule type="beginsWith" dxfId="50" priority="1" operator="beginsWith" text="1.HYDRO INSPECTION">
      <formula>LEFT(C5,LEN("1.HYDRO INSPECTION"))="1.HYDRO INSPECTION"</formula>
    </cfRule>
    <cfRule type="expression" dxfId="49" priority="34">
      <formula>OR(ISNUMBER(SEARCH("Blasting",C5)),ISNUMBER(SEARCH("Painting",C5)))</formula>
    </cfRule>
    <cfRule type="containsText" dxfId="48" priority="35" operator="containsText" text="Hydro">
      <formula>NOT(ISERROR(SEARCH("Hydro",C5)))</formula>
    </cfRule>
  </conditionalFormatting>
  <conditionalFormatting sqref="C20:I49">
    <cfRule type="expression" dxfId="47" priority="12">
      <formula>OR(ISNUMBER(SEARCH("Blasting",C20)),ISNUMBER(SEARCH("Painting",C20)))</formula>
    </cfRule>
    <cfRule type="containsText" dxfId="46" priority="13" operator="containsText" text="Hydro">
      <formula>NOT(ISERROR(SEARCH("Hydro",C20)))</formula>
    </cfRule>
  </conditionalFormatting>
  <conditionalFormatting sqref="C5:I18 C39:I49">
    <cfRule type="containsText" dxfId="45" priority="23" operator="containsText" text="SECOND &amp; TOP">
      <formula>NOT(ISERROR(SEARCH("SECOND &amp; TOP",C5)))</formula>
    </cfRule>
  </conditionalFormatting>
  <conditionalFormatting sqref="C5:I18">
    <cfRule type="containsText" dxfId="44" priority="22" operator="containsText" text="FINAL INSPECTION">
      <formula>NOT(ISERROR(SEARCH("FINAL INSPECTION",C5)))</formula>
    </cfRule>
  </conditionalFormatting>
  <conditionalFormatting sqref="C50:I60">
    <cfRule type="expression" dxfId="43" priority="4">
      <formula>OR(ISNUMBER(SEARCH("Blasting",C50)),ISNUMBER(SEARCH("Painting",C50)))</formula>
    </cfRule>
    <cfRule type="containsText" dxfId="42" priority="5" operator="containsText" text="Hydro">
      <formula>NOT(ISERROR(SEARCH("Hydro",C50)))</formula>
    </cfRule>
  </conditionalFormatting>
  <conditionalFormatting sqref="C20:I38">
    <cfRule type="containsText" dxfId="41" priority="11" operator="containsText" text="SECOND &amp; TOP">
      <formula>NOT(ISERROR(SEARCH("SECOND &amp; TOP",C20)))</formula>
    </cfRule>
  </conditionalFormatting>
  <conditionalFormatting sqref="C20:I49">
    <cfRule type="containsText" dxfId="40" priority="10" operator="containsText" text="FINAL INSPECTION">
      <formula>NOT(ISERROR(SEARCH("FINAL INSPECTION",C20)))</formula>
    </cfRule>
  </conditionalFormatting>
  <conditionalFormatting sqref="C50:I60">
    <cfRule type="containsText" dxfId="39" priority="3" operator="containsText" text="SECOND &amp; TOP">
      <formula>NOT(ISERROR(SEARCH("SECOND &amp; TOP",C50)))</formula>
    </cfRule>
  </conditionalFormatting>
  <conditionalFormatting sqref="C50:I60">
    <cfRule type="containsText" dxfId="38" priority="2" operator="containsText" text="FINAL INSPECTION">
      <formula>NOT(ISERROR(SEARCH("FINAL INSPECTION",C50)))</formula>
    </cfRule>
  </conditionalFormatting>
  <dataValidations count="2">
    <dataValidation type="list" allowBlank="1" showInputMessage="1" showErrorMessage="1" sqref="D1" xr:uid="{1B23CE55-101D-4E8A-95AA-70FEDBA1043B}">
      <formula1>"January,February,March,April,May,June,July,August,September,October,November,December"</formula1>
    </dataValidation>
    <dataValidation type="list" allowBlank="1" showInputMessage="1" showErrorMessage="1" sqref="C1" xr:uid="{25C876BF-C677-494F-B2B0-0220B688BB3C}">
      <formula1>"1,2,3,4,5"</formula1>
    </dataValidation>
  </dataValidations>
  <hyperlinks>
    <hyperlink ref="A1" location="Dashboard!A1" display="⬅ Kembali ke Dashboard" xr:uid="{EE238ECC-885E-4023-BD04-E525833D076E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27D78-5EA6-4E2B-A6E6-B922D2B2183F}">
  <sheetPr codeName="Sheet17">
    <tabColor rgb="FF00B0F0"/>
    <pageSetUpPr fitToPage="1"/>
  </sheetPr>
  <dimension ref="A1:I68"/>
  <sheetViews>
    <sheetView zoomScale="55" zoomScaleNormal="55" workbookViewId="0">
      <pane ySplit="2" topLeftCell="A51" activePane="bottomLeft" state="frozen"/>
      <selection pane="bottomLeft" sqref="A1:B1"/>
    </sheetView>
  </sheetViews>
  <sheetFormatPr defaultRowHeight="12.5" outlineLevelRow="1" outlineLevelCol="1" x14ac:dyDescent="0.25"/>
  <cols>
    <col min="3" max="7" width="40.6328125" customWidth="1"/>
    <col min="8" max="9" width="40.6328125" customWidth="1" outlineLevel="1"/>
  </cols>
  <sheetData>
    <row r="1" spans="1:9" s="214" customFormat="1" ht="34.5" customHeight="1" x14ac:dyDescent="0.25">
      <c r="A1" s="628" t="s">
        <v>1713</v>
      </c>
      <c r="B1" s="628"/>
      <c r="C1" s="416"/>
      <c r="D1" s="610" t="s">
        <v>985</v>
      </c>
      <c r="E1" s="610"/>
      <c r="F1" s="610">
        <v>2026</v>
      </c>
      <c r="G1" s="610"/>
      <c r="H1" s="610" t="s">
        <v>1181</v>
      </c>
      <c r="I1" s="610"/>
    </row>
    <row r="2" spans="1:9" s="215" customFormat="1" ht="16" thickBot="1" x14ac:dyDescent="0.35">
      <c r="C2" s="217" t="s">
        <v>235</v>
      </c>
      <c r="D2" s="217" t="s">
        <v>236</v>
      </c>
      <c r="E2" s="217" t="s">
        <v>237</v>
      </c>
      <c r="F2" s="217" t="s">
        <v>238</v>
      </c>
      <c r="G2" s="217" t="s">
        <v>239</v>
      </c>
      <c r="H2" s="218" t="s">
        <v>240</v>
      </c>
      <c r="I2" s="218" t="s">
        <v>241</v>
      </c>
    </row>
    <row r="3" spans="1:9" s="81" customFormat="1" ht="24.5" thickTop="1" thickBot="1" x14ac:dyDescent="0.3">
      <c r="C3" s="410" t="str" cm="1">
        <f t="array" ref="C3:I3">_xlfn.LET(_xlpm.AwalBulan, 1&amp;$D$1&amp;$F$1, _xlpm.tgl, _xlfn.SEQUENCE(1, 7, _xlpm.AwalBulan - WEEKDAY(_xlpm.AwalBulan, 2) + 1), IF(MONTH(_xlpm.tgl)=MONTH(_xlpm.AwalBulan), _xlpm.tgl, ""))</f>
        <v/>
      </c>
      <c r="D3" s="411" t="str">
        <v/>
      </c>
      <c r="E3" s="411">
        <v>46204</v>
      </c>
      <c r="F3" s="411">
        <v>46205</v>
      </c>
      <c r="G3" s="429">
        <v>46206</v>
      </c>
      <c r="H3" s="424">
        <v>46207</v>
      </c>
      <c r="I3" s="412">
        <v>46208</v>
      </c>
    </row>
    <row r="4" spans="1:9" s="81" customFormat="1" ht="24" thickBot="1" x14ac:dyDescent="0.3">
      <c r="C4" s="413" t="s">
        <v>1177</v>
      </c>
      <c r="D4" s="414" t="s">
        <v>1177</v>
      </c>
      <c r="E4" s="414" t="s">
        <v>1177</v>
      </c>
      <c r="F4" s="414" t="s">
        <v>1177</v>
      </c>
      <c r="G4" s="415" t="s">
        <v>1177</v>
      </c>
      <c r="H4" s="425" t="s">
        <v>1177</v>
      </c>
      <c r="I4" s="415" t="s">
        <v>1177</v>
      </c>
    </row>
    <row r="5" spans="1:9" s="216" customFormat="1" ht="26" customHeight="1" outlineLevel="1" x14ac:dyDescent="0.25">
      <c r="A5" s="611" t="s">
        <v>875</v>
      </c>
      <c r="B5" s="613" t="s">
        <v>877</v>
      </c>
      <c r="C5" s="225" t="str" cm="1">
        <f t="array" ref="C5">IF(C$3="","",IF(_xlfn._xlws.FILTER(Schedule!$U:$U,Schedule!$T:$T=C$3,"")="",_xlfn._xlws.FILTER(Schedule!$C:$C,(Schedule!$B:$B=C$3)*(Schedule!$D:$D=$B5),""),_xlfn._xlws.FILTER(Schedule!$U:$U,Schedule!$T:$T=C$3,"")))</f>
        <v/>
      </c>
      <c r="D5" s="226" t="str" cm="1">
        <f t="array" ref="D5">IF(D$3="","",IF(_xlfn._xlws.FILTER(Schedule!$U:$U,Schedule!$T:$T=D$3,"")="",_xlfn._xlws.FILTER(Schedule!$C:$C,(Schedule!$B:$B=D$3)*(Schedule!$D:$D=$B5),""),_xlfn._xlws.FILTER(Schedule!$U:$U,Schedule!$T:$T=D$3,"")))</f>
        <v/>
      </c>
      <c r="E5" s="226" t="str" cm="1">
        <f t="array" ref="E5">IF(E$3="","",IF(_xlfn._xlws.FILTER(Schedule!$U:$U,Schedule!$T:$T=E$3,"")="",_xlfn._xlws.FILTER(Schedule!$C:$C,(Schedule!$B:$B=E$3)*(Schedule!$D:$D=$B5),""),_xlfn._xlws.FILTER(Schedule!$U:$U,Schedule!$T:$T=E$3,"")))</f>
        <v/>
      </c>
      <c r="F5" s="226" t="str" cm="1">
        <f t="array" ref="F5">IF(F$3="","",IF(_xlfn._xlws.FILTER(Schedule!$U:$U,Schedule!$T:$T=F$3,"")="",_xlfn._xlws.FILTER(Schedule!$C:$C,(Schedule!$B:$B=F$3)*(Schedule!$D:$D=$B5),""),_xlfn._xlws.FILTER(Schedule!$U:$U,Schedule!$T:$T=F$3,"")))</f>
        <v/>
      </c>
      <c r="G5" s="430" t="str" cm="1">
        <f t="array" ref="G5">IF(G$3="","",IF(_xlfn._xlws.FILTER(Schedule!$U:$U,Schedule!$T:$T=G$3,"")="",_xlfn._xlws.FILTER(Schedule!$C:$C,(Schedule!$B:$B=G$3)*(Schedule!$D:$D=$B5),""),_xlfn._xlws.FILTER(Schedule!$U:$U,Schedule!$T:$T=G$3,"")))</f>
        <v>1.HYDRO - SO 015 (2025) - 57 NO'S</v>
      </c>
      <c r="H5" s="426" t="str" cm="1">
        <f t="array" ref="H5">IF(H$3="","",IF(_xlfn._xlws.FILTER(Schedule!$U:$U,Schedule!$T:$T=H$3,"")="",_xlfn._xlws.FILTER(Schedule!$C:$C,(Schedule!$B:$B=H$3)*(Schedule!$D:$D=$B5),""),_xlfn._xlws.FILTER(Schedule!$U:$U,Schedule!$T:$T=H$3,"")))</f>
        <v/>
      </c>
      <c r="I5" s="237" t="str" cm="1">
        <f t="array" ref="I5">IF(I$3="","",IF(_xlfn._xlws.FILTER(Schedule!$U:$U,Schedule!$T:$T=I$3,"")="",_xlfn._xlws.FILTER(Schedule!$C:$C,(Schedule!$B:$B=I$3)*(Schedule!$D:$D=$B5),""),_xlfn._xlws.FILTER(Schedule!$U:$U,Schedule!$T:$T=I$3,"")))</f>
        <v/>
      </c>
    </row>
    <row r="6" spans="1:9" s="216" customFormat="1" ht="26" customHeight="1" outlineLevel="1" x14ac:dyDescent="0.25">
      <c r="A6" s="612"/>
      <c r="B6" s="614"/>
      <c r="C6" s="223"/>
      <c r="D6" s="224"/>
      <c r="E6" s="224"/>
      <c r="F6" s="224"/>
      <c r="G6" s="431"/>
      <c r="H6" s="427"/>
      <c r="I6" s="236"/>
    </row>
    <row r="7" spans="1:9" s="216" customFormat="1" ht="26" customHeight="1" outlineLevel="1" x14ac:dyDescent="0.25">
      <c r="A7" s="612"/>
      <c r="B7" s="614"/>
      <c r="C7" s="223"/>
      <c r="D7" s="224"/>
      <c r="E7" s="224"/>
      <c r="F7" s="224"/>
      <c r="G7" s="431"/>
      <c r="H7" s="427"/>
      <c r="I7" s="236"/>
    </row>
    <row r="8" spans="1:9" s="216" customFormat="1" ht="26" customHeight="1" outlineLevel="1" x14ac:dyDescent="0.25">
      <c r="A8" s="612"/>
      <c r="B8" s="614"/>
      <c r="C8" s="223"/>
      <c r="D8" s="224"/>
      <c r="E8" s="224"/>
      <c r="F8" s="224"/>
      <c r="G8" s="431"/>
      <c r="H8" s="427"/>
      <c r="I8" s="236"/>
    </row>
    <row r="9" spans="1:9" s="216" customFormat="1" ht="26" customHeight="1" outlineLevel="1" thickBot="1" x14ac:dyDescent="0.3">
      <c r="A9" s="612"/>
      <c r="B9" s="615"/>
      <c r="C9" s="227"/>
      <c r="D9" s="228"/>
      <c r="E9" s="228"/>
      <c r="F9" s="228"/>
      <c r="G9" s="432"/>
      <c r="H9" s="428"/>
      <c r="I9" s="235"/>
    </row>
    <row r="10" spans="1:9" s="216" customFormat="1" ht="26" customHeight="1" outlineLevel="1" x14ac:dyDescent="0.25">
      <c r="A10" s="612"/>
      <c r="B10" s="614" t="s">
        <v>878</v>
      </c>
      <c r="C10" s="225" t="str" cm="1">
        <f t="array" ref="C10">IF(C$3="","",IF(_xlfn._xlws.FILTER(Schedule!$U:$U,Schedule!$T:$T=C$3,"")="",_xlfn._xlws.FILTER(Schedule!$C:$C,(Schedule!$B:$B=C$3)*(Schedule!$D:$D=$B10),""),_xlfn._xlws.FILTER(Schedule!$U:$U,Schedule!$T:$T=C$3,"")))</f>
        <v/>
      </c>
      <c r="D10" s="226" t="str" cm="1">
        <f t="array" ref="D10">IF(D$3="","",IF(_xlfn._xlws.FILTER(Schedule!$U:$U,Schedule!$T:$T=D$3,"")="",_xlfn._xlws.FILTER(Schedule!$C:$C,(Schedule!$B:$B=D$3)*(Schedule!$D:$D=$B10),""),_xlfn._xlws.FILTER(Schedule!$U:$U,Schedule!$T:$T=D$3,"")))</f>
        <v/>
      </c>
      <c r="E10" s="226" t="str" cm="1">
        <f t="array" ref="E10">IF(E$3="","",IF(_xlfn._xlws.FILTER(Schedule!$U:$U,Schedule!$T:$T=E$3,"")="",_xlfn._xlws.FILTER(Schedule!$C:$C,(Schedule!$B:$B=E$3)*(Schedule!$D:$D=$B10),""),_xlfn._xlws.FILTER(Schedule!$U:$U,Schedule!$T:$T=E$3,"")))</f>
        <v/>
      </c>
      <c r="F10" s="226" t="str" cm="1">
        <f t="array" ref="F10">IF(F$3="","",IF(_xlfn._xlws.FILTER(Schedule!$U:$U,Schedule!$T:$T=F$3,"")="",_xlfn._xlws.FILTER(Schedule!$C:$C,(Schedule!$B:$B=F$3)*(Schedule!$D:$D=$B10),""),_xlfn._xlws.FILTER(Schedule!$U:$U,Schedule!$T:$T=F$3,"")))</f>
        <v/>
      </c>
      <c r="G10" s="430" t="str" cm="1">
        <f t="array" ref="G10">IF(G$3="","",IF(_xlfn._xlws.FILTER(Schedule!$U:$U,Schedule!$T:$T=G$3,"")="",_xlfn._xlws.FILTER(Schedule!$C:$C,(Schedule!$B:$B=G$3)*(Schedule!$D:$D=$B10),""),_xlfn._xlws.FILTER(Schedule!$U:$U,Schedule!$T:$T=G$3,"")))</f>
        <v/>
      </c>
      <c r="H10" s="426" t="str" cm="1">
        <f t="array" ref="H10">IF(H$3="","",IF(_xlfn._xlws.FILTER(Schedule!$U:$U,Schedule!$T:$T=H$3,"")="",_xlfn._xlws.FILTER(Schedule!$C:$C,(Schedule!$B:$B=H$3)*(Schedule!$D:$D=$B10),""),_xlfn._xlws.FILTER(Schedule!$U:$U,Schedule!$T:$T=H$3,"")))</f>
        <v/>
      </c>
      <c r="I10" s="237" t="str" cm="1">
        <f t="array" ref="I10">IF(I$3="","",IF(_xlfn._xlws.FILTER(Schedule!$U:$U,Schedule!$T:$T=I$3,"")="",_xlfn._xlws.FILTER(Schedule!$C:$C,(Schedule!$B:$B=I$3)*(Schedule!$D:$D=$B10),""),_xlfn._xlws.FILTER(Schedule!$U:$U,Schedule!$T:$T=I$3,"")))</f>
        <v/>
      </c>
    </row>
    <row r="11" spans="1:9" s="216" customFormat="1" ht="26" customHeight="1" outlineLevel="1" x14ac:dyDescent="0.25">
      <c r="A11" s="612"/>
      <c r="B11" s="614"/>
      <c r="C11" s="223"/>
      <c r="D11" s="224"/>
      <c r="E11" s="224"/>
      <c r="F11" s="224"/>
      <c r="G11" s="431"/>
      <c r="H11" s="427"/>
      <c r="I11" s="236"/>
    </row>
    <row r="12" spans="1:9" s="216" customFormat="1" ht="26" customHeight="1" outlineLevel="1" x14ac:dyDescent="0.25">
      <c r="A12" s="612"/>
      <c r="B12" s="614"/>
      <c r="C12" s="223"/>
      <c r="D12" s="224"/>
      <c r="E12" s="224"/>
      <c r="F12" s="224"/>
      <c r="G12" s="431"/>
      <c r="H12" s="427"/>
      <c r="I12" s="236"/>
    </row>
    <row r="13" spans="1:9" s="216" customFormat="1" ht="26" customHeight="1" outlineLevel="1" x14ac:dyDescent="0.25">
      <c r="A13" s="612"/>
      <c r="B13" s="614"/>
      <c r="C13" s="223"/>
      <c r="D13" s="224"/>
      <c r="E13" s="224"/>
      <c r="F13" s="224"/>
      <c r="G13" s="431"/>
      <c r="H13" s="427"/>
      <c r="I13" s="236"/>
    </row>
    <row r="14" spans="1:9" s="216" customFormat="1" ht="26" customHeight="1" outlineLevel="1" thickBot="1" x14ac:dyDescent="0.3">
      <c r="A14" s="612"/>
      <c r="B14" s="615"/>
      <c r="C14" s="223"/>
      <c r="D14" s="224"/>
      <c r="E14" s="224"/>
      <c r="F14" s="224"/>
      <c r="G14" s="431"/>
      <c r="H14" s="427"/>
      <c r="I14" s="236"/>
    </row>
    <row r="15" spans="1:9" s="216" customFormat="1" ht="26" customHeight="1" outlineLevel="1" x14ac:dyDescent="0.25">
      <c r="A15" s="616" t="s">
        <v>874</v>
      </c>
      <c r="B15" s="617"/>
      <c r="C15" s="225" t="str" cm="1">
        <f t="array" ref="C15">IF(C$3="","",_xlfn._xlws.FILTER(Schedule!$G:$G,Schedule!$F:$F=C$3,""))</f>
        <v/>
      </c>
      <c r="D15" s="226" t="str" cm="1">
        <f t="array" ref="D15">IF(D$3="","",_xlfn._xlws.FILTER(Schedule!$G:$G,Schedule!$F:$F=D$3,""))</f>
        <v/>
      </c>
      <c r="E15" s="226" t="str" cm="1">
        <f t="array" ref="E15">IF(E$3="","",_xlfn._xlws.FILTER(Schedule!$G:$G,Schedule!$F:$F=E$3,""))</f>
        <v/>
      </c>
      <c r="F15" s="226" t="str" cm="1">
        <f t="array" ref="F15">IF(F$3="","",_xlfn._xlws.FILTER(Schedule!$G:$G,Schedule!$F:$F=F$3,""))</f>
        <v/>
      </c>
      <c r="G15" s="430" t="str" cm="1">
        <f t="array" ref="G15">IF(G$3="","",_xlfn._xlws.FILTER(Schedule!$G:$G,Schedule!$F:$F=G$3,""))</f>
        <v/>
      </c>
      <c r="H15" s="426" t="str" cm="1">
        <f t="array" ref="H15">IF(H$3="","",_xlfn._xlws.FILTER(Schedule!$G:$G,Schedule!$F:$F=H$3,""))</f>
        <v/>
      </c>
      <c r="I15" s="237" t="str" cm="1">
        <f t="array" ref="I15">IF(I$3="","",_xlfn._xlws.FILTER(Schedule!$G:$G,Schedule!$F:$F=I$3,""))</f>
        <v/>
      </c>
    </row>
    <row r="16" spans="1:9" s="216" customFormat="1" ht="26" customHeight="1" outlineLevel="1" x14ac:dyDescent="0.25">
      <c r="A16" s="618"/>
      <c r="B16" s="619"/>
      <c r="C16" s="223"/>
      <c r="D16" s="224"/>
      <c r="E16" s="224"/>
      <c r="F16" s="224"/>
      <c r="G16" s="431"/>
      <c r="H16" s="427"/>
      <c r="I16" s="236"/>
    </row>
    <row r="17" spans="1:9" s="216" customFormat="1" ht="26" customHeight="1" outlineLevel="1" thickBot="1" x14ac:dyDescent="0.3">
      <c r="A17" s="620"/>
      <c r="B17" s="621"/>
      <c r="C17" s="227"/>
      <c r="D17" s="228"/>
      <c r="E17" s="228"/>
      <c r="F17" s="228"/>
      <c r="G17" s="432"/>
      <c r="H17" s="428"/>
      <c r="I17" s="235"/>
    </row>
    <row r="18" spans="1:9" s="81" customFormat="1" ht="24.5" thickTop="1" thickBot="1" x14ac:dyDescent="0.3">
      <c r="C18" s="410" cm="1">
        <f t="array" ref="C18:I18">_xlfn.LET(_xlpm.AwalBulan, 1&amp;$D$1&amp;$F$1, _xlpm.tgl, _xlfn.SEQUENCE(1, 7, _xlpm.AwalBulan - WEEKDAY(_xlpm.AwalBulan, 2) + 8), IF(MONTH(_xlpm.tgl)=MONTH(_xlpm.AwalBulan), _xlpm.tgl, ""))</f>
        <v>46209</v>
      </c>
      <c r="D18" s="411">
        <v>46210</v>
      </c>
      <c r="E18" s="411">
        <v>46211</v>
      </c>
      <c r="F18" s="411">
        <v>46212</v>
      </c>
      <c r="G18" s="429">
        <v>46213</v>
      </c>
      <c r="H18" s="424">
        <v>46214</v>
      </c>
      <c r="I18" s="412">
        <v>46215</v>
      </c>
    </row>
    <row r="19" spans="1:9" s="81" customFormat="1" ht="24" thickBot="1" x14ac:dyDescent="0.3">
      <c r="C19" s="413" t="s">
        <v>1177</v>
      </c>
      <c r="D19" s="414" t="s">
        <v>1177</v>
      </c>
      <c r="E19" s="414" t="s">
        <v>1177</v>
      </c>
      <c r="F19" s="414" t="s">
        <v>1177</v>
      </c>
      <c r="G19" s="415" t="s">
        <v>1177</v>
      </c>
      <c r="H19" s="425" t="s">
        <v>1177</v>
      </c>
      <c r="I19" s="415" t="s">
        <v>1177</v>
      </c>
    </row>
    <row r="20" spans="1:9" s="216" customFormat="1" ht="26" customHeight="1" outlineLevel="1" x14ac:dyDescent="0.25">
      <c r="A20" s="611" t="s">
        <v>875</v>
      </c>
      <c r="B20" s="613" t="s">
        <v>877</v>
      </c>
      <c r="C20" s="225" t="str" cm="1">
        <f t="array" ref="C20:C21">IF(C$18="","",IF(_xlfn._xlws.FILTER(Schedule!$U:$U,Schedule!$T:$T=C$18,"")="",_xlfn._xlws.FILTER(Schedule!$C:$C,(Schedule!$B:$B=C$18)*(Schedule!$D:$D=$B20),""),_xlfn._xlws.FILTER(Schedule!$U:$U,Schedule!$T:$T=C$18,"")))</f>
        <v>1.HYDRO - SO 015 (2025) - 57 NO'S</v>
      </c>
      <c r="D20" s="226" t="str" cm="1">
        <f t="array" ref="D20:D21">IF(D$18="","",IF(_xlfn._xlws.FILTER(Schedule!$U:$U,Schedule!$T:$T=D$18,"")="",_xlfn._xlws.FILTER(Schedule!$C:$C,(Schedule!$B:$B=D$18)*(Schedule!$D:$D=$B20),""),_xlfn._xlws.FILTER(Schedule!$U:$U,Schedule!$T:$T=D$18,"")))</f>
        <v>1.HYDRO - SO 030 (BATCH 2) - 54 NO'S</v>
      </c>
      <c r="E20" s="226" t="str" cm="1">
        <f t="array" ref="E20:E21">IF(E$18="","",IF(_xlfn._xlws.FILTER(Schedule!$U:$U,Schedule!$T:$T=E$18,"")="",_xlfn._xlws.FILTER(Schedule!$C:$C,(Schedule!$B:$B=E$18)*(Schedule!$D:$D=$B20),""),_xlfn._xlws.FILTER(Schedule!$U:$U,Schedule!$T:$T=E$18,"")))</f>
        <v>1.HYDRO - SO 030 (BATCH 2) - 54 NO'S</v>
      </c>
      <c r="F20" s="226" t="str" cm="1">
        <f t="array" ref="F20:F21">IF(F$18="","",IF(_xlfn._xlws.FILTER(Schedule!$U:$U,Schedule!$T:$T=F$18,"")="",_xlfn._xlws.FILTER(Schedule!$C:$C,(Schedule!$B:$B=F$18)*(Schedule!$D:$D=$B20),""),_xlfn._xlws.FILTER(Schedule!$U:$U,Schedule!$T:$T=F$18,"")))</f>
        <v>1.HYDRO - SO 030 (BATCH 2) - 54 NO'S</v>
      </c>
      <c r="G20" s="430" t="str" cm="1">
        <f t="array" ref="G20:G21">IF(G$18="","",IF(_xlfn._xlws.FILTER(Schedule!$U:$U,Schedule!$T:$T=G$18,"")="",_xlfn._xlws.FILTER(Schedule!$C:$C,(Schedule!$B:$B=G$18)*(Schedule!$D:$D=$B20),""),_xlfn._xlws.FILTER(Schedule!$U:$U,Schedule!$T:$T=G$18,"")))</f>
        <v>1.HYDRO - SO 030 (BATCH 2) - 54 NO'S</v>
      </c>
      <c r="H20" s="426" t="str" cm="1">
        <f t="array" ref="H20">IF(H$18="","",IF(_xlfn._xlws.FILTER(Schedule!$U:$U,Schedule!$T:$T=H$18,"")="",_xlfn._xlws.FILTER(Schedule!$C:$C,(Schedule!$B:$B=H$18)*(Schedule!$D:$D=$B20),""),_xlfn._xlws.FILTER(Schedule!$U:$U,Schedule!$T:$T=H$18,"")))</f>
        <v/>
      </c>
      <c r="I20" s="237" t="str" cm="1">
        <f t="array" ref="I20">IF(I$18="","",IF(_xlfn._xlws.FILTER(Schedule!$U:$U,Schedule!$T:$T=I$18,"")="",_xlfn._xlws.FILTER(Schedule!$C:$C,(Schedule!$B:$B=I$18)*(Schedule!$D:$D=$B20),""),_xlfn._xlws.FILTER(Schedule!$U:$U,Schedule!$T:$T=I$18,"")))</f>
        <v/>
      </c>
    </row>
    <row r="21" spans="1:9" s="216" customFormat="1" ht="26" customHeight="1" outlineLevel="1" x14ac:dyDescent="0.25">
      <c r="A21" s="612"/>
      <c r="B21" s="614"/>
      <c r="C21" s="223" t="str">
        <v>2.BLASTING &amp; PRIMER - SO 015 (2025) - 57 NO'S</v>
      </c>
      <c r="D21" s="224" t="str">
        <v>2.BLASTING &amp; PRIMER - SO 015 (2025) - 57 NO'S</v>
      </c>
      <c r="E21" s="224" t="str">
        <v>2.BLASTING &amp; PRIMER - SO 015 (2025) - 57 NO'S</v>
      </c>
      <c r="F21" s="224" t="str">
        <v>2.BLASTING &amp; PRIMER - SO 015 (2025) - 57 NO'S</v>
      </c>
      <c r="G21" s="431" t="str">
        <v>2.BLASTING &amp; PRIMER - SO 015 (2025) - 57 NO'S</v>
      </c>
      <c r="H21" s="427"/>
      <c r="I21" s="236"/>
    </row>
    <row r="22" spans="1:9" s="216" customFormat="1" ht="26" customHeight="1" outlineLevel="1" x14ac:dyDescent="0.25">
      <c r="A22" s="612"/>
      <c r="B22" s="614"/>
      <c r="C22" s="223"/>
      <c r="D22" s="224"/>
      <c r="E22" s="224"/>
      <c r="F22" s="224"/>
      <c r="G22" s="431"/>
      <c r="H22" s="427"/>
      <c r="I22" s="236"/>
    </row>
    <row r="23" spans="1:9" s="216" customFormat="1" ht="26" customHeight="1" outlineLevel="1" thickBot="1" x14ac:dyDescent="0.3">
      <c r="A23" s="612"/>
      <c r="B23" s="615"/>
      <c r="C23" s="227"/>
      <c r="D23" s="228"/>
      <c r="E23" s="228"/>
      <c r="F23" s="228"/>
      <c r="G23" s="432"/>
      <c r="H23" s="428"/>
      <c r="I23" s="235"/>
    </row>
    <row r="24" spans="1:9" s="216" customFormat="1" ht="26" customHeight="1" outlineLevel="1" x14ac:dyDescent="0.25">
      <c r="A24" s="612"/>
      <c r="B24" s="614" t="s">
        <v>878</v>
      </c>
      <c r="C24" s="225" t="str" cm="1">
        <f t="array" ref="C24">IF(C$18="","",IF(_xlfn._xlws.FILTER(Schedule!$U:$U,Schedule!$T:$T=C$18,"")="",_xlfn._xlws.FILTER(Schedule!$C:$C,(Schedule!$B:$B=C$18)*(Schedule!$D:$D=$B24),""),_xlfn._xlws.FILTER(Schedule!$U:$U,Schedule!$T:$T=C$18,"")))</f>
        <v>1.HYDRO - SO 015 (2025) - 57 NO'S</v>
      </c>
      <c r="D24" s="226" t="str" cm="1">
        <f t="array" ref="D24">IF(D$18="","",IF(_xlfn._xlws.FILTER(Schedule!$U:$U,Schedule!$T:$T=D$18,"")="",_xlfn._xlws.FILTER(Schedule!$C:$C,(Schedule!$B:$B=D$18)*(Schedule!$D:$D=$B24),""),_xlfn._xlws.FILTER(Schedule!$U:$U,Schedule!$T:$T=D$18,"")))</f>
        <v>1.HYDRO - SO 030 (BATCH 2) - 54 NO'S</v>
      </c>
      <c r="E24" s="226" t="str" cm="1">
        <f t="array" ref="E24">IF(E$18="","",IF(_xlfn._xlws.FILTER(Schedule!$U:$U,Schedule!$T:$T=E$18,"")="",_xlfn._xlws.FILTER(Schedule!$C:$C,(Schedule!$B:$B=E$18)*(Schedule!$D:$D=$B24),""),_xlfn._xlws.FILTER(Schedule!$U:$U,Schedule!$T:$T=E$18,"")))</f>
        <v>1.HYDRO - SO 030 (BATCH 2) - 54 NO'S</v>
      </c>
      <c r="F24" s="226" t="str" cm="1">
        <f t="array" ref="F24:F25">IF(F$18="","",IF(_xlfn._xlws.FILTER(Schedule!$U:$U,Schedule!$T:$T=F$18,"")="",_xlfn._xlws.FILTER(Schedule!$C:$C,(Schedule!$B:$B=F$18)*(Schedule!$D:$D=$B24),""),_xlfn._xlws.FILTER(Schedule!$U:$U,Schedule!$T:$T=F$18,"")))</f>
        <v>1.HYDRO - SO 030 (BATCH 2) - 54 NO'S</v>
      </c>
      <c r="G24" s="430" t="str" cm="1">
        <f t="array" ref="G24:G25">IF(G$18="","",IF(_xlfn._xlws.FILTER(Schedule!$U:$U,Schedule!$T:$T=G$18,"")="",_xlfn._xlws.FILTER(Schedule!$C:$C,(Schedule!$B:$B=G$18)*(Schedule!$D:$D=$B24),""),_xlfn._xlws.FILTER(Schedule!$U:$U,Schedule!$T:$T=G$18,"")))</f>
        <v>1.HYDRO - SO 030 (BATCH 2) - 54 NO'S</v>
      </c>
      <c r="H24" s="426" t="str" cm="1">
        <f t="array" ref="H24">IF(H$18="","",IF(_xlfn._xlws.FILTER(Schedule!$U:$U,Schedule!$T:$T=H$18,"")="",_xlfn._xlws.FILTER(Schedule!$C:$C,(Schedule!$B:$B=H$18)*(Schedule!$D:$D=$B24),""),_xlfn._xlws.FILTER(Schedule!$U:$U,Schedule!$T:$T=H$18,"")))</f>
        <v/>
      </c>
      <c r="I24" s="237" t="str" cm="1">
        <f t="array" ref="I24">IF(I$18="","",IF(_xlfn._xlws.FILTER(Schedule!$U:$U,Schedule!$T:$T=I$18,"")="",_xlfn._xlws.FILTER(Schedule!$C:$C,(Schedule!$B:$B=I$18)*(Schedule!$D:$D=$B24),""),_xlfn._xlws.FILTER(Schedule!$U:$U,Schedule!$T:$T=I$18,"")))</f>
        <v/>
      </c>
    </row>
    <row r="25" spans="1:9" s="216" customFormat="1" ht="26" customHeight="1" outlineLevel="1" x14ac:dyDescent="0.25">
      <c r="A25" s="612"/>
      <c r="B25" s="614"/>
      <c r="C25" s="223"/>
      <c r="D25" s="224"/>
      <c r="E25" s="224"/>
      <c r="F25" s="224" t="str">
        <v>2.BLASTING &amp; PRIMER - SO 015 (2025) - 57 NO'S</v>
      </c>
      <c r="G25" s="431" t="str">
        <v>2.BLASTING &amp; PRIMER - SO 015 (2025) - 57 NO'S</v>
      </c>
      <c r="H25" s="427"/>
      <c r="I25" s="236"/>
    </row>
    <row r="26" spans="1:9" s="216" customFormat="1" ht="26" customHeight="1" outlineLevel="1" x14ac:dyDescent="0.25">
      <c r="A26" s="612"/>
      <c r="B26" s="614"/>
      <c r="C26" s="223"/>
      <c r="D26" s="224"/>
      <c r="E26" s="224"/>
      <c r="F26" s="224"/>
      <c r="G26" s="431"/>
      <c r="H26" s="427"/>
      <c r="I26" s="236"/>
    </row>
    <row r="27" spans="1:9" s="216" customFormat="1" ht="26" customHeight="1" outlineLevel="1" thickBot="1" x14ac:dyDescent="0.3">
      <c r="A27" s="612"/>
      <c r="B27" s="615"/>
      <c r="C27" s="223"/>
      <c r="D27" s="224"/>
      <c r="E27" s="224"/>
      <c r="F27" s="224"/>
      <c r="G27" s="431"/>
      <c r="H27" s="427"/>
      <c r="I27" s="236"/>
    </row>
    <row r="28" spans="1:9" s="216" customFormat="1" ht="26" customHeight="1" outlineLevel="1" x14ac:dyDescent="0.25">
      <c r="A28" s="616" t="s">
        <v>874</v>
      </c>
      <c r="B28" s="617"/>
      <c r="C28" s="225" t="str" cm="1">
        <f t="array" ref="C28">IF(C$18="","",_xlfn._xlws.FILTER(Schedule!$G:$G,Schedule!$F:$F=C$18,""))</f>
        <v/>
      </c>
      <c r="D28" s="226" t="str" cm="1">
        <f t="array" ref="D28">IF(D$18="","",_xlfn._xlws.FILTER(Schedule!$G:$G,Schedule!$F:$F=D$18,""))</f>
        <v/>
      </c>
      <c r="E28" s="226" t="str" cm="1">
        <f t="array" ref="E28">IF(E$18="","",_xlfn._xlws.FILTER(Schedule!$G:$G,Schedule!$F:$F=E$18,""))</f>
        <v/>
      </c>
      <c r="F28" s="226" t="str" cm="1">
        <f t="array" ref="F28">IF(F$18="","",_xlfn._xlws.FILTER(Schedule!$G:$G,Schedule!$F:$F=F$18,""))</f>
        <v/>
      </c>
      <c r="G28" s="430" t="str" cm="1">
        <f t="array" ref="G28">IF(G$18="","",_xlfn._xlws.FILTER(Schedule!$G:$G,Schedule!$F:$F=G$18,""))</f>
        <v/>
      </c>
      <c r="H28" s="426" t="str" cm="1">
        <f t="array" ref="H28">IF(H$18="","",_xlfn._xlws.FILTER(Schedule!$G:$G,Schedule!$F:$F=H$18,""))</f>
        <v/>
      </c>
      <c r="I28" s="237" t="str" cm="1">
        <f t="array" ref="I28">IF(I$18="","",_xlfn._xlws.FILTER(Schedule!$G:$G,Schedule!$F:$F=I$18,""))</f>
        <v/>
      </c>
    </row>
    <row r="29" spans="1:9" s="216" customFormat="1" ht="26" customHeight="1" outlineLevel="1" x14ac:dyDescent="0.25">
      <c r="A29" s="618"/>
      <c r="B29" s="619"/>
      <c r="C29" s="223"/>
      <c r="D29" s="224"/>
      <c r="E29" s="224"/>
      <c r="F29" s="224"/>
      <c r="G29" s="431"/>
      <c r="H29" s="427"/>
      <c r="I29" s="236"/>
    </row>
    <row r="30" spans="1:9" s="216" customFormat="1" ht="26" customHeight="1" outlineLevel="1" x14ac:dyDescent="0.25">
      <c r="A30" s="618"/>
      <c r="B30" s="619"/>
      <c r="C30" s="223"/>
      <c r="D30" s="224"/>
      <c r="E30" s="224"/>
      <c r="F30" s="224"/>
      <c r="G30" s="431"/>
      <c r="H30" s="427"/>
      <c r="I30" s="236"/>
    </row>
    <row r="31" spans="1:9" s="216" customFormat="1" ht="26" customHeight="1" outlineLevel="1" thickBot="1" x14ac:dyDescent="0.3">
      <c r="A31" s="620"/>
      <c r="B31" s="621"/>
      <c r="C31" s="227"/>
      <c r="D31" s="228"/>
      <c r="E31" s="228"/>
      <c r="F31" s="228"/>
      <c r="G31" s="432"/>
      <c r="H31" s="428"/>
      <c r="I31" s="235"/>
    </row>
    <row r="32" spans="1:9" s="81" customFormat="1" ht="24.5" thickTop="1" thickBot="1" x14ac:dyDescent="0.3">
      <c r="C32" s="410" cm="1">
        <f t="array" ref="C32:I32">_xlfn.LET(_xlpm.AwalBulan, 1&amp;$D$1&amp;$F$1, _xlpm.tgl, _xlfn.SEQUENCE(1, 7, _xlpm.AwalBulan - WEEKDAY(_xlpm.AwalBulan, 2) + 15), IF(MONTH(_xlpm.tgl)=MONTH(_xlpm.AwalBulan), _xlpm.tgl, ""))</f>
        <v>46216</v>
      </c>
      <c r="D32" s="411">
        <v>46217</v>
      </c>
      <c r="E32" s="411">
        <v>46218</v>
      </c>
      <c r="F32" s="411">
        <v>46219</v>
      </c>
      <c r="G32" s="429">
        <v>46220</v>
      </c>
      <c r="H32" s="424">
        <v>46221</v>
      </c>
      <c r="I32" s="412">
        <v>46222</v>
      </c>
    </row>
    <row r="33" spans="1:9" s="81" customFormat="1" ht="24" thickBot="1" x14ac:dyDescent="0.3">
      <c r="C33" s="413" t="s">
        <v>1177</v>
      </c>
      <c r="D33" s="414" t="s">
        <v>1177</v>
      </c>
      <c r="E33" s="414" t="s">
        <v>1177</v>
      </c>
      <c r="F33" s="414" t="s">
        <v>1177</v>
      </c>
      <c r="G33" s="415" t="s">
        <v>1177</v>
      </c>
      <c r="H33" s="425" t="s">
        <v>1177</v>
      </c>
      <c r="I33" s="415" t="s">
        <v>1177</v>
      </c>
    </row>
    <row r="34" spans="1:9" s="216" customFormat="1" ht="26" customHeight="1" outlineLevel="1" x14ac:dyDescent="0.25">
      <c r="A34" s="611" t="s">
        <v>875</v>
      </c>
      <c r="B34" s="613" t="s">
        <v>877</v>
      </c>
      <c r="C34" s="225" t="str" cm="1">
        <f t="array" ref="C34">IF(C$32="","",IF(_xlfn._xlws.FILTER(Schedule!$U:$U,Schedule!$T:$T=C$32,"")="",_xlfn._xlws.FILTER(Schedule!$C:$C,(Schedule!$B:$B=C$32)*(Schedule!$D:$D=$B34),""),_xlfn._xlws.FILTER(Schedule!$U:$U,Schedule!$T:$T=C$32,"")))</f>
        <v>2.BLASTING &amp; PRIMER - SO 030 (BATCH 2) - 54 NO'S</v>
      </c>
      <c r="D34" s="226" t="str" cm="1">
        <f t="array" ref="D34">IF(D$32="","",IF(_xlfn._xlws.FILTER(Schedule!$U:$U,Schedule!$T:$T=D$32,"")="",_xlfn._xlws.FILTER(Schedule!$C:$C,(Schedule!$B:$B=D$32)*(Schedule!$D:$D=$B34),""),_xlfn._xlws.FILTER(Schedule!$U:$U,Schedule!$T:$T=D$32,"")))</f>
        <v>2.BLASTING &amp; PRIMER - SO 030 (BATCH 2) - 54 NO'S</v>
      </c>
      <c r="E34" s="226" t="str" cm="1">
        <f t="array" ref="E34">IF(E$32="","",IF(_xlfn._xlws.FILTER(Schedule!$U:$U,Schedule!$T:$T=E$32,"")="",_xlfn._xlws.FILTER(Schedule!$C:$C,(Schedule!$B:$B=E$32)*(Schedule!$D:$D=$B34),""),_xlfn._xlws.FILTER(Schedule!$U:$U,Schedule!$T:$T=E$32,"")))</f>
        <v>2.BLASTING &amp; PRIMER - SO 030 (BATCH 2) - 54 NO'S</v>
      </c>
      <c r="F34" s="226" t="str" cm="1">
        <f t="array" ref="F34">IF(F$32="","",IF(_xlfn._xlws.FILTER(Schedule!$U:$U,Schedule!$T:$T=F$32,"")="",_xlfn._xlws.FILTER(Schedule!$C:$C,(Schedule!$B:$B=F$32)*(Schedule!$D:$D=$B34),""),_xlfn._xlws.FILTER(Schedule!$U:$U,Schedule!$T:$T=F$32,"")))</f>
        <v>2.BLASTING &amp; PRIMER - SO 030 (BATCH 2) - 54 NO'S</v>
      </c>
      <c r="G34" s="430" t="str" cm="1">
        <f t="array" ref="G34">IF(G$32="","",IF(_xlfn._xlws.FILTER(Schedule!$U:$U,Schedule!$T:$T=G$32,"")="",_xlfn._xlws.FILTER(Schedule!$C:$C,(Schedule!$B:$B=G$32)*(Schedule!$D:$D=$B34),""),_xlfn._xlws.FILTER(Schedule!$U:$U,Schedule!$T:$T=G$32,"")))</f>
        <v>2.BLASTING &amp; PRIMER - SO 030 (BATCH 2) - 54 NO'S</v>
      </c>
      <c r="H34" s="426" t="str" cm="1">
        <f t="array" ref="H34">IF(H$32="","",IF(_xlfn._xlws.FILTER(Schedule!$U:$U,Schedule!$T:$T=H$32,"")="",_xlfn._xlws.FILTER(Schedule!$C:$C,(Schedule!$B:$B=H$32)*(Schedule!$D:$D=$B34),""),_xlfn._xlws.FILTER(Schedule!$U:$U,Schedule!$T:$T=H$32,"")))</f>
        <v/>
      </c>
      <c r="I34" s="237" t="str" cm="1">
        <f t="array" ref="I34">IF(I$32="","",IF(_xlfn._xlws.FILTER(Schedule!$U:$U,Schedule!$T:$T=I$32,"")="",_xlfn._xlws.FILTER(Schedule!$C:$C,(Schedule!$B:$B=I$32)*(Schedule!$D:$D=$B34),""),_xlfn._xlws.FILTER(Schedule!$U:$U,Schedule!$T:$T=I$32,"")))</f>
        <v/>
      </c>
    </row>
    <row r="35" spans="1:9" s="216" customFormat="1" ht="26" customHeight="1" outlineLevel="1" thickBot="1" x14ac:dyDescent="0.3">
      <c r="A35" s="612"/>
      <c r="B35" s="615"/>
      <c r="C35" s="227"/>
      <c r="D35" s="228"/>
      <c r="E35" s="228"/>
      <c r="F35" s="228"/>
      <c r="G35" s="432"/>
      <c r="H35" s="428"/>
      <c r="I35" s="235"/>
    </row>
    <row r="36" spans="1:9" s="216" customFormat="1" ht="26" customHeight="1" outlineLevel="1" x14ac:dyDescent="0.25">
      <c r="A36" s="612"/>
      <c r="B36" s="614" t="s">
        <v>878</v>
      </c>
      <c r="C36" s="225" t="str" cm="1">
        <f t="array" ref="C36">IF(C$32="","",IF(_xlfn._xlws.FILTER(Schedule!$U:$U,Schedule!$T:$T=C$32,"")="",_xlfn._xlws.FILTER(Schedule!$C:$C,(Schedule!$B:$B=C$32)*(Schedule!$D:$D=$B36),""),_xlfn._xlws.FILTER(Schedule!$U:$U,Schedule!$T:$T=C$32,"")))</f>
        <v>2.BLASTING &amp; PRIMER - SO 030 (BATCH 2) - 54 NO'S</v>
      </c>
      <c r="D36" s="226" t="str" cm="1">
        <f t="array" ref="D36">IF(D$32="","",IF(_xlfn._xlws.FILTER(Schedule!$U:$U,Schedule!$T:$T=D$32,"")="",_xlfn._xlws.FILTER(Schedule!$C:$C,(Schedule!$B:$B=D$32)*(Schedule!$D:$D=$B36),""),_xlfn._xlws.FILTER(Schedule!$U:$U,Schedule!$T:$T=D$32,"")))</f>
        <v>2.BLASTING &amp; PRIMER - SO 030 (BATCH 2) - 54 NO'S</v>
      </c>
      <c r="E36" s="226" t="str" cm="1">
        <f t="array" ref="E36">IF(E$32="","",IF(_xlfn._xlws.FILTER(Schedule!$U:$U,Schedule!$T:$T=E$32,"")="",_xlfn._xlws.FILTER(Schedule!$C:$C,(Schedule!$B:$B=E$32)*(Schedule!$D:$D=$B36),""),_xlfn._xlws.FILTER(Schedule!$U:$U,Schedule!$T:$T=E$32,"")))</f>
        <v>2.BLASTING &amp; PRIMER - SO 030 (BATCH 2) - 54 NO'S</v>
      </c>
      <c r="F36" s="226" t="str" cm="1">
        <f t="array" ref="F36">IF(F$32="","",IF(_xlfn._xlws.FILTER(Schedule!$U:$U,Schedule!$T:$T=F$32,"")="",_xlfn._xlws.FILTER(Schedule!$C:$C,(Schedule!$B:$B=F$32)*(Schedule!$D:$D=$B36),""),_xlfn._xlws.FILTER(Schedule!$U:$U,Schedule!$T:$T=F$32,"")))</f>
        <v>2.BLASTING &amp; PRIMER - SO 030 (BATCH 2) - 54 NO'S</v>
      </c>
      <c r="G36" s="430" t="str" cm="1">
        <f t="array" ref="G36">IF(G$32="","",IF(_xlfn._xlws.FILTER(Schedule!$U:$U,Schedule!$T:$T=G$32,"")="",_xlfn._xlws.FILTER(Schedule!$C:$C,(Schedule!$B:$B=G$32)*(Schedule!$D:$D=$B36),""),_xlfn._xlws.FILTER(Schedule!$U:$U,Schedule!$T:$T=G$32,"")))</f>
        <v>2.BLASTING &amp; PRIMER - SO 030 (BATCH 2) - 54 NO'S</v>
      </c>
      <c r="H36" s="426" t="str" cm="1">
        <f t="array" ref="H36">IF(H$32="","",IF(_xlfn._xlws.FILTER(Schedule!$U:$U,Schedule!$T:$T=H$32,"")="",_xlfn._xlws.FILTER(Schedule!$C:$C,(Schedule!$B:$B=H$32)*(Schedule!$D:$D=$B36),""),_xlfn._xlws.FILTER(Schedule!$U:$U,Schedule!$T:$T=H$32,"")))</f>
        <v/>
      </c>
      <c r="I36" s="237" t="str" cm="1">
        <f t="array" ref="I36">IF(I$32="","",IF(_xlfn._xlws.FILTER(Schedule!$U:$U,Schedule!$T:$T=I$32,"")="",_xlfn._xlws.FILTER(Schedule!$C:$C,(Schedule!$B:$B=I$32)*(Schedule!$D:$D=$B36),""),_xlfn._xlws.FILTER(Schedule!$U:$U,Schedule!$T:$T=I$32,"")))</f>
        <v/>
      </c>
    </row>
    <row r="37" spans="1:9" s="216" customFormat="1" ht="26" customHeight="1" outlineLevel="1" thickBot="1" x14ac:dyDescent="0.3">
      <c r="A37" s="612"/>
      <c r="B37" s="615"/>
      <c r="C37" s="223"/>
      <c r="D37" s="224"/>
      <c r="E37" s="224"/>
      <c r="F37" s="224"/>
      <c r="G37" s="431"/>
      <c r="H37" s="427"/>
      <c r="I37" s="236"/>
    </row>
    <row r="38" spans="1:9" s="216" customFormat="1" ht="26" customHeight="1" outlineLevel="1" x14ac:dyDescent="0.25">
      <c r="A38" s="616" t="s">
        <v>874</v>
      </c>
      <c r="B38" s="617"/>
      <c r="C38" s="225" t="str" cm="1">
        <f t="array" ref="C38">IF(C$32="","",_xlfn._xlws.FILTER(Schedule!$G:$G,Schedule!$F:$F=C$32,""))</f>
        <v/>
      </c>
      <c r="D38" s="226" t="str" cm="1">
        <f t="array" ref="D38">IF(D$32="","",_xlfn._xlws.FILTER(Schedule!$G:$G,Schedule!$F:$F=D$32,""))</f>
        <v>1.HYDRO INSPECTION - SO 015 (2025) - 57 NO'S</v>
      </c>
      <c r="E38" s="226" t="str" cm="1">
        <f t="array" ref="E38">IF(E$32="","",_xlfn._xlws.FILTER(Schedule!$G:$G,Schedule!$F:$F=E$32,""))</f>
        <v>1.HYDRO INSPECTION - SO 015 (2025) - 57 NO'S</v>
      </c>
      <c r="F38" s="226" t="str" cm="1">
        <f t="array" ref="F38">IF(F$32="","",_xlfn._xlws.FILTER(Schedule!$G:$G,Schedule!$F:$F=F$32,""))</f>
        <v>1.HYDRO INSPECTION - SO 015 (2025) - 57 NO'S</v>
      </c>
      <c r="G38" s="430" t="str" cm="1">
        <f t="array" ref="G38">IF(G$32="","",_xlfn._xlws.FILTER(Schedule!$G:$G,Schedule!$F:$F=G$32,""))</f>
        <v>1.HYDRO INSPECTION - SO 015 (2025) - 57 NO'S</v>
      </c>
      <c r="H38" s="426" t="str" cm="1">
        <f t="array" ref="H38">IF(H$32="","",_xlfn._xlws.FILTER(Schedule!$G:$G,Schedule!$F:$F=H$32,""))</f>
        <v/>
      </c>
      <c r="I38" s="237" t="str" cm="1">
        <f t="array" ref="I38">IF(I$32="","",_xlfn._xlws.FILTER(Schedule!$G:$G,Schedule!$F:$F=I$32,""))</f>
        <v/>
      </c>
    </row>
    <row r="39" spans="1:9" s="216" customFormat="1" ht="26" customHeight="1" outlineLevel="1" thickBot="1" x14ac:dyDescent="0.3">
      <c r="A39" s="620"/>
      <c r="B39" s="621"/>
      <c r="C39" s="227"/>
      <c r="D39" s="228"/>
      <c r="E39" s="228"/>
      <c r="F39" s="228"/>
      <c r="G39" s="432"/>
      <c r="H39" s="428"/>
      <c r="I39" s="235"/>
    </row>
    <row r="40" spans="1:9" s="81" customFormat="1" ht="24.5" thickTop="1" thickBot="1" x14ac:dyDescent="0.3">
      <c r="C40" s="410" cm="1">
        <f t="array" ref="C40:I40">_xlfn.LET(_xlpm.AwalBulan, 1&amp;$D$1&amp;$F$1, _xlpm.tgl, _xlfn.SEQUENCE(1, 7, _xlpm.AwalBulan - WEEKDAY(_xlpm.AwalBulan, 2) + 22), IF(MONTH(_xlpm.tgl)=MONTH(_xlpm.AwalBulan), _xlpm.tgl, ""))</f>
        <v>46223</v>
      </c>
      <c r="D40" s="411">
        <v>46224</v>
      </c>
      <c r="E40" s="411">
        <v>46225</v>
      </c>
      <c r="F40" s="411">
        <v>46226</v>
      </c>
      <c r="G40" s="429">
        <v>46227</v>
      </c>
      <c r="H40" s="424">
        <v>46228</v>
      </c>
      <c r="I40" s="412">
        <v>46229</v>
      </c>
    </row>
    <row r="41" spans="1:9" s="81" customFormat="1" ht="24" thickBot="1" x14ac:dyDescent="0.3">
      <c r="C41" s="413" t="s">
        <v>1177</v>
      </c>
      <c r="D41" s="414" t="s">
        <v>1177</v>
      </c>
      <c r="E41" s="414" t="s">
        <v>1177</v>
      </c>
      <c r="F41" s="414" t="s">
        <v>1177</v>
      </c>
      <c r="G41" s="415" t="s">
        <v>1177</v>
      </c>
      <c r="H41" s="425" t="s">
        <v>1177</v>
      </c>
      <c r="I41" s="415" t="s">
        <v>1177</v>
      </c>
    </row>
    <row r="42" spans="1:9" s="216" customFormat="1" ht="26" customHeight="1" outlineLevel="1" x14ac:dyDescent="0.25">
      <c r="A42" s="611" t="s">
        <v>875</v>
      </c>
      <c r="B42" s="613" t="s">
        <v>877</v>
      </c>
      <c r="C42" s="225" t="str" cm="1">
        <f t="array" ref="C42">IF(C$40="","",IF(_xlfn._xlws.FILTER(Schedule!$U:$U,Schedule!$T:$T=C$40,"")="",_xlfn._xlws.FILTER(Schedule!$C:$C,(Schedule!$B:$B=C$40)*(Schedule!$D:$D=$B42),""),_xlfn._xlws.FILTER(Schedule!$U:$U,Schedule!$T:$T=C$40,"")))</f>
        <v>2.BLASTING &amp; PRIMER - SO 030 (BATCH 2) - 54 NO'S</v>
      </c>
      <c r="D42" s="226" t="str" cm="1">
        <f t="array" ref="D42">IF(D$40="","",IF(_xlfn._xlws.FILTER(Schedule!$U:$U,Schedule!$T:$T=D$40,"")="",_xlfn._xlws.FILTER(Schedule!$C:$C,(Schedule!$B:$B=D$40)*(Schedule!$D:$D=$B42),""),_xlfn._xlws.FILTER(Schedule!$U:$U,Schedule!$T:$T=D$40,"")))</f>
        <v>3.SECOND &amp; TOP COAT - SO 030 (BATCH 2) - 54 NO'S</v>
      </c>
      <c r="E42" s="226" t="str" cm="1">
        <f t="array" ref="E42">IF(E$40="","",IF(_xlfn._xlws.FILTER(Schedule!$U:$U,Schedule!$T:$T=E$40,"")="",_xlfn._xlws.FILTER(Schedule!$C:$C,(Schedule!$B:$B=E$40)*(Schedule!$D:$D=$B42),""),_xlfn._xlws.FILTER(Schedule!$U:$U,Schedule!$T:$T=E$40,"")))</f>
        <v>3.SECOND &amp; TOP COAT - SO 030 (BATCH 2) - 54 NO'S</v>
      </c>
      <c r="F42" s="226" t="str" cm="1">
        <f t="array" ref="F42:F43">IF(F$40="","",IF(_xlfn._xlws.FILTER(Schedule!$U:$U,Schedule!$T:$T=F$40,"")="",_xlfn._xlws.FILTER(Schedule!$C:$C,(Schedule!$B:$B=F$40)*(Schedule!$D:$D=$B42),""),_xlfn._xlws.FILTER(Schedule!$U:$U,Schedule!$T:$T=F$40,"")))</f>
        <v>2.BLASTING &amp; PRIMER - SO 002 - 4 NO'S (2 valve 8")</v>
      </c>
      <c r="G42" s="430" t="e" cm="1" vm="1">
        <f t="array" aca="1" ref="G42" ca="1">IF(G$40="","",IF(_xlfn._xlws.FILTER(Schedule!$U:$U,Schedule!$T:$T=G$40,"")="",_xlfn._xlws.FILTER(Schedule!$C:$C,(Schedule!$B:$B=G$40)*(Schedule!$D:$D=$B42),""),_xlfn._xlws.FILTER(Schedule!$U:$U,Schedule!$T:$T=G$40,"")))</f>
        <v>#VALUE!</v>
      </c>
      <c r="H42" s="426" t="str" cm="1">
        <f t="array" ref="H42:H43">IF(H$40="","",IF(_xlfn._xlws.FILTER(Schedule!$U:$U,Schedule!$T:$T=H$40,"")="",_xlfn._xlws.FILTER(Schedule!$C:$C,(Schedule!$B:$B=H$40)*(Schedule!$D:$D=$B42),""),_xlfn._xlws.FILTER(Schedule!$U:$U,Schedule!$T:$T=H$40,"")))</f>
        <v>1.HYDRO - SO 012 - 8 NO'S</v>
      </c>
      <c r="I42" s="237" t="str" cm="1">
        <f t="array" ref="I42">IF(I$40="","",IF(_xlfn._xlws.FILTER(Schedule!$U:$U,Schedule!$T:$T=I$40,"")="",_xlfn._xlws.FILTER(Schedule!$C:$C,(Schedule!$B:$B=I$40)*(Schedule!$D:$D=$B42),""),_xlfn._xlws.FILTER(Schedule!$U:$U,Schedule!$T:$T=I$40,"")))</f>
        <v/>
      </c>
    </row>
    <row r="43" spans="1:9" s="216" customFormat="1" ht="26" customHeight="1" outlineLevel="1" x14ac:dyDescent="0.25">
      <c r="A43" s="612"/>
      <c r="B43" s="614"/>
      <c r="C43" s="223"/>
      <c r="D43" s="224"/>
      <c r="E43" s="224"/>
      <c r="F43" s="224" t="str">
        <v>3.SECOND &amp; TOP COAT - SO 030 (BATCH 2) - 54 NO'S</v>
      </c>
      <c r="G43" s="431"/>
      <c r="H43" s="427" t="str">
        <v>1.HYDRO - SO 013 - 7 NO'S</v>
      </c>
      <c r="I43" s="236"/>
    </row>
    <row r="44" spans="1:9" s="216" customFormat="1" ht="26" customHeight="1" outlineLevel="1" thickBot="1" x14ac:dyDescent="0.3">
      <c r="A44" s="612"/>
      <c r="B44" s="615"/>
      <c r="C44" s="227"/>
      <c r="D44" s="228"/>
      <c r="E44" s="228"/>
      <c r="F44" s="228"/>
      <c r="G44" s="432"/>
      <c r="H44" s="428"/>
      <c r="I44" s="235"/>
    </row>
    <row r="45" spans="1:9" s="216" customFormat="1" ht="26" customHeight="1" outlineLevel="1" x14ac:dyDescent="0.25">
      <c r="A45" s="612"/>
      <c r="B45" s="614" t="s">
        <v>878</v>
      </c>
      <c r="C45" s="225" t="str" cm="1">
        <f t="array" ref="C45">IF(C$40="","",IF(_xlfn._xlws.FILTER(Schedule!$U:$U,Schedule!$T:$T=C$40,"")="",_xlfn._xlws.FILTER(Schedule!$C:$C,(Schedule!$B:$B=C$40)*(Schedule!$D:$D=$B45),""),_xlfn._xlws.FILTER(Schedule!$U:$U,Schedule!$T:$T=C$40,"")))</f>
        <v/>
      </c>
      <c r="D45" s="226" t="str" cm="1">
        <f t="array" ref="D45">IF(D$40="","",IF(_xlfn._xlws.FILTER(Schedule!$U:$U,Schedule!$T:$T=D$40,"")="",_xlfn._xlws.FILTER(Schedule!$C:$C,(Schedule!$B:$B=D$40)*(Schedule!$D:$D=$B45),""),_xlfn._xlws.FILTER(Schedule!$U:$U,Schedule!$T:$T=D$40,"")))</f>
        <v>3.SECOND &amp; TOP COAT - SO 030 (BATCH 2) - 54 NO'S</v>
      </c>
      <c r="E45" s="226" t="str" cm="1">
        <f t="array" ref="E45:E47">IF(E$40="","",IF(_xlfn._xlws.FILTER(Schedule!$U:$U,Schedule!$T:$T=E$40,"")="",_xlfn._xlws.FILTER(Schedule!$C:$C,(Schedule!$B:$B=E$40)*(Schedule!$D:$D=$B45),""),_xlfn._xlws.FILTER(Schedule!$U:$U,Schedule!$T:$T=E$40,"")))</f>
        <v>1.HYDRO - SO 002 - 4 NO'S (2 valve 8")</v>
      </c>
      <c r="F45" s="226" t="str" cm="1">
        <f t="array" ref="F45:F47">IF(F$40="","",IF(_xlfn._xlws.FILTER(Schedule!$U:$U,Schedule!$T:$T=F$40,"")="",_xlfn._xlws.FILTER(Schedule!$C:$C,(Schedule!$B:$B=F$40)*(Schedule!$D:$D=$B45),""),_xlfn._xlws.FILTER(Schedule!$U:$U,Schedule!$T:$T=F$40,"")))</f>
        <v>1.HYDRO - SO 005 - 2 NO'S</v>
      </c>
      <c r="G45" s="430" t="str" cm="1">
        <f t="array" ref="G45:G49">IF(G$40="","",IF(_xlfn._xlws.FILTER(Schedule!$U:$U,Schedule!$T:$T=G$40,"")="",_xlfn._xlws.FILTER(Schedule!$C:$C,(Schedule!$B:$B=G$40)*(Schedule!$D:$D=$B45),""),_xlfn._xlws.FILTER(Schedule!$U:$U,Schedule!$T:$T=G$40,"")))</f>
        <v>1.HYDRO - SO 010 - 11 NO'S</v>
      </c>
      <c r="H45" s="426" t="str" cm="1">
        <f t="array" ref="H45:H46">IF(H$40="","",IF(_xlfn._xlws.FILTER(Schedule!$U:$U,Schedule!$T:$T=H$40,"")="",_xlfn._xlws.FILTER(Schedule!$C:$C,(Schedule!$B:$B=H$40)*(Schedule!$D:$D=$B45),""),_xlfn._xlws.FILTER(Schedule!$U:$U,Schedule!$T:$T=H$40,"")))</f>
        <v>1.HYDRO - SO 010 - 11 NO'S</v>
      </c>
      <c r="I45" s="237" t="str" cm="1">
        <f t="array" ref="I45">IF(I$40="","",IF(_xlfn._xlws.FILTER(Schedule!$U:$U,Schedule!$T:$T=I$40,"")="",_xlfn._xlws.FILTER(Schedule!$C:$C,(Schedule!$B:$B=I$40)*(Schedule!$D:$D=$B45),""),_xlfn._xlws.FILTER(Schedule!$U:$U,Schedule!$T:$T=I$40,"")))</f>
        <v/>
      </c>
    </row>
    <row r="46" spans="1:9" s="216" customFormat="1" ht="26" customHeight="1" outlineLevel="1" x14ac:dyDescent="0.25">
      <c r="A46" s="612"/>
      <c r="B46" s="614"/>
      <c r="C46" s="223"/>
      <c r="D46" s="224"/>
      <c r="E46" s="224" t="str">
        <v>1.HYDRO - SO 002 - 4 NO'S (Balance 2 valve)</v>
      </c>
      <c r="F46" s="224" t="str">
        <v>2.BLASTING &amp; PRIMER - SO 002 - 4 NO'S (2 valve 8")</v>
      </c>
      <c r="G46" s="431" t="str">
        <v>1.HYDRO - SO 012 - 8 NO'S</v>
      </c>
      <c r="H46" s="427" t="str">
        <v>1.HYDRO - SO 013 - 7 NO'S</v>
      </c>
      <c r="I46" s="236"/>
    </row>
    <row r="47" spans="1:9" s="216" customFormat="1" ht="26" customHeight="1" outlineLevel="1" x14ac:dyDescent="0.25">
      <c r="A47" s="612"/>
      <c r="B47" s="614"/>
      <c r="C47" s="223"/>
      <c r="D47" s="224"/>
      <c r="E47" s="224" t="str">
        <v>3.SECOND &amp; TOP COAT - SO 030 (BATCH 2) - 54 NO'S</v>
      </c>
      <c r="F47" s="224" t="str">
        <v>3.SECOND &amp; TOP COAT - SO 030 (BATCH 2) - 54 NO'S</v>
      </c>
      <c r="G47" s="431" t="str">
        <v>2.BLASTING &amp; PRIMER - SO 002 - 4 NO'S (Balance 2 valve)</v>
      </c>
      <c r="H47" s="427"/>
      <c r="I47" s="236"/>
    </row>
    <row r="48" spans="1:9" s="216" customFormat="1" ht="26" customHeight="1" outlineLevel="1" x14ac:dyDescent="0.25">
      <c r="A48" s="612"/>
      <c r="B48" s="614"/>
      <c r="C48" s="223"/>
      <c r="D48" s="224"/>
      <c r="E48" s="224"/>
      <c r="F48" s="224"/>
      <c r="G48" s="431" t="str">
        <v>3.SECOND &amp; TOP COAT - SO 002 - 4 NO'S (2 valve 8")</v>
      </c>
      <c r="H48" s="427"/>
      <c r="I48" s="236"/>
    </row>
    <row r="49" spans="1:9" s="216" customFormat="1" ht="26" customHeight="1" outlineLevel="1" x14ac:dyDescent="0.25">
      <c r="A49" s="612"/>
      <c r="B49" s="614"/>
      <c r="C49" s="223"/>
      <c r="D49" s="224"/>
      <c r="E49" s="224"/>
      <c r="F49" s="224"/>
      <c r="G49" s="431" t="str">
        <v>3.SECOND &amp; TOP COAT - SO 030 (BATCH 2) - 54 NO'S</v>
      </c>
      <c r="H49" s="427"/>
      <c r="I49" s="236"/>
    </row>
    <row r="50" spans="1:9" s="216" customFormat="1" ht="26" customHeight="1" outlineLevel="1" thickBot="1" x14ac:dyDescent="0.3">
      <c r="A50" s="612"/>
      <c r="B50" s="615"/>
      <c r="C50" s="223"/>
      <c r="D50" s="224"/>
      <c r="E50" s="224"/>
      <c r="F50" s="224"/>
      <c r="G50" s="431"/>
      <c r="H50" s="427"/>
      <c r="I50" s="236"/>
    </row>
    <row r="51" spans="1:9" s="216" customFormat="1" ht="26" customHeight="1" outlineLevel="1" x14ac:dyDescent="0.25">
      <c r="A51" s="616" t="s">
        <v>874</v>
      </c>
      <c r="B51" s="617"/>
      <c r="C51" s="225" t="str" cm="1">
        <f t="array" ref="C51">IF(C$40="","",_xlfn._xlws.FILTER(Schedule!$G:$G,Schedule!$F:$F=C$40,""))</f>
        <v/>
      </c>
      <c r="D51" s="226" t="str" cm="1">
        <f t="array" ref="D51">IF(D$40="","",_xlfn._xlws.FILTER(Schedule!$G:$G,Schedule!$F:$F=D$40,""))</f>
        <v>1.HYDRO INSPECTION - SO 030 (BATCH 2) - 54 NO'S</v>
      </c>
      <c r="E51" s="226" t="str" cm="1">
        <f t="array" ref="E51">IF(E$40="","",_xlfn._xlws.FILTER(Schedule!$G:$G,Schedule!$F:$F=E$40,""))</f>
        <v>1.HYDRO INSPECTION - SO 030 (BATCH 2) - 54 NO'S</v>
      </c>
      <c r="F51" s="226" t="str" cm="1">
        <f t="array" ref="F51">IF(F$40="","",_xlfn._xlws.FILTER(Schedule!$G:$G,Schedule!$F:$F=F$40,""))</f>
        <v>1.HYDRO INSPECTION - SO 030 (BATCH 2) - 54 NO'S</v>
      </c>
      <c r="G51" s="430" t="str" cm="1">
        <f t="array" ref="G51">IF(G$40="","",_xlfn._xlws.FILTER(Schedule!$G:$G,Schedule!$F:$F=G$40,""))</f>
        <v>1.HYDRO INSPECTION - SO 030 (BATCH 2) - 54 NO'S</v>
      </c>
      <c r="H51" s="426" t="str" cm="1">
        <f t="array" ref="H51">IF(H$40="","",_xlfn._xlws.FILTER(Schedule!$G:$G,Schedule!$F:$F=H$40,""))</f>
        <v/>
      </c>
      <c r="I51" s="237" t="str" cm="1">
        <f t="array" ref="I51">IF(I$40="","",_xlfn._xlws.FILTER(Schedule!$G:$G,Schedule!$F:$F=I$40,""))</f>
        <v/>
      </c>
    </row>
    <row r="52" spans="1:9" s="216" customFormat="1" ht="26" customHeight="1" outlineLevel="1" thickBot="1" x14ac:dyDescent="0.3">
      <c r="A52" s="620"/>
      <c r="B52" s="621"/>
      <c r="C52" s="227"/>
      <c r="D52" s="228"/>
      <c r="E52" s="228"/>
      <c r="F52" s="228"/>
      <c r="G52" s="432"/>
      <c r="H52" s="428"/>
      <c r="I52" s="235"/>
    </row>
    <row r="53" spans="1:9" s="81" customFormat="1" ht="24.5" thickTop="1" thickBot="1" x14ac:dyDescent="0.3">
      <c r="C53" s="410" cm="1">
        <f t="array" ref="C53:I53">_xlfn.LET(_xlpm.AwalBulan, 1&amp;$D$1&amp;$F$1, _xlpm.tgl, _xlfn.SEQUENCE(1, 7, _xlpm.AwalBulan - WEEKDAY(_xlpm.AwalBulan, 2) + 28), IF(MONTH(_xlpm.tgl)=MONTH(_xlpm.AwalBulan), _xlpm.tgl, ""))</f>
        <v>46229</v>
      </c>
      <c r="D53" s="411">
        <v>46230</v>
      </c>
      <c r="E53" s="411">
        <v>46231</v>
      </c>
      <c r="F53" s="411">
        <v>46232</v>
      </c>
      <c r="G53" s="429">
        <v>46233</v>
      </c>
      <c r="H53" s="424">
        <v>46234</v>
      </c>
      <c r="I53" s="412" t="str">
        <v/>
      </c>
    </row>
    <row r="54" spans="1:9" s="81" customFormat="1" ht="24" thickBot="1" x14ac:dyDescent="0.3">
      <c r="C54" s="413" t="s">
        <v>1177</v>
      </c>
      <c r="D54" s="414" t="s">
        <v>1177</v>
      </c>
      <c r="E54" s="414" t="s">
        <v>1177</v>
      </c>
      <c r="F54" s="414" t="s">
        <v>1177</v>
      </c>
      <c r="G54" s="415" t="s">
        <v>1177</v>
      </c>
      <c r="H54" s="425" t="s">
        <v>1177</v>
      </c>
      <c r="I54" s="415" t="s">
        <v>1177</v>
      </c>
    </row>
    <row r="55" spans="1:9" s="216" customFormat="1" ht="26" customHeight="1" outlineLevel="1" x14ac:dyDescent="0.25">
      <c r="A55" s="611" t="s">
        <v>875</v>
      </c>
      <c r="B55" s="613" t="s">
        <v>877</v>
      </c>
      <c r="C55" s="225" t="str" cm="1">
        <f t="array" ref="C55">IF(C$53="","",IF(_xlfn._xlws.FILTER(Schedule!$U:$U,Schedule!$T:$T=C$53,"")="",_xlfn._xlws.FILTER(Schedule!$C:$C,(Schedule!$B:$B=C$53)*(Schedule!$D:$D=$B55),""),_xlfn._xlws.FILTER(Schedule!$U:$U,Schedule!$T:$T=C$53,"")))</f>
        <v/>
      </c>
      <c r="D55" s="226" t="str" cm="1">
        <f t="array" ref="D55">IF(D$53="","",IF(_xlfn._xlws.FILTER(Schedule!$U:$U,Schedule!$T:$T=D$53,"")="",_xlfn._xlws.FILTER(Schedule!$C:$C,(Schedule!$B:$B=D$53)*(Schedule!$D:$D=$B55),""),_xlfn._xlws.FILTER(Schedule!$U:$U,Schedule!$T:$T=D$53,"")))</f>
        <v>2.BLASTING &amp; PRIMER - SO 012 - 8 NO'S</v>
      </c>
      <c r="E55" s="226" t="str" cm="1">
        <f t="array" ref="E55:E57">IF(E$53="","",IF(_xlfn._xlws.FILTER(Schedule!$U:$U,Schedule!$T:$T=E$53,"")="",_xlfn._xlws.FILTER(Schedule!$C:$C,(Schedule!$B:$B=E$53)*(Schedule!$D:$D=$B55),""),_xlfn._xlws.FILTER(Schedule!$U:$U,Schedule!$T:$T=E$53,"")))</f>
        <v>2.BLASTING &amp; PRIMER - SO 004 - 76 NO'S (10" First Priority)</v>
      </c>
      <c r="F55" s="226" t="str" cm="1">
        <f t="array" ref="F55:F56">IF(F$53="","",IF(_xlfn._xlws.FILTER(Schedule!$U:$U,Schedule!$T:$T=F$53,"")="",_xlfn._xlws.FILTER(Schedule!$C:$C,(Schedule!$B:$B=F$53)*(Schedule!$D:$D=$B55),""),_xlfn._xlws.FILTER(Schedule!$U:$U,Schedule!$T:$T=F$53,"")))</f>
        <v>2.BLASTING &amp; PRIMER - SO 004 - 76 NO'S</v>
      </c>
      <c r="G55" s="430" t="str" cm="1">
        <f t="array" ref="G55:G58">IF(G$53="","",IF(_xlfn._xlws.FILTER(Schedule!$U:$U,Schedule!$T:$T=G$53,"")="",_xlfn._xlws.FILTER(Schedule!$C:$C,(Schedule!$B:$B=G$53)*(Schedule!$D:$D=$B55),""),_xlfn._xlws.FILTER(Schedule!$U:$U,Schedule!$T:$T=G$53,"")))</f>
        <v>2.BLASTING &amp; PRIMER - SO 004 - 76 NO'S</v>
      </c>
      <c r="H55" s="426" t="str" cm="1">
        <f t="array" ref="H55:H58">IF(H$53="","",IF(_xlfn._xlws.FILTER(Schedule!$U:$U,Schedule!$T:$T=H$53,"")="",_xlfn._xlws.FILTER(Schedule!$C:$C,(Schedule!$B:$B=H$53)*(Schedule!$D:$D=$B55),""),_xlfn._xlws.FILTER(Schedule!$U:$U,Schedule!$T:$T=H$53,"")))</f>
        <v>2.BLASTING &amp; PRIMER - SO 014 - 4 NO'S</v>
      </c>
      <c r="I55" s="237" t="str" cm="1">
        <f t="array" ref="I55">IF(I$53="","",IF(_xlfn._xlws.FILTER(Schedule!$U:$U,Schedule!$T:$T=I$53,"")="",_xlfn._xlws.FILTER(Schedule!$C:$C,(Schedule!$B:$B=I$53)*(Schedule!$D:$D=$B55),""),_xlfn._xlws.FILTER(Schedule!$U:$U,Schedule!$T:$T=I$53,"")))</f>
        <v/>
      </c>
    </row>
    <row r="56" spans="1:9" s="216" customFormat="1" ht="26" customHeight="1" outlineLevel="1" x14ac:dyDescent="0.25">
      <c r="A56" s="612"/>
      <c r="B56" s="614"/>
      <c r="C56" s="223"/>
      <c r="D56" s="224"/>
      <c r="E56" s="224" t="str">
        <v>2.BLASTING &amp; PRIMER - SO 004 - 76 NO'S (Balance Valve)</v>
      </c>
      <c r="F56" s="224" t="str">
        <v>3.SECOND &amp; TOP COAT - SO 012 - 8 NO'S</v>
      </c>
      <c r="G56" s="431" t="str">
        <v>2.BLASTING &amp; PRIMER - SO 015 - 26 NO'S</v>
      </c>
      <c r="H56" s="427" t="str">
        <v>3.SECOND &amp; TOP COAT - SO 002 - 4 NO'S (Balance 2 Valve)</v>
      </c>
      <c r="I56" s="236"/>
    </row>
    <row r="57" spans="1:9" s="216" customFormat="1" ht="26" customHeight="1" outlineLevel="1" x14ac:dyDescent="0.25">
      <c r="A57" s="612"/>
      <c r="B57" s="614"/>
      <c r="C57" s="223"/>
      <c r="D57" s="224"/>
      <c r="E57" s="224" t="str">
        <v>2.BLASTING &amp; PRIMER - SO 015 - 26 NO'S</v>
      </c>
      <c r="F57" s="224"/>
      <c r="G57" s="431" t="str">
        <v>3.SECOND &amp; TOP COAT - SO 012 - 8 NO'S</v>
      </c>
      <c r="H57" s="427" t="str">
        <v>3.SECOND &amp; TOP COAT - SO 004 - 76 NO'S (10" First Priority)</v>
      </c>
      <c r="I57" s="236"/>
    </row>
    <row r="58" spans="1:9" s="216" customFormat="1" ht="26" customHeight="1" outlineLevel="1" thickBot="1" x14ac:dyDescent="0.3">
      <c r="A58" s="612"/>
      <c r="B58" s="615"/>
      <c r="C58" s="227"/>
      <c r="D58" s="228"/>
      <c r="E58" s="228"/>
      <c r="F58" s="228"/>
      <c r="G58" s="432" t="str">
        <v>3.SECOND &amp; TOP COAT - SO 015 - 26 NO'S</v>
      </c>
      <c r="H58" s="428" t="str">
        <v>3.SECOND &amp; TOP COAT - SO 015 - 26 NO'S</v>
      </c>
      <c r="I58" s="235"/>
    </row>
    <row r="59" spans="1:9" s="216" customFormat="1" ht="26" customHeight="1" outlineLevel="1" x14ac:dyDescent="0.25">
      <c r="A59" s="612"/>
      <c r="B59" s="614" t="s">
        <v>878</v>
      </c>
      <c r="C59" s="225" t="str" cm="1">
        <f t="array" ref="C59">IF(C$53="","",IF(_xlfn._xlws.FILTER(Schedule!$U:$U,Schedule!$T:$T=C$53,"")="",_xlfn._xlws.FILTER(Schedule!$C:$C,(Schedule!$B:$B=C$53)*(Schedule!$D:$D=$B59),""),_xlfn._xlws.FILTER(Schedule!$U:$U,Schedule!$T:$T=C$53,"")))</f>
        <v/>
      </c>
      <c r="D59" s="226" t="str" cm="1">
        <f t="array" ref="D59:D61">IF(D$53="","",IF(_xlfn._xlws.FILTER(Schedule!$U:$U,Schedule!$T:$T=D$53,"")="",_xlfn._xlws.FILTER(Schedule!$C:$C,(Schedule!$B:$B=D$53)*(Schedule!$D:$D=$B59),""),_xlfn._xlws.FILTER(Schedule!$U:$U,Schedule!$T:$T=D$53,"")))</f>
        <v>1.HYDRO - SO 004 - 76 NO'S (10" First Priority)</v>
      </c>
      <c r="E59" s="226" t="str" cm="1">
        <f t="array" ref="E59:E62">IF(E$53="","",IF(_xlfn._xlws.FILTER(Schedule!$U:$U,Schedule!$T:$T=E$53,"")="",_xlfn._xlws.FILTER(Schedule!$C:$C,(Schedule!$B:$B=E$53)*(Schedule!$D:$D=$B59),""),_xlfn._xlws.FILTER(Schedule!$U:$U,Schedule!$T:$T=E$53,"")))</f>
        <v>1.HYDRO - SO 004 - 76 NO'S</v>
      </c>
      <c r="F59" s="226" t="str" cm="1">
        <f t="array" ref="F59:F61">IF(F$53="","",IF(_xlfn._xlws.FILTER(Schedule!$U:$U,Schedule!$T:$T=F$53,"")="",_xlfn._xlws.FILTER(Schedule!$C:$C,(Schedule!$B:$B=F$53)*(Schedule!$D:$D=$B59),""),_xlfn._xlws.FILTER(Schedule!$U:$U,Schedule!$T:$T=F$53,"")))</f>
        <v>1.HYDRO - SO 004 - 76 NO'S</v>
      </c>
      <c r="G59" s="430" t="str" cm="1">
        <f t="array" ref="G59:G65">IF(G$53="","",IF(_xlfn._xlws.FILTER(Schedule!$U:$U,Schedule!$T:$T=G$53,"")="",_xlfn._xlws.FILTER(Schedule!$C:$C,(Schedule!$B:$B=G$53)*(Schedule!$D:$D=$B59),""),_xlfn._xlws.FILTER(Schedule!$U:$U,Schedule!$T:$T=G$53,"")))</f>
        <v>1.HYDRO - SO 004 - 76 NO'S</v>
      </c>
      <c r="H59" s="426" t="str" cm="1">
        <f t="array" ref="H59:H60">IF(H$53="","",IF(_xlfn._xlws.FILTER(Schedule!$U:$U,Schedule!$T:$T=H$53,"")="",_xlfn._xlws.FILTER(Schedule!$C:$C,(Schedule!$B:$B=H$53)*(Schedule!$D:$D=$B59),""),_xlfn._xlws.FILTER(Schedule!$U:$U,Schedule!$T:$T=H$53,"")))</f>
        <v>1.HYDRO - SO 018 - 7 NO'S</v>
      </c>
      <c r="I59" s="237" t="str" cm="1">
        <f t="array" ref="I59">IF(I$53="","",IF(_xlfn._xlws.FILTER(Schedule!$U:$U,Schedule!$T:$T=I$53,"")="",_xlfn._xlws.FILTER(Schedule!$C:$C,(Schedule!$B:$B=I$53)*(Schedule!$D:$D=$B59),""),_xlfn._xlws.FILTER(Schedule!$U:$U,Schedule!$T:$T=I$53,"")))</f>
        <v/>
      </c>
    </row>
    <row r="60" spans="1:9" s="216" customFormat="1" ht="26" customHeight="1" outlineLevel="1" x14ac:dyDescent="0.25">
      <c r="A60" s="612"/>
      <c r="B60" s="614"/>
      <c r="C60" s="223"/>
      <c r="D60" s="224" t="str">
        <v>1.HYDRO - SO 015 - 26 NO'S</v>
      </c>
      <c r="E60" s="224" t="str">
        <v>2.BLASTING &amp; PRIMER - SO 004 - 76 NO'S (Balance Valve)</v>
      </c>
      <c r="F60" s="224" t="str">
        <v>2.BLASTING &amp; PRIMER - SO 004 - 76 NO'S</v>
      </c>
      <c r="G60" s="431" t="str">
        <v>1.HYDRO - SO 014 - 4 NO'S</v>
      </c>
      <c r="H60" s="427" t="str">
        <v>3.SECOND &amp; TOP COAT - SO 004 - 76 NO'S (10" First Priority)</v>
      </c>
      <c r="I60" s="236"/>
    </row>
    <row r="61" spans="1:9" s="216" customFormat="1" ht="26" customHeight="1" outlineLevel="1" x14ac:dyDescent="0.25">
      <c r="A61" s="612"/>
      <c r="B61" s="614"/>
      <c r="C61" s="223"/>
      <c r="D61" s="224" t="str">
        <v>2.BLASTING &amp; PRIMER - SO 012 - 8 NO'S</v>
      </c>
      <c r="E61" s="224" t="str">
        <v>2.BLASTING &amp; PRIMER - SO 015 - 26 NO'S</v>
      </c>
      <c r="F61" s="224" t="str">
        <v>3.SECOND &amp; TOP COAT - SO 012 - 8 NO'S</v>
      </c>
      <c r="G61" s="431" t="str">
        <v>2.BLASTING &amp; PRIMER - SO 004 - 76 NO'S</v>
      </c>
      <c r="H61" s="427"/>
      <c r="I61" s="236"/>
    </row>
    <row r="62" spans="1:9" s="216" customFormat="1" ht="26" customHeight="1" outlineLevel="1" x14ac:dyDescent="0.25">
      <c r="A62" s="612"/>
      <c r="B62" s="614"/>
      <c r="C62" s="223"/>
      <c r="D62" s="224"/>
      <c r="E62" s="224" t="str">
        <v>3.SECOND &amp; TOP COAT - SO 012 - 8 NO'S</v>
      </c>
      <c r="F62" s="224"/>
      <c r="G62" s="431" t="str">
        <v>2.BLASTING &amp; PRIMER - SO 014 - 4 NO'S</v>
      </c>
      <c r="H62" s="427"/>
      <c r="I62" s="236"/>
    </row>
    <row r="63" spans="1:9" s="216" customFormat="1" ht="26" customHeight="1" outlineLevel="1" x14ac:dyDescent="0.25">
      <c r="A63" s="612"/>
      <c r="B63" s="614"/>
      <c r="C63" s="223"/>
      <c r="D63" s="224"/>
      <c r="E63" s="224"/>
      <c r="F63" s="224"/>
      <c r="G63" s="431" t="str">
        <v>2.BLASTING &amp; PRIMER - SO 015 - 26 NO'S</v>
      </c>
      <c r="H63" s="427"/>
      <c r="I63" s="236"/>
    </row>
    <row r="64" spans="1:9" s="216" customFormat="1" ht="26" customHeight="1" outlineLevel="1" x14ac:dyDescent="0.25">
      <c r="A64" s="612"/>
      <c r="B64" s="614"/>
      <c r="C64" s="223"/>
      <c r="D64" s="224"/>
      <c r="E64" s="224"/>
      <c r="F64" s="224"/>
      <c r="G64" s="431" t="str">
        <v>3.SECOND &amp; TOP COAT - SO 012 - 8 NO'S</v>
      </c>
      <c r="H64" s="427"/>
      <c r="I64" s="236"/>
    </row>
    <row r="65" spans="1:9" s="216" customFormat="1" ht="26" customHeight="1" outlineLevel="1" thickBot="1" x14ac:dyDescent="0.3">
      <c r="A65" s="612"/>
      <c r="B65" s="615"/>
      <c r="C65" s="223"/>
      <c r="D65" s="224"/>
      <c r="E65" s="224"/>
      <c r="F65" s="224"/>
      <c r="G65" s="431" t="str">
        <v>3.SECOND &amp; TOP COAT - SO 015 - 26 NO'S</v>
      </c>
      <c r="H65" s="427"/>
      <c r="I65" s="236"/>
    </row>
    <row r="66" spans="1:9" s="216" customFormat="1" ht="26" customHeight="1" outlineLevel="1" x14ac:dyDescent="0.25">
      <c r="A66" s="616" t="s">
        <v>874</v>
      </c>
      <c r="B66" s="617"/>
      <c r="C66" s="225" t="str" cm="1">
        <f t="array" ref="C66">IF(C$53="","",_xlfn._xlws.FILTER(Schedule!$G:$G,Schedule!$F:$F=C$53,""))</f>
        <v/>
      </c>
      <c r="D66" s="226" t="str" cm="1">
        <f t="array" ref="D66:D67">IF(D$53="","",_xlfn._xlws.FILTER(Schedule!$G:$G,Schedule!$F:$F=D$53,""))</f>
        <v>1.HYDRO INSPECTION - SO 012 - 8 NO'S</v>
      </c>
      <c r="E66" s="226" t="str" cm="1">
        <f t="array" ref="E66:E67">IF(E$53="","",_xlfn._xlws.FILTER(Schedule!$G:$G,Schedule!$F:$F=E$53,""))</f>
        <v>1.HYDRO INSPECTION - SO 013 - 7 NO'S</v>
      </c>
      <c r="F66" s="226" t="str" cm="1">
        <f t="array" ref="F66:F67">IF(F$53="","",_xlfn._xlws.FILTER(Schedule!$G:$G,Schedule!$F:$F=F$53,""))</f>
        <v>1.HYDRO INSPECTION - SO 015 - 26 NO'S</v>
      </c>
      <c r="G66" s="430" t="str" cm="1">
        <f t="array" ref="G66:G67">IF(G$53="","",_xlfn._xlws.FILTER(Schedule!$G:$G,Schedule!$F:$F=G$53,""))</f>
        <v>1.HYDRO INSPECTION - SO 002 - 4 NO'S (Balance 2 Valve)</v>
      </c>
      <c r="H66" s="426" t="str" cm="1">
        <f t="array" ref="H66:H68">IF(H$53="","",_xlfn._xlws.FILTER(Schedule!$G:$G,Schedule!$F:$F=H$53,""))</f>
        <v>1.HYDRO INSPECTION - SO 004 - 76 NO'S (10% Witness)</v>
      </c>
      <c r="I66" s="237" t="str" cm="1">
        <f t="array" ref="I66">IF(I$53="","",_xlfn._xlws.FILTER(Schedule!$G:$G,Schedule!$F:$F=I$53,""))</f>
        <v/>
      </c>
    </row>
    <row r="67" spans="1:9" s="216" customFormat="1" ht="26" customHeight="1" outlineLevel="1" x14ac:dyDescent="0.25">
      <c r="A67" s="618"/>
      <c r="B67" s="619"/>
      <c r="C67" s="223"/>
      <c r="D67" s="224" t="str">
        <v>2.FINAL INSPECTION - SO 002 - 4 NO'S (2 valve 8")</v>
      </c>
      <c r="E67" s="224" t="str">
        <v>2.FINAL INSPECTION - SO 030 (BATCH 2) - 54 NO'S</v>
      </c>
      <c r="F67" s="224" t="str">
        <v>2.FINAL INSPECTION - SO 030 (BATCH 2) - 54 NO'S</v>
      </c>
      <c r="G67" s="431" t="str">
        <v>1.HYDRO INSPECTION - SO 004 - 76 NO'S (10% Witness) 10" First Priority</v>
      </c>
      <c r="H67" s="427" t="str">
        <v>2.FINAL INSPECTION - SO 012 - 8 NO'S</v>
      </c>
      <c r="I67" s="236"/>
    </row>
    <row r="68" spans="1:9" s="216" customFormat="1" ht="26" customHeight="1" outlineLevel="1" thickBot="1" x14ac:dyDescent="0.3">
      <c r="A68" s="620"/>
      <c r="B68" s="621"/>
      <c r="C68" s="227"/>
      <c r="D68" s="228"/>
      <c r="E68" s="228"/>
      <c r="F68" s="228"/>
      <c r="G68" s="432"/>
      <c r="H68" s="428" t="str">
        <v>2.FINAL INSPECTION - SO 013 - 7 NO'S</v>
      </c>
      <c r="I68" s="235"/>
    </row>
  </sheetData>
  <mergeCells count="24">
    <mergeCell ref="A38:B39"/>
    <mergeCell ref="A15:B17"/>
    <mergeCell ref="D1:E1"/>
    <mergeCell ref="F1:G1"/>
    <mergeCell ref="H1:I1"/>
    <mergeCell ref="A5:A14"/>
    <mergeCell ref="B5:B9"/>
    <mergeCell ref="B10:B14"/>
    <mergeCell ref="A20:A27"/>
    <mergeCell ref="B20:B23"/>
    <mergeCell ref="B24:B27"/>
    <mergeCell ref="A28:B31"/>
    <mergeCell ref="A34:A37"/>
    <mergeCell ref="B34:B35"/>
    <mergeCell ref="B36:B37"/>
    <mergeCell ref="A1:B1"/>
    <mergeCell ref="A66:B68"/>
    <mergeCell ref="A42:A50"/>
    <mergeCell ref="B42:B44"/>
    <mergeCell ref="A51:B52"/>
    <mergeCell ref="A55:A65"/>
    <mergeCell ref="B55:B58"/>
    <mergeCell ref="B59:B65"/>
    <mergeCell ref="B45:B50"/>
  </mergeCells>
  <conditionalFormatting sqref="C5:I17 C34:I39 C42:I52 C55:I68 C20:I31">
    <cfRule type="beginsWith" dxfId="37" priority="21" operator="beginsWith" text="1.HYDRO INSPECTION">
      <formula>LEFT(C5,LEN("1.HYDRO INSPECTION"))="1.HYDRO INSPECTION"</formula>
    </cfRule>
    <cfRule type="expression" dxfId="36" priority="32">
      <formula>OR(ISNUMBER(SEARCH("Blasting",C5)),ISNUMBER(SEARCH("Painting",C5)))</formula>
    </cfRule>
    <cfRule type="containsText" dxfId="35" priority="33" operator="containsText" text="Hydro">
      <formula>NOT(ISERROR(SEARCH("Hydro",C5)))</formula>
    </cfRule>
  </conditionalFormatting>
  <conditionalFormatting sqref="C5:I17 C34:I39 C42:I52 C55:I68 C20:I31">
    <cfRule type="containsText" dxfId="34" priority="31" operator="containsText" text="SECOND &amp; TOP">
      <formula>NOT(ISERROR(SEARCH("SECOND &amp; TOP",C5)))</formula>
    </cfRule>
  </conditionalFormatting>
  <conditionalFormatting sqref="C5:I17 C34:I39 C42:I52 C55:I68 C20:I31">
    <cfRule type="containsText" dxfId="33" priority="30" operator="containsText" text="FINAL INSPECTION">
      <formula>NOT(ISERROR(SEARCH("FINAL INSPECTION",C5)))</formula>
    </cfRule>
  </conditionalFormatting>
  <dataValidations count="2">
    <dataValidation type="list" allowBlank="1" showInputMessage="1" showErrorMessage="1" sqref="C1" xr:uid="{8A3A90F4-361B-4705-8DAA-9C3D3C9B8848}">
      <formula1>"1,2,3,4,5"</formula1>
    </dataValidation>
    <dataValidation type="list" allowBlank="1" showInputMessage="1" showErrorMessage="1" sqref="D1" xr:uid="{DA11F1E3-4688-4A4C-B555-4CB23D2FB090}">
      <formula1>"January,February,March,April,May,June,July,August,September,October,November,December"</formula1>
    </dataValidation>
  </dataValidations>
  <hyperlinks>
    <hyperlink ref="A1" location="Dashboard!A1" display="⬅ Kembali ke Dashboard" xr:uid="{F88B9F7A-D741-4DDD-AF05-53A775474D80}"/>
  </hyperlinks>
  <printOptions horizontalCentered="1"/>
  <pageMargins left="0.24" right="0.13" top="0.75" bottom="0.75" header="0.3" footer="0.3"/>
  <pageSetup paperSize="9" scale="32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33159-0DFE-434C-85F7-8B841DB841D5}">
  <sheetPr codeName="Sheet4"/>
  <dimension ref="B1:U366"/>
  <sheetViews>
    <sheetView zoomScale="55" zoomScaleNormal="55" workbookViewId="0">
      <selection activeCell="G58" sqref="G58"/>
    </sheetView>
  </sheetViews>
  <sheetFormatPr defaultRowHeight="12.5" outlineLevelCol="1" x14ac:dyDescent="0.25"/>
  <cols>
    <col min="1" max="1" width="3.6328125" customWidth="1"/>
    <col min="2" max="2" width="8.7265625" style="213" customWidth="1"/>
    <col min="3" max="3" width="45.1796875" bestFit="1" customWidth="1"/>
    <col min="4" max="4" width="11" bestFit="1" customWidth="1"/>
    <col min="5" max="5" width="3.6328125" customWidth="1"/>
    <col min="6" max="6" width="8.7265625" customWidth="1"/>
    <col min="7" max="7" width="43.90625" bestFit="1" customWidth="1"/>
    <col min="8" max="8" width="2.7265625" customWidth="1"/>
    <col min="9" max="9" width="8.81640625" style="417" bestFit="1" customWidth="1"/>
    <col min="10" max="10" width="8.81640625" style="417" customWidth="1"/>
    <col min="11" max="11" width="14.54296875" bestFit="1" customWidth="1"/>
    <col min="12" max="12" width="44.36328125" bestFit="1" customWidth="1"/>
    <col min="13" max="13" width="11.6328125" hidden="1" customWidth="1" outlineLevel="1"/>
    <col min="14" max="14" width="8" hidden="1" customWidth="1" outlineLevel="1"/>
    <col min="15" max="15" width="10" hidden="1" customWidth="1" outlineLevel="1"/>
    <col min="16" max="16" width="7.90625" bestFit="1" customWidth="1" collapsed="1"/>
    <col min="17" max="17" width="9.54296875" customWidth="1"/>
    <col min="18" max="18" width="17.7265625" customWidth="1"/>
    <col min="19" max="19" width="23.26953125" customWidth="1"/>
    <col min="21" max="21" width="43.7265625" bestFit="1" customWidth="1"/>
  </cols>
  <sheetData>
    <row r="1" spans="2:21" x14ac:dyDescent="0.25">
      <c r="B1" s="233" t="s">
        <v>877</v>
      </c>
      <c r="C1" s="233" t="s">
        <v>1179</v>
      </c>
      <c r="F1" s="212" t="s">
        <v>874</v>
      </c>
      <c r="T1" s="234" t="s">
        <v>876</v>
      </c>
      <c r="U1" s="234"/>
    </row>
    <row r="2" spans="2:21" x14ac:dyDescent="0.25">
      <c r="B2" s="418"/>
      <c r="C2" s="418"/>
      <c r="F2" s="407"/>
      <c r="G2" s="407"/>
      <c r="T2" s="632"/>
      <c r="U2" s="632"/>
    </row>
    <row r="3" spans="2:21" s="420" customFormat="1" ht="25" x14ac:dyDescent="0.25">
      <c r="B3" s="421" t="s">
        <v>864</v>
      </c>
      <c r="C3" s="438" t="s">
        <v>865</v>
      </c>
      <c r="D3" s="438" t="s">
        <v>1180</v>
      </c>
      <c r="F3" s="439" t="s">
        <v>864</v>
      </c>
      <c r="G3" s="440" t="s">
        <v>865</v>
      </c>
      <c r="I3" s="419" t="s">
        <v>1038</v>
      </c>
      <c r="J3" s="421" t="s">
        <v>1180</v>
      </c>
      <c r="K3" s="420" t="s">
        <v>111</v>
      </c>
      <c r="L3" s="420" t="s">
        <v>1147</v>
      </c>
      <c r="M3" s="420" t="s">
        <v>1</v>
      </c>
      <c r="N3" s="420" t="s">
        <v>2</v>
      </c>
      <c r="O3" s="420" t="s">
        <v>1114</v>
      </c>
      <c r="P3" s="420" t="s">
        <v>4</v>
      </c>
      <c r="Q3" s="420" t="s">
        <v>1143</v>
      </c>
      <c r="R3" s="438" t="s">
        <v>1183</v>
      </c>
      <c r="T3" s="441" t="s">
        <v>864</v>
      </c>
      <c r="U3" s="442" t="s">
        <v>865</v>
      </c>
    </row>
    <row r="4" spans="2:21" ht="12.5" customHeight="1" x14ac:dyDescent="0.25">
      <c r="B4" s="238">
        <v>46225</v>
      </c>
      <c r="C4" s="239" t="s">
        <v>1718</v>
      </c>
      <c r="D4" s="212" t="s">
        <v>878</v>
      </c>
      <c r="F4" s="238">
        <v>46233</v>
      </c>
      <c r="G4" s="240" t="s">
        <v>1730</v>
      </c>
      <c r="I4" s="403"/>
      <c r="J4" s="422"/>
      <c r="K4" s="404" t="s">
        <v>1169</v>
      </c>
      <c r="L4" s="243" t="s">
        <v>1253</v>
      </c>
      <c r="M4" s="243" t="s">
        <v>78</v>
      </c>
      <c r="N4" s="404" t="s">
        <v>118</v>
      </c>
      <c r="O4" s="404" t="s">
        <v>1139</v>
      </c>
      <c r="P4" s="404">
        <v>1</v>
      </c>
      <c r="Q4" s="404" t="s">
        <v>1159</v>
      </c>
      <c r="R4" s="420" t="s">
        <v>364</v>
      </c>
      <c r="T4" s="229">
        <v>46023</v>
      </c>
      <c r="U4" s="230" t="s">
        <v>243</v>
      </c>
    </row>
    <row r="5" spans="2:21" ht="12.5" customHeight="1" x14ac:dyDescent="0.25">
      <c r="B5" s="405">
        <v>46225</v>
      </c>
      <c r="C5" s="239" t="s">
        <v>1719</v>
      </c>
      <c r="D5" s="212" t="s">
        <v>878</v>
      </c>
      <c r="F5" s="238"/>
      <c r="G5" s="240" t="s">
        <v>1115</v>
      </c>
      <c r="I5" s="403"/>
      <c r="J5" s="422"/>
      <c r="K5" s="404" t="s">
        <v>1169</v>
      </c>
      <c r="L5" s="243" t="s">
        <v>1254</v>
      </c>
      <c r="M5" s="243" t="s">
        <v>78</v>
      </c>
      <c r="N5" s="404" t="s">
        <v>82</v>
      </c>
      <c r="O5" s="404" t="s">
        <v>1139</v>
      </c>
      <c r="P5" s="404">
        <v>1</v>
      </c>
      <c r="Q5" s="404" t="s">
        <v>1159</v>
      </c>
      <c r="R5" s="420" t="s">
        <v>946</v>
      </c>
      <c r="T5" s="229">
        <v>46038</v>
      </c>
      <c r="U5" s="230" t="s">
        <v>244</v>
      </c>
    </row>
    <row r="6" spans="2:21" ht="12.5" customHeight="1" x14ac:dyDescent="0.25">
      <c r="B6" s="405"/>
      <c r="C6" s="239" t="s">
        <v>1133</v>
      </c>
      <c r="D6" s="212" t="s">
        <v>877</v>
      </c>
      <c r="F6" s="238"/>
      <c r="G6" s="240" t="s">
        <v>1115</v>
      </c>
      <c r="I6" s="403"/>
      <c r="J6" s="422"/>
      <c r="K6" s="404" t="s">
        <v>1169</v>
      </c>
      <c r="L6" s="243" t="s">
        <v>1255</v>
      </c>
      <c r="M6" s="243" t="s">
        <v>90</v>
      </c>
      <c r="N6" s="404" t="s">
        <v>120</v>
      </c>
      <c r="O6" s="404" t="s">
        <v>1139</v>
      </c>
      <c r="P6" s="404">
        <v>1</v>
      </c>
      <c r="Q6" s="404" t="s">
        <v>1159</v>
      </c>
      <c r="R6" s="420" t="s">
        <v>946</v>
      </c>
      <c r="T6" s="229">
        <v>46069</v>
      </c>
      <c r="U6" s="230" t="s">
        <v>245</v>
      </c>
    </row>
    <row r="7" spans="2:21" ht="12.5" customHeight="1" x14ac:dyDescent="0.25">
      <c r="B7" s="238"/>
      <c r="C7" s="239" t="s">
        <v>1133</v>
      </c>
      <c r="D7" s="212" t="s">
        <v>877</v>
      </c>
      <c r="F7" s="238"/>
      <c r="G7" s="239" t="s">
        <v>1115</v>
      </c>
      <c r="I7" s="403"/>
      <c r="J7" s="422"/>
      <c r="K7" s="404" t="s">
        <v>1169</v>
      </c>
      <c r="L7" s="243" t="s">
        <v>1255</v>
      </c>
      <c r="M7" s="243" t="s">
        <v>90</v>
      </c>
      <c r="N7" s="404" t="s">
        <v>120</v>
      </c>
      <c r="O7" s="404" t="s">
        <v>1139</v>
      </c>
      <c r="P7" s="404">
        <v>1</v>
      </c>
      <c r="Q7" s="404" t="s">
        <v>1159</v>
      </c>
      <c r="R7" s="420" t="s">
        <v>946</v>
      </c>
      <c r="T7" s="229">
        <v>46070</v>
      </c>
      <c r="U7" s="230" t="s">
        <v>245</v>
      </c>
    </row>
    <row r="8" spans="2:21" ht="12.5" customHeight="1" x14ac:dyDescent="0.25">
      <c r="B8" s="238"/>
      <c r="C8" s="240" t="s">
        <v>1133</v>
      </c>
      <c r="D8" s="212" t="s">
        <v>877</v>
      </c>
      <c r="F8" s="238">
        <v>46234</v>
      </c>
      <c r="G8" s="239" t="s">
        <v>1200</v>
      </c>
      <c r="I8" s="403"/>
      <c r="J8" s="422"/>
      <c r="K8" s="404" t="s">
        <v>1169</v>
      </c>
      <c r="L8" s="243" t="s">
        <v>1253</v>
      </c>
      <c r="M8" s="243" t="s">
        <v>78</v>
      </c>
      <c r="N8" s="404" t="s">
        <v>118</v>
      </c>
      <c r="O8" s="404" t="s">
        <v>1139</v>
      </c>
      <c r="P8" s="404">
        <v>1</v>
      </c>
      <c r="Q8" s="404" t="s">
        <v>1159</v>
      </c>
      <c r="R8" s="420" t="s">
        <v>1182</v>
      </c>
      <c r="T8" s="229">
        <v>46099</v>
      </c>
      <c r="U8" s="230" t="s">
        <v>246</v>
      </c>
    </row>
    <row r="9" spans="2:21" ht="12.5" customHeight="1" x14ac:dyDescent="0.25">
      <c r="B9" s="238">
        <v>46230</v>
      </c>
      <c r="C9" s="239" t="s">
        <v>1720</v>
      </c>
      <c r="D9" s="212" t="s">
        <v>878</v>
      </c>
      <c r="F9" s="238">
        <v>46233</v>
      </c>
      <c r="G9" s="239" t="s">
        <v>1199</v>
      </c>
      <c r="I9" s="403"/>
      <c r="J9" s="422"/>
      <c r="K9" s="404" t="s">
        <v>1169</v>
      </c>
      <c r="L9" s="243" t="s">
        <v>1254</v>
      </c>
      <c r="M9" s="243" t="s">
        <v>78</v>
      </c>
      <c r="N9" s="404" t="s">
        <v>82</v>
      </c>
      <c r="O9" s="404" t="s">
        <v>1139</v>
      </c>
      <c r="P9" s="404">
        <v>1</v>
      </c>
      <c r="Q9" s="404" t="s">
        <v>1159</v>
      </c>
      <c r="R9" s="420" t="s">
        <v>1182</v>
      </c>
      <c r="T9" s="229">
        <v>46100</v>
      </c>
      <c r="U9" s="230" t="s">
        <v>246</v>
      </c>
    </row>
    <row r="10" spans="2:21" ht="12.5" customHeight="1" x14ac:dyDescent="0.25">
      <c r="B10" s="238">
        <v>46231</v>
      </c>
      <c r="C10" s="240" t="s">
        <v>1133</v>
      </c>
      <c r="D10" s="212" t="s">
        <v>878</v>
      </c>
      <c r="F10" s="238">
        <v>46237</v>
      </c>
      <c r="G10" s="240" t="s">
        <v>1120</v>
      </c>
      <c r="I10" s="403"/>
      <c r="J10" s="422"/>
      <c r="K10" s="404" t="s">
        <v>1169</v>
      </c>
      <c r="L10" s="243" t="s">
        <v>1255</v>
      </c>
      <c r="M10" s="243" t="s">
        <v>90</v>
      </c>
      <c r="N10" s="404" t="s">
        <v>120</v>
      </c>
      <c r="O10" s="404" t="s">
        <v>1139</v>
      </c>
      <c r="P10" s="404">
        <v>1</v>
      </c>
      <c r="Q10" s="404" t="s">
        <v>1159</v>
      </c>
      <c r="R10" s="420" t="s">
        <v>1182</v>
      </c>
      <c r="T10" s="229">
        <v>46101</v>
      </c>
      <c r="U10" s="230" t="s">
        <v>247</v>
      </c>
    </row>
    <row r="11" spans="2:21" ht="12.5" customHeight="1" x14ac:dyDescent="0.25">
      <c r="B11" s="238">
        <v>46232</v>
      </c>
      <c r="C11" s="240" t="s">
        <v>1133</v>
      </c>
      <c r="D11" s="212" t="s">
        <v>878</v>
      </c>
      <c r="F11" s="238">
        <v>46239</v>
      </c>
      <c r="G11" s="239" t="s">
        <v>1119</v>
      </c>
      <c r="I11" s="403"/>
      <c r="J11" s="422"/>
      <c r="K11" s="404" t="s">
        <v>1169</v>
      </c>
      <c r="L11" s="243" t="s">
        <v>1255</v>
      </c>
      <c r="M11" s="243" t="s">
        <v>90</v>
      </c>
      <c r="N11" s="404" t="s">
        <v>120</v>
      </c>
      <c r="O11" s="404" t="s">
        <v>1139</v>
      </c>
      <c r="P11" s="404">
        <v>1</v>
      </c>
      <c r="Q11" s="404" t="s">
        <v>1159</v>
      </c>
      <c r="R11" s="420" t="s">
        <v>1182</v>
      </c>
      <c r="T11" s="229">
        <v>46102</v>
      </c>
      <c r="U11" s="230" t="s">
        <v>247</v>
      </c>
    </row>
    <row r="12" spans="2:21" ht="12.5" customHeight="1" x14ac:dyDescent="0.25">
      <c r="B12" s="238">
        <v>46233</v>
      </c>
      <c r="C12" s="239" t="s">
        <v>1133</v>
      </c>
      <c r="D12" s="212" t="s">
        <v>878</v>
      </c>
      <c r="F12" s="238">
        <v>46240</v>
      </c>
      <c r="G12" s="239" t="s">
        <v>1119</v>
      </c>
      <c r="I12" s="403"/>
      <c r="J12" s="422"/>
      <c r="K12" s="404" t="s">
        <v>1169</v>
      </c>
      <c r="L12" s="243" t="s">
        <v>1253</v>
      </c>
      <c r="M12" s="243" t="s">
        <v>78</v>
      </c>
      <c r="N12" s="404" t="s">
        <v>118</v>
      </c>
      <c r="O12" s="404" t="s">
        <v>1139</v>
      </c>
      <c r="P12" s="404">
        <v>1</v>
      </c>
      <c r="Q12" s="404" t="s">
        <v>1159</v>
      </c>
      <c r="R12" s="420" t="s">
        <v>1184</v>
      </c>
      <c r="T12" s="229">
        <v>46103</v>
      </c>
      <c r="U12" s="230" t="s">
        <v>247</v>
      </c>
    </row>
    <row r="13" spans="2:21" ht="12.5" customHeight="1" x14ac:dyDescent="0.25">
      <c r="B13" s="242">
        <v>46226</v>
      </c>
      <c r="C13" s="240" t="s">
        <v>1136</v>
      </c>
      <c r="D13" s="212" t="s">
        <v>878</v>
      </c>
      <c r="F13" s="238">
        <v>46241</v>
      </c>
      <c r="G13" s="239" t="s">
        <v>1119</v>
      </c>
      <c r="I13" s="403"/>
      <c r="J13" s="422"/>
      <c r="K13" s="404" t="s">
        <v>1169</v>
      </c>
      <c r="L13" s="243" t="s">
        <v>1254</v>
      </c>
      <c r="M13" s="243" t="s">
        <v>78</v>
      </c>
      <c r="N13" s="404" t="s">
        <v>82</v>
      </c>
      <c r="O13" s="404" t="s">
        <v>1139</v>
      </c>
      <c r="P13" s="404">
        <v>1</v>
      </c>
      <c r="Q13" s="404" t="s">
        <v>1159</v>
      </c>
      <c r="R13" s="420" t="s">
        <v>1184</v>
      </c>
      <c r="T13" s="229">
        <v>46104</v>
      </c>
      <c r="U13" s="230" t="s">
        <v>247</v>
      </c>
    </row>
    <row r="14" spans="2:21" ht="12.5" customHeight="1" x14ac:dyDescent="0.25">
      <c r="B14" s="242"/>
      <c r="C14" s="240" t="s">
        <v>1136</v>
      </c>
      <c r="D14" s="212" t="s">
        <v>878</v>
      </c>
      <c r="F14" s="238">
        <v>46237</v>
      </c>
      <c r="G14" s="239" t="s">
        <v>1116</v>
      </c>
      <c r="I14" s="403"/>
      <c r="J14" s="422"/>
      <c r="K14" s="404" t="s">
        <v>1169</v>
      </c>
      <c r="L14" s="243" t="s">
        <v>1255</v>
      </c>
      <c r="M14" s="243" t="s">
        <v>90</v>
      </c>
      <c r="N14" s="404" t="s">
        <v>120</v>
      </c>
      <c r="O14" s="404" t="s">
        <v>1139</v>
      </c>
      <c r="P14" s="404">
        <v>1</v>
      </c>
      <c r="Q14" s="404" t="s">
        <v>1159</v>
      </c>
      <c r="R14" s="420" t="s">
        <v>1184</v>
      </c>
      <c r="T14" s="229">
        <v>46105</v>
      </c>
      <c r="U14" s="230" t="s">
        <v>247</v>
      </c>
    </row>
    <row r="15" spans="2:21" ht="12.5" customHeight="1" x14ac:dyDescent="0.25">
      <c r="B15" s="238"/>
      <c r="C15" s="240" t="s">
        <v>1138</v>
      </c>
      <c r="D15" s="212" t="s">
        <v>878</v>
      </c>
      <c r="F15" s="238"/>
      <c r="G15" s="239" t="s">
        <v>1116</v>
      </c>
      <c r="I15" s="403"/>
      <c r="J15" s="422"/>
      <c r="K15" s="404" t="s">
        <v>1169</v>
      </c>
      <c r="L15" s="243" t="s">
        <v>1255</v>
      </c>
      <c r="M15" s="243" t="s">
        <v>90</v>
      </c>
      <c r="N15" s="404" t="s">
        <v>120</v>
      </c>
      <c r="O15" s="404" t="s">
        <v>1139</v>
      </c>
      <c r="P15" s="404">
        <v>1</v>
      </c>
      <c r="Q15" s="404" t="s">
        <v>1159</v>
      </c>
      <c r="R15" s="420" t="s">
        <v>1184</v>
      </c>
      <c r="T15" s="229">
        <v>46115</v>
      </c>
      <c r="U15" s="230" t="s">
        <v>248</v>
      </c>
    </row>
    <row r="16" spans="2:21" ht="12.5" customHeight="1" x14ac:dyDescent="0.25">
      <c r="B16" s="238"/>
      <c r="C16" s="240" t="s">
        <v>1138</v>
      </c>
      <c r="D16" s="212" t="s">
        <v>878</v>
      </c>
      <c r="F16" s="238">
        <v>46230</v>
      </c>
      <c r="G16" s="240" t="s">
        <v>1117</v>
      </c>
      <c r="I16" s="403"/>
      <c r="J16" s="422"/>
      <c r="K16" s="456" t="s">
        <v>1142</v>
      </c>
      <c r="L16" s="243" t="s">
        <v>1256</v>
      </c>
      <c r="M16" s="243" t="s">
        <v>90</v>
      </c>
      <c r="N16" s="404" t="s">
        <v>86</v>
      </c>
      <c r="O16" s="404" t="s">
        <v>1139</v>
      </c>
      <c r="P16" s="404">
        <v>1</v>
      </c>
      <c r="Q16" s="404" t="s">
        <v>1146</v>
      </c>
      <c r="R16" s="420" t="s">
        <v>946</v>
      </c>
      <c r="T16" s="229">
        <v>46117</v>
      </c>
      <c r="U16" s="230" t="s">
        <v>249</v>
      </c>
    </row>
    <row r="17" spans="2:21" ht="12.5" customHeight="1" x14ac:dyDescent="0.25">
      <c r="B17" s="238"/>
      <c r="C17" s="240" t="s">
        <v>1138</v>
      </c>
      <c r="D17" s="212" t="s">
        <v>877</v>
      </c>
      <c r="F17" s="238"/>
      <c r="G17" s="239" t="s">
        <v>1117</v>
      </c>
      <c r="I17" s="403"/>
      <c r="J17" s="422"/>
      <c r="K17" s="456" t="s">
        <v>1142</v>
      </c>
      <c r="L17" s="243" t="s">
        <v>1257</v>
      </c>
      <c r="M17" s="243" t="s">
        <v>92</v>
      </c>
      <c r="N17" s="404" t="s">
        <v>85</v>
      </c>
      <c r="O17" s="404" t="s">
        <v>1139</v>
      </c>
      <c r="P17" s="404">
        <v>1</v>
      </c>
      <c r="Q17" s="404" t="s">
        <v>1146</v>
      </c>
      <c r="R17" s="420" t="s">
        <v>946</v>
      </c>
      <c r="T17" s="229">
        <v>46143</v>
      </c>
      <c r="U17" s="230" t="s">
        <v>250</v>
      </c>
    </row>
    <row r="18" spans="2:21" ht="12.5" customHeight="1" x14ac:dyDescent="0.25">
      <c r="B18" s="238"/>
      <c r="C18" s="240" t="s">
        <v>1138</v>
      </c>
      <c r="D18" s="212" t="s">
        <v>878</v>
      </c>
      <c r="F18" s="238"/>
      <c r="G18" s="241" t="s">
        <v>1117</v>
      </c>
      <c r="I18" s="403"/>
      <c r="J18" s="422"/>
      <c r="K18" s="456" t="s">
        <v>1142</v>
      </c>
      <c r="L18" s="243" t="s">
        <v>1258</v>
      </c>
      <c r="M18" s="243" t="s">
        <v>90</v>
      </c>
      <c r="N18" s="404" t="s">
        <v>85</v>
      </c>
      <c r="O18" s="404" t="s">
        <v>1139</v>
      </c>
      <c r="P18" s="404">
        <v>2</v>
      </c>
      <c r="Q18" s="404" t="s">
        <v>1146</v>
      </c>
      <c r="R18" s="420" t="s">
        <v>946</v>
      </c>
      <c r="T18" s="229">
        <v>46156</v>
      </c>
      <c r="U18" s="230" t="s">
        <v>251</v>
      </c>
    </row>
    <row r="19" spans="2:21" ht="12.5" customHeight="1" x14ac:dyDescent="0.25">
      <c r="B19" s="238"/>
      <c r="C19" s="240" t="s">
        <v>1138</v>
      </c>
      <c r="D19" s="212" t="s">
        <v>878</v>
      </c>
      <c r="F19" s="238">
        <v>46231</v>
      </c>
      <c r="G19" s="239" t="s">
        <v>1118</v>
      </c>
      <c r="I19" s="403"/>
      <c r="J19" s="422"/>
      <c r="K19" s="456" t="s">
        <v>1142</v>
      </c>
      <c r="L19" s="243" t="s">
        <v>1259</v>
      </c>
      <c r="M19" s="243" t="s">
        <v>189</v>
      </c>
      <c r="N19" s="404" t="s">
        <v>84</v>
      </c>
      <c r="O19" s="404" t="s">
        <v>1139</v>
      </c>
      <c r="P19" s="404">
        <v>2</v>
      </c>
      <c r="Q19" s="404" t="s">
        <v>1146</v>
      </c>
      <c r="R19" s="420" t="s">
        <v>946</v>
      </c>
      <c r="T19" s="229">
        <v>46157</v>
      </c>
      <c r="U19" s="230" t="s">
        <v>251</v>
      </c>
    </row>
    <row r="20" spans="2:21" ht="12.5" customHeight="1" x14ac:dyDescent="0.25">
      <c r="B20" s="238"/>
      <c r="C20" s="240" t="s">
        <v>1138</v>
      </c>
      <c r="D20" s="212" t="s">
        <v>878</v>
      </c>
      <c r="F20" s="238"/>
      <c r="G20" s="240" t="s">
        <v>1118</v>
      </c>
      <c r="I20" s="403"/>
      <c r="J20" s="422"/>
      <c r="K20" s="456" t="s">
        <v>1142</v>
      </c>
      <c r="L20" s="243" t="s">
        <v>1260</v>
      </c>
      <c r="M20" s="243" t="s">
        <v>94</v>
      </c>
      <c r="N20" s="404" t="s">
        <v>84</v>
      </c>
      <c r="O20" s="404" t="s">
        <v>1139</v>
      </c>
      <c r="P20" s="404">
        <v>9</v>
      </c>
      <c r="Q20" s="404" t="s">
        <v>1146</v>
      </c>
      <c r="R20" s="420" t="s">
        <v>946</v>
      </c>
      <c r="T20" s="229">
        <v>46169</v>
      </c>
      <c r="U20" s="230" t="s">
        <v>252</v>
      </c>
    </row>
    <row r="21" spans="2:21" ht="12.5" customHeight="1" x14ac:dyDescent="0.25">
      <c r="B21" s="238"/>
      <c r="C21" s="240" t="s">
        <v>1138</v>
      </c>
      <c r="D21" s="212" t="s">
        <v>878</v>
      </c>
      <c r="F21" s="238"/>
      <c r="G21" s="239" t="s">
        <v>1118</v>
      </c>
      <c r="I21" s="403"/>
      <c r="J21" s="422"/>
      <c r="K21" s="456" t="s">
        <v>1142</v>
      </c>
      <c r="L21" s="243" t="s">
        <v>1261</v>
      </c>
      <c r="M21" s="243" t="s">
        <v>94</v>
      </c>
      <c r="N21" s="404" t="s">
        <v>82</v>
      </c>
      <c r="O21" s="404" t="s">
        <v>1139</v>
      </c>
      <c r="P21" s="404">
        <v>4</v>
      </c>
      <c r="Q21" s="404" t="s">
        <v>1146</v>
      </c>
      <c r="R21" s="420" t="s">
        <v>946</v>
      </c>
      <c r="T21" s="229">
        <v>46170</v>
      </c>
      <c r="U21" s="230" t="s">
        <v>252</v>
      </c>
    </row>
    <row r="22" spans="2:21" ht="12.5" customHeight="1" x14ac:dyDescent="0.25">
      <c r="B22" s="238"/>
      <c r="C22" s="240" t="s">
        <v>1138</v>
      </c>
      <c r="D22" s="212" t="s">
        <v>878</v>
      </c>
      <c r="F22" s="238">
        <v>46241</v>
      </c>
      <c r="G22" s="239" t="s">
        <v>1201</v>
      </c>
      <c r="I22" s="403"/>
      <c r="J22" s="422"/>
      <c r="K22" s="456" t="s">
        <v>1142</v>
      </c>
      <c r="L22" s="243" t="s">
        <v>1262</v>
      </c>
      <c r="M22" s="243" t="s">
        <v>92</v>
      </c>
      <c r="N22" s="404" t="s">
        <v>82</v>
      </c>
      <c r="O22" s="404" t="s">
        <v>1139</v>
      </c>
      <c r="P22" s="404">
        <v>1</v>
      </c>
      <c r="Q22" s="404" t="s">
        <v>1146</v>
      </c>
      <c r="R22" s="420" t="s">
        <v>946</v>
      </c>
      <c r="T22" s="229">
        <v>46173</v>
      </c>
      <c r="U22" s="230" t="s">
        <v>253</v>
      </c>
    </row>
    <row r="23" spans="2:21" ht="12.5" customHeight="1" x14ac:dyDescent="0.25">
      <c r="B23" s="238"/>
      <c r="C23" s="240" t="s">
        <v>1138</v>
      </c>
      <c r="D23" s="212" t="s">
        <v>878</v>
      </c>
      <c r="F23" s="238">
        <v>46232</v>
      </c>
      <c r="G23" s="239" t="s">
        <v>1193</v>
      </c>
      <c r="I23" s="403"/>
      <c r="J23" s="422"/>
      <c r="K23" s="404" t="s">
        <v>1142</v>
      </c>
      <c r="L23" s="243" t="s">
        <v>1263</v>
      </c>
      <c r="M23" s="243" t="s">
        <v>94</v>
      </c>
      <c r="N23" s="404" t="s">
        <v>80</v>
      </c>
      <c r="O23" s="404" t="s">
        <v>1139</v>
      </c>
      <c r="P23" s="404">
        <v>2</v>
      </c>
      <c r="Q23" s="404" t="s">
        <v>1146</v>
      </c>
      <c r="R23" s="420" t="s">
        <v>364</v>
      </c>
      <c r="T23" s="229">
        <v>46174</v>
      </c>
      <c r="U23" s="230" t="s">
        <v>254</v>
      </c>
    </row>
    <row r="24" spans="2:21" ht="12.5" customHeight="1" x14ac:dyDescent="0.25">
      <c r="B24" s="238"/>
      <c r="C24" s="240" t="s">
        <v>1138</v>
      </c>
      <c r="D24" s="212" t="s">
        <v>878</v>
      </c>
      <c r="F24" s="238">
        <v>46238</v>
      </c>
      <c r="G24" s="239" t="s">
        <v>1731</v>
      </c>
      <c r="I24" s="403">
        <v>46228</v>
      </c>
      <c r="J24" s="422"/>
      <c r="K24" s="404" t="s">
        <v>1142</v>
      </c>
      <c r="L24" s="243" t="s">
        <v>1264</v>
      </c>
      <c r="M24" s="243" t="s">
        <v>90</v>
      </c>
      <c r="N24" s="404" t="s">
        <v>191</v>
      </c>
      <c r="O24" s="404" t="s">
        <v>1139</v>
      </c>
      <c r="P24" s="404">
        <v>2</v>
      </c>
      <c r="Q24" s="404" t="s">
        <v>1146</v>
      </c>
      <c r="R24" s="420" t="s">
        <v>386</v>
      </c>
      <c r="T24" s="229">
        <v>46189</v>
      </c>
      <c r="U24" s="230" t="s">
        <v>866</v>
      </c>
    </row>
    <row r="25" spans="2:21" ht="12.5" customHeight="1" x14ac:dyDescent="0.25">
      <c r="B25" s="238">
        <v>46227</v>
      </c>
      <c r="C25" s="239" t="s">
        <v>1134</v>
      </c>
      <c r="D25" s="212" t="s">
        <v>878</v>
      </c>
      <c r="F25" s="238">
        <v>46217</v>
      </c>
      <c r="G25" s="239" t="s">
        <v>1202</v>
      </c>
      <c r="I25" s="403"/>
      <c r="J25" s="422"/>
      <c r="K25" s="456" t="s">
        <v>1142</v>
      </c>
      <c r="L25" s="243" t="s">
        <v>1265</v>
      </c>
      <c r="M25" s="243" t="s">
        <v>90</v>
      </c>
      <c r="N25" s="404" t="s">
        <v>84</v>
      </c>
      <c r="O25" s="404" t="s">
        <v>1139</v>
      </c>
      <c r="P25" s="404">
        <v>9</v>
      </c>
      <c r="Q25" s="404" t="s">
        <v>1146</v>
      </c>
      <c r="R25" s="420" t="s">
        <v>946</v>
      </c>
      <c r="T25" s="229">
        <v>46251</v>
      </c>
      <c r="U25" s="230" t="s">
        <v>256</v>
      </c>
    </row>
    <row r="26" spans="2:21" ht="12.5" customHeight="1" x14ac:dyDescent="0.25">
      <c r="B26" s="238">
        <v>46228</v>
      </c>
      <c r="C26" s="239" t="s">
        <v>1134</v>
      </c>
      <c r="D26" s="212" t="s">
        <v>878</v>
      </c>
      <c r="F26" s="238">
        <v>46218</v>
      </c>
      <c r="G26" s="239" t="s">
        <v>1202</v>
      </c>
      <c r="I26" s="403"/>
      <c r="J26" s="422"/>
      <c r="K26" s="456" t="s">
        <v>1142</v>
      </c>
      <c r="L26" s="243" t="s">
        <v>1265</v>
      </c>
      <c r="M26" s="243" t="s">
        <v>90</v>
      </c>
      <c r="N26" s="406" t="s">
        <v>84</v>
      </c>
      <c r="O26" s="406" t="s">
        <v>1139</v>
      </c>
      <c r="P26" s="406">
        <v>9</v>
      </c>
      <c r="Q26" s="406" t="s">
        <v>1146</v>
      </c>
      <c r="R26" s="420" t="s">
        <v>946</v>
      </c>
      <c r="T26" s="229">
        <v>46259</v>
      </c>
      <c r="U26" s="230" t="s">
        <v>257</v>
      </c>
    </row>
    <row r="27" spans="2:21" ht="12.5" customHeight="1" x14ac:dyDescent="0.25">
      <c r="B27" s="238"/>
      <c r="C27" s="239" t="s">
        <v>1134</v>
      </c>
      <c r="D27" s="212" t="s">
        <v>878</v>
      </c>
      <c r="F27" s="238">
        <v>46219</v>
      </c>
      <c r="G27" s="239" t="s">
        <v>1202</v>
      </c>
      <c r="I27" s="403"/>
      <c r="J27" s="422"/>
      <c r="K27" s="456" t="s">
        <v>1142</v>
      </c>
      <c r="L27" s="243" t="s">
        <v>1266</v>
      </c>
      <c r="M27" s="243" t="s">
        <v>90</v>
      </c>
      <c r="N27" s="406" t="s">
        <v>84</v>
      </c>
      <c r="O27" s="406" t="s">
        <v>1139</v>
      </c>
      <c r="P27" s="406">
        <v>5</v>
      </c>
      <c r="Q27" s="406" t="s">
        <v>1146</v>
      </c>
      <c r="R27" s="420" t="s">
        <v>946</v>
      </c>
      <c r="T27" s="229">
        <v>46380</v>
      </c>
      <c r="U27" s="230" t="s">
        <v>258</v>
      </c>
    </row>
    <row r="28" spans="2:21" ht="12.5" customHeight="1" x14ac:dyDescent="0.25">
      <c r="B28" s="238"/>
      <c r="C28" s="239" t="s">
        <v>1134</v>
      </c>
      <c r="D28" s="212" t="s">
        <v>878</v>
      </c>
      <c r="F28" s="238">
        <v>46220</v>
      </c>
      <c r="G28" s="239" t="s">
        <v>1202</v>
      </c>
      <c r="I28" s="403"/>
      <c r="J28" s="422"/>
      <c r="K28" s="456" t="s">
        <v>1142</v>
      </c>
      <c r="L28" s="243" t="s">
        <v>1267</v>
      </c>
      <c r="M28" s="243" t="s">
        <v>90</v>
      </c>
      <c r="N28" s="404" t="s">
        <v>80</v>
      </c>
      <c r="O28" s="404" t="s">
        <v>1139</v>
      </c>
      <c r="P28" s="404">
        <v>6</v>
      </c>
      <c r="Q28" s="404" t="s">
        <v>1146</v>
      </c>
      <c r="R28" s="420" t="s">
        <v>364</v>
      </c>
      <c r="T28" s="231">
        <v>46381</v>
      </c>
      <c r="U28" s="232" t="s">
        <v>258</v>
      </c>
    </row>
    <row r="29" spans="2:21" ht="12.5" customHeight="1" x14ac:dyDescent="0.25">
      <c r="B29" s="238">
        <v>46227</v>
      </c>
      <c r="C29" s="239" t="s">
        <v>1135</v>
      </c>
      <c r="D29" s="212" t="s">
        <v>878</v>
      </c>
      <c r="F29" s="238"/>
      <c r="G29" s="239" t="s">
        <v>1202</v>
      </c>
      <c r="I29" s="403">
        <v>46228</v>
      </c>
      <c r="J29" s="422"/>
      <c r="K29" s="456" t="s">
        <v>1142</v>
      </c>
      <c r="L29" s="243" t="s">
        <v>1268</v>
      </c>
      <c r="M29" s="243" t="s">
        <v>90</v>
      </c>
      <c r="N29" s="404" t="s">
        <v>89</v>
      </c>
      <c r="O29" s="404" t="s">
        <v>1139</v>
      </c>
      <c r="P29" s="404">
        <v>1</v>
      </c>
      <c r="Q29" s="404" t="s">
        <v>1146</v>
      </c>
      <c r="R29" s="420" t="s">
        <v>386</v>
      </c>
      <c r="T29" s="229"/>
      <c r="U29" s="230"/>
    </row>
    <row r="30" spans="2:21" ht="12.5" customHeight="1" x14ac:dyDescent="0.25">
      <c r="B30" s="238"/>
      <c r="C30" s="239" t="s">
        <v>1135</v>
      </c>
      <c r="D30" s="212" t="s">
        <v>878</v>
      </c>
      <c r="F30" s="238"/>
      <c r="G30" s="239" t="s">
        <v>1202</v>
      </c>
      <c r="I30" s="403">
        <v>46228</v>
      </c>
      <c r="J30" s="422"/>
      <c r="K30" s="456" t="s">
        <v>1142</v>
      </c>
      <c r="L30" s="243" t="s">
        <v>1269</v>
      </c>
      <c r="M30" s="243" t="s">
        <v>90</v>
      </c>
      <c r="N30" s="404" t="s">
        <v>88</v>
      </c>
      <c r="O30" s="404" t="s">
        <v>1139</v>
      </c>
      <c r="P30" s="404">
        <v>2</v>
      </c>
      <c r="Q30" s="404" t="s">
        <v>1146</v>
      </c>
      <c r="R30" s="420" t="s">
        <v>386</v>
      </c>
    </row>
    <row r="31" spans="2:21" ht="12.5" customHeight="1" x14ac:dyDescent="0.25">
      <c r="B31" s="238">
        <v>46228</v>
      </c>
      <c r="C31" s="239" t="s">
        <v>1135</v>
      </c>
      <c r="D31" s="212" t="s">
        <v>877</v>
      </c>
      <c r="F31" s="238"/>
      <c r="G31" s="239" t="s">
        <v>1149</v>
      </c>
      <c r="I31" s="403"/>
      <c r="J31" s="422"/>
      <c r="K31" s="456" t="s">
        <v>1142</v>
      </c>
      <c r="L31" s="243" t="s">
        <v>1270</v>
      </c>
      <c r="M31" s="243" t="s">
        <v>90</v>
      </c>
      <c r="N31" s="404" t="s">
        <v>82</v>
      </c>
      <c r="O31" s="404" t="s">
        <v>1139</v>
      </c>
      <c r="P31" s="404">
        <v>8</v>
      </c>
      <c r="Q31" s="404" t="s">
        <v>1146</v>
      </c>
      <c r="R31" s="420" t="s">
        <v>946</v>
      </c>
    </row>
    <row r="32" spans="2:21" ht="12.5" customHeight="1" x14ac:dyDescent="0.25">
      <c r="B32" s="238"/>
      <c r="C32" s="239" t="s">
        <v>1137</v>
      </c>
      <c r="D32" s="212" t="s">
        <v>878</v>
      </c>
      <c r="F32" s="238">
        <v>46224</v>
      </c>
      <c r="G32" s="239" t="s">
        <v>1149</v>
      </c>
      <c r="I32" s="403"/>
      <c r="J32" s="422"/>
      <c r="K32" s="456" t="s">
        <v>1142</v>
      </c>
      <c r="L32" s="243" t="s">
        <v>1271</v>
      </c>
      <c r="M32" s="243" t="s">
        <v>90</v>
      </c>
      <c r="N32" s="406" t="s">
        <v>82</v>
      </c>
      <c r="O32" s="406" t="s">
        <v>1139</v>
      </c>
      <c r="P32" s="406">
        <v>1</v>
      </c>
      <c r="Q32" s="406" t="s">
        <v>1146</v>
      </c>
      <c r="R32" s="420" t="s">
        <v>946</v>
      </c>
    </row>
    <row r="33" spans="2:18" ht="12.5" customHeight="1" x14ac:dyDescent="0.25">
      <c r="B33" s="238">
        <v>46228</v>
      </c>
      <c r="C33" s="239" t="s">
        <v>1137</v>
      </c>
      <c r="D33" s="212" t="s">
        <v>878</v>
      </c>
      <c r="F33" s="238">
        <v>46225</v>
      </c>
      <c r="G33" s="239" t="s">
        <v>1149</v>
      </c>
      <c r="I33" s="403"/>
      <c r="J33" s="422"/>
      <c r="K33" s="456" t="s">
        <v>1142</v>
      </c>
      <c r="L33" s="243" t="s">
        <v>1272</v>
      </c>
      <c r="M33" s="243" t="s">
        <v>90</v>
      </c>
      <c r="N33" s="406" t="s">
        <v>82</v>
      </c>
      <c r="O33" s="406" t="s">
        <v>1139</v>
      </c>
      <c r="P33" s="406">
        <v>9</v>
      </c>
      <c r="Q33" s="406" t="s">
        <v>1146</v>
      </c>
      <c r="R33" s="420" t="s">
        <v>946</v>
      </c>
    </row>
    <row r="34" spans="2:18" ht="12.5" customHeight="1" x14ac:dyDescent="0.25">
      <c r="B34" s="238">
        <v>46228</v>
      </c>
      <c r="C34" s="240" t="s">
        <v>1137</v>
      </c>
      <c r="D34" s="212" t="s">
        <v>877</v>
      </c>
      <c r="F34" s="238">
        <v>46226</v>
      </c>
      <c r="G34" s="239" t="s">
        <v>1149</v>
      </c>
      <c r="I34" s="403"/>
      <c r="J34" s="422"/>
      <c r="K34" s="456" t="s">
        <v>1142</v>
      </c>
      <c r="L34" s="243" t="s">
        <v>1273</v>
      </c>
      <c r="M34" s="243" t="s">
        <v>90</v>
      </c>
      <c r="N34" s="406" t="s">
        <v>82</v>
      </c>
      <c r="O34" s="406" t="s">
        <v>1139</v>
      </c>
      <c r="P34" s="406">
        <v>2</v>
      </c>
      <c r="Q34" s="406" t="s">
        <v>1146</v>
      </c>
      <c r="R34" s="420" t="s">
        <v>946</v>
      </c>
    </row>
    <row r="35" spans="2:18" ht="12.5" customHeight="1" x14ac:dyDescent="0.25">
      <c r="B35" s="238">
        <v>46233</v>
      </c>
      <c r="C35" s="239" t="s">
        <v>1195</v>
      </c>
      <c r="D35" s="212" t="s">
        <v>878</v>
      </c>
      <c r="F35" s="238">
        <v>46227</v>
      </c>
      <c r="G35" s="239" t="s">
        <v>1149</v>
      </c>
      <c r="I35" s="403"/>
      <c r="J35" s="422"/>
      <c r="K35" s="456" t="s">
        <v>1142</v>
      </c>
      <c r="L35" s="243" t="s">
        <v>1256</v>
      </c>
      <c r="M35" s="243" t="s">
        <v>90</v>
      </c>
      <c r="N35" s="404" t="s">
        <v>86</v>
      </c>
      <c r="O35" s="404" t="s">
        <v>1139</v>
      </c>
      <c r="P35" s="404">
        <v>1</v>
      </c>
      <c r="Q35" s="404" t="s">
        <v>1146</v>
      </c>
      <c r="R35" s="420" t="s">
        <v>1182</v>
      </c>
    </row>
    <row r="36" spans="2:18" ht="12.5" customHeight="1" x14ac:dyDescent="0.25">
      <c r="B36" s="238">
        <v>46230</v>
      </c>
      <c r="C36" s="240" t="s">
        <v>1190</v>
      </c>
      <c r="D36" s="212" t="s">
        <v>878</v>
      </c>
      <c r="F36" s="238"/>
      <c r="G36" s="239" t="s">
        <v>1149</v>
      </c>
      <c r="I36" s="403"/>
      <c r="J36" s="422"/>
      <c r="K36" s="456" t="s">
        <v>1142</v>
      </c>
      <c r="L36" s="243" t="s">
        <v>1257</v>
      </c>
      <c r="M36" s="243" t="s">
        <v>92</v>
      </c>
      <c r="N36" s="404" t="s">
        <v>85</v>
      </c>
      <c r="O36" s="404" t="s">
        <v>1139</v>
      </c>
      <c r="P36" s="404">
        <v>1</v>
      </c>
      <c r="Q36" s="404" t="s">
        <v>1146</v>
      </c>
      <c r="R36" s="420" t="s">
        <v>1182</v>
      </c>
    </row>
    <row r="37" spans="2:18" ht="12.5" customHeight="1" x14ac:dyDescent="0.25">
      <c r="B37" s="238"/>
      <c r="C37" s="239" t="s">
        <v>1190</v>
      </c>
      <c r="D37" s="212" t="s">
        <v>878</v>
      </c>
      <c r="F37" s="238"/>
      <c r="G37" s="240" t="s">
        <v>1149</v>
      </c>
      <c r="I37" s="403"/>
      <c r="J37" s="422"/>
      <c r="K37" s="456" t="s">
        <v>1142</v>
      </c>
      <c r="L37" s="243" t="s">
        <v>1258</v>
      </c>
      <c r="M37" s="243" t="s">
        <v>90</v>
      </c>
      <c r="N37" s="404" t="s">
        <v>85</v>
      </c>
      <c r="O37" s="404" t="s">
        <v>1139</v>
      </c>
      <c r="P37" s="404">
        <v>2</v>
      </c>
      <c r="Q37" s="404" t="s">
        <v>1146</v>
      </c>
      <c r="R37" s="420" t="s">
        <v>1182</v>
      </c>
    </row>
    <row r="38" spans="2:18" ht="12.5" customHeight="1" x14ac:dyDescent="0.25">
      <c r="B38" s="238">
        <v>46206</v>
      </c>
      <c r="C38" s="240" t="s">
        <v>1187</v>
      </c>
      <c r="D38" s="212" t="s">
        <v>877</v>
      </c>
      <c r="F38" s="238"/>
      <c r="G38" s="240" t="s">
        <v>1121</v>
      </c>
      <c r="I38" s="403"/>
      <c r="J38" s="422"/>
      <c r="K38" s="456" t="s">
        <v>1142</v>
      </c>
      <c r="L38" s="243" t="s">
        <v>1259</v>
      </c>
      <c r="M38" s="243" t="s">
        <v>189</v>
      </c>
      <c r="N38" s="404" t="s">
        <v>84</v>
      </c>
      <c r="O38" s="404" t="s">
        <v>1139</v>
      </c>
      <c r="P38" s="404">
        <v>2</v>
      </c>
      <c r="Q38" s="404" t="s">
        <v>1146</v>
      </c>
      <c r="R38" s="420" t="s">
        <v>1182</v>
      </c>
    </row>
    <row r="39" spans="2:18" ht="12.5" customHeight="1" x14ac:dyDescent="0.25">
      <c r="B39" s="238">
        <v>46209</v>
      </c>
      <c r="C39" s="239" t="s">
        <v>1187</v>
      </c>
      <c r="D39" s="212" t="s">
        <v>877</v>
      </c>
      <c r="F39" s="238">
        <v>46230</v>
      </c>
      <c r="G39" s="239" t="s">
        <v>1732</v>
      </c>
      <c r="I39" s="403"/>
      <c r="J39" s="422"/>
      <c r="K39" s="456" t="s">
        <v>1142</v>
      </c>
      <c r="L39" s="243" t="s">
        <v>1260</v>
      </c>
      <c r="M39" s="243" t="s">
        <v>94</v>
      </c>
      <c r="N39" s="404" t="s">
        <v>84</v>
      </c>
      <c r="O39" s="404" t="s">
        <v>1139</v>
      </c>
      <c r="P39" s="404">
        <v>9</v>
      </c>
      <c r="Q39" s="404" t="s">
        <v>1146</v>
      </c>
      <c r="R39" s="420" t="s">
        <v>1182</v>
      </c>
    </row>
    <row r="40" spans="2:18" ht="12.5" customHeight="1" x14ac:dyDescent="0.25">
      <c r="B40" s="238"/>
      <c r="C40" s="240" t="s">
        <v>1187</v>
      </c>
      <c r="D40" s="212" t="s">
        <v>877</v>
      </c>
      <c r="F40" s="238">
        <v>46238</v>
      </c>
      <c r="G40" s="240" t="s">
        <v>1733</v>
      </c>
      <c r="I40" s="403"/>
      <c r="J40" s="422"/>
      <c r="K40" s="456" t="s">
        <v>1142</v>
      </c>
      <c r="L40" s="243" t="s">
        <v>1261</v>
      </c>
      <c r="M40" s="243" t="s">
        <v>94</v>
      </c>
      <c r="N40" s="404" t="s">
        <v>82</v>
      </c>
      <c r="O40" s="404" t="s">
        <v>1139</v>
      </c>
      <c r="P40" s="404">
        <v>4</v>
      </c>
      <c r="Q40" s="404" t="s">
        <v>1146</v>
      </c>
      <c r="R40" s="420" t="s">
        <v>1182</v>
      </c>
    </row>
    <row r="41" spans="2:18" ht="12.5" customHeight="1" x14ac:dyDescent="0.25">
      <c r="B41" s="238"/>
      <c r="C41" s="239" t="s">
        <v>1187</v>
      </c>
      <c r="D41" s="212" t="s">
        <v>877</v>
      </c>
      <c r="F41" s="238">
        <v>46237</v>
      </c>
      <c r="G41" s="239" t="s">
        <v>1734</v>
      </c>
      <c r="I41" s="403"/>
      <c r="J41" s="422"/>
      <c r="K41" s="456" t="s">
        <v>1142</v>
      </c>
      <c r="L41" s="243" t="s">
        <v>1262</v>
      </c>
      <c r="M41" s="243" t="s">
        <v>92</v>
      </c>
      <c r="N41" s="404" t="s">
        <v>82</v>
      </c>
      <c r="O41" s="404" t="s">
        <v>1139</v>
      </c>
      <c r="P41" s="404">
        <v>1</v>
      </c>
      <c r="Q41" s="404" t="s">
        <v>1146</v>
      </c>
      <c r="R41" s="420" t="s">
        <v>1182</v>
      </c>
    </row>
    <row r="42" spans="2:18" ht="12.5" customHeight="1" x14ac:dyDescent="0.25">
      <c r="B42" s="238"/>
      <c r="C42" s="240" t="s">
        <v>1187</v>
      </c>
      <c r="D42" s="212" t="s">
        <v>877</v>
      </c>
      <c r="F42" s="238">
        <v>46238</v>
      </c>
      <c r="G42" s="239" t="s">
        <v>1735</v>
      </c>
      <c r="I42" s="403"/>
      <c r="J42" s="422"/>
      <c r="K42" s="404" t="s">
        <v>1142</v>
      </c>
      <c r="L42" s="243" t="s">
        <v>1263</v>
      </c>
      <c r="M42" s="243" t="s">
        <v>94</v>
      </c>
      <c r="N42" s="404" t="s">
        <v>80</v>
      </c>
      <c r="O42" s="404" t="s">
        <v>1139</v>
      </c>
      <c r="P42" s="404">
        <v>2</v>
      </c>
      <c r="Q42" s="404" t="s">
        <v>1146</v>
      </c>
      <c r="R42" s="438" t="s">
        <v>1182</v>
      </c>
    </row>
    <row r="43" spans="2:18" ht="12.5" customHeight="1" x14ac:dyDescent="0.25">
      <c r="B43" s="238"/>
      <c r="C43" s="239" t="s">
        <v>1187</v>
      </c>
      <c r="D43" s="212" t="s">
        <v>877</v>
      </c>
      <c r="F43" s="238">
        <v>46241</v>
      </c>
      <c r="G43" s="239" t="s">
        <v>1122</v>
      </c>
      <c r="I43" s="403"/>
      <c r="J43" s="422"/>
      <c r="K43" s="404" t="s">
        <v>1142</v>
      </c>
      <c r="L43" s="243" t="s">
        <v>1264</v>
      </c>
      <c r="M43" s="243" t="s">
        <v>90</v>
      </c>
      <c r="N43" s="404" t="s">
        <v>191</v>
      </c>
      <c r="O43" s="404" t="s">
        <v>1139</v>
      </c>
      <c r="P43" s="404">
        <v>2</v>
      </c>
      <c r="Q43" s="404" t="s">
        <v>1146</v>
      </c>
      <c r="R43" s="438" t="s">
        <v>1182</v>
      </c>
    </row>
    <row r="44" spans="2:18" ht="12.5" customHeight="1" x14ac:dyDescent="0.25">
      <c r="B44" s="238"/>
      <c r="C44" s="240" t="s">
        <v>1187</v>
      </c>
      <c r="D44" s="212" t="s">
        <v>877</v>
      </c>
      <c r="F44" s="238">
        <v>46246</v>
      </c>
      <c r="G44" s="239" t="s">
        <v>1123</v>
      </c>
      <c r="I44" s="403"/>
      <c r="J44" s="422"/>
      <c r="K44" s="404" t="s">
        <v>1142</v>
      </c>
      <c r="L44" s="243" t="s">
        <v>1274</v>
      </c>
      <c r="M44" s="243" t="s">
        <v>90</v>
      </c>
      <c r="N44" s="404" t="s">
        <v>84</v>
      </c>
      <c r="O44" s="404" t="s">
        <v>1139</v>
      </c>
      <c r="P44" s="404">
        <v>10</v>
      </c>
      <c r="Q44" s="404" t="s">
        <v>1146</v>
      </c>
      <c r="R44" s="438" t="s">
        <v>1182</v>
      </c>
    </row>
    <row r="45" spans="2:18" ht="12.5" customHeight="1" x14ac:dyDescent="0.25">
      <c r="B45" s="238"/>
      <c r="C45" s="240" t="s">
        <v>1187</v>
      </c>
      <c r="D45" s="212" t="s">
        <v>877</v>
      </c>
      <c r="F45" s="238">
        <v>46240</v>
      </c>
      <c r="G45" s="239" t="s">
        <v>1203</v>
      </c>
      <c r="I45" s="403"/>
      <c r="J45" s="422"/>
      <c r="K45" s="404" t="s">
        <v>1142</v>
      </c>
      <c r="L45" s="243" t="s">
        <v>1275</v>
      </c>
      <c r="M45" s="243" t="s">
        <v>90</v>
      </c>
      <c r="N45" s="404" t="s">
        <v>84</v>
      </c>
      <c r="O45" s="404" t="s">
        <v>1139</v>
      </c>
      <c r="P45" s="404">
        <v>4</v>
      </c>
      <c r="Q45" s="404" t="s">
        <v>1146</v>
      </c>
      <c r="R45" s="438" t="s">
        <v>1182</v>
      </c>
    </row>
    <row r="46" spans="2:18" ht="12.5" customHeight="1" x14ac:dyDescent="0.25">
      <c r="B46" s="238"/>
      <c r="C46" s="240" t="s">
        <v>1187</v>
      </c>
      <c r="D46" s="212" t="s">
        <v>877</v>
      </c>
      <c r="F46" s="238"/>
      <c r="G46" s="239" t="s">
        <v>1203</v>
      </c>
      <c r="I46" s="403"/>
      <c r="J46" s="422"/>
      <c r="K46" s="404" t="s">
        <v>1142</v>
      </c>
      <c r="L46" s="243" t="s">
        <v>1256</v>
      </c>
      <c r="M46" s="243" t="s">
        <v>90</v>
      </c>
      <c r="N46" s="404" t="s">
        <v>86</v>
      </c>
      <c r="O46" s="404" t="s">
        <v>1139</v>
      </c>
      <c r="P46" s="404">
        <v>1</v>
      </c>
      <c r="Q46" s="404" t="s">
        <v>1146</v>
      </c>
      <c r="R46" s="438" t="s">
        <v>1184</v>
      </c>
    </row>
    <row r="47" spans="2:18" ht="12.5" customHeight="1" x14ac:dyDescent="0.25">
      <c r="B47" s="238">
        <v>46209</v>
      </c>
      <c r="C47" s="240" t="s">
        <v>1187</v>
      </c>
      <c r="D47" s="212" t="s">
        <v>878</v>
      </c>
      <c r="F47" s="238">
        <v>46234</v>
      </c>
      <c r="G47" s="239" t="s">
        <v>1204</v>
      </c>
      <c r="I47" s="403"/>
      <c r="J47" s="422"/>
      <c r="K47" s="404" t="s">
        <v>1142</v>
      </c>
      <c r="L47" s="243" t="s">
        <v>1257</v>
      </c>
      <c r="M47" s="243" t="s">
        <v>92</v>
      </c>
      <c r="N47" s="404" t="s">
        <v>85</v>
      </c>
      <c r="O47" s="404" t="s">
        <v>1139</v>
      </c>
      <c r="P47" s="404">
        <v>1</v>
      </c>
      <c r="Q47" s="404" t="s">
        <v>1146</v>
      </c>
      <c r="R47" s="438" t="s">
        <v>1184</v>
      </c>
    </row>
    <row r="48" spans="2:18" ht="12.5" customHeight="1" x14ac:dyDescent="0.25">
      <c r="B48" s="238"/>
      <c r="C48" s="239" t="s">
        <v>1187</v>
      </c>
      <c r="D48" s="212" t="s">
        <v>878</v>
      </c>
      <c r="F48" s="238">
        <v>46234</v>
      </c>
      <c r="G48" s="239" t="s">
        <v>1205</v>
      </c>
      <c r="I48" s="403"/>
      <c r="J48" s="422"/>
      <c r="K48" s="404" t="s">
        <v>1142</v>
      </c>
      <c r="L48" s="243" t="s">
        <v>1258</v>
      </c>
      <c r="M48" s="243" t="s">
        <v>90</v>
      </c>
      <c r="N48" s="404" t="s">
        <v>85</v>
      </c>
      <c r="O48" s="404" t="s">
        <v>1139</v>
      </c>
      <c r="P48" s="404">
        <v>2</v>
      </c>
      <c r="Q48" s="404" t="s">
        <v>1146</v>
      </c>
      <c r="R48" s="438" t="s">
        <v>1184</v>
      </c>
    </row>
    <row r="49" spans="2:18" ht="12.5" customHeight="1" x14ac:dyDescent="0.25">
      <c r="B49" s="238"/>
      <c r="C49" s="239" t="s">
        <v>1187</v>
      </c>
      <c r="D49" s="212" t="s">
        <v>878</v>
      </c>
      <c r="F49" s="238">
        <v>46247</v>
      </c>
      <c r="G49" s="239" t="s">
        <v>1206</v>
      </c>
      <c r="I49" s="403"/>
      <c r="J49" s="422"/>
      <c r="K49" s="404" t="s">
        <v>1142</v>
      </c>
      <c r="L49" s="243" t="s">
        <v>1259</v>
      </c>
      <c r="M49" s="243" t="s">
        <v>189</v>
      </c>
      <c r="N49" s="404" t="s">
        <v>84</v>
      </c>
      <c r="O49" s="404" t="s">
        <v>1139</v>
      </c>
      <c r="P49" s="404">
        <v>2</v>
      </c>
      <c r="Q49" s="404" t="s">
        <v>1146</v>
      </c>
      <c r="R49" s="438" t="s">
        <v>1184</v>
      </c>
    </row>
    <row r="50" spans="2:18" ht="12.5" customHeight="1" x14ac:dyDescent="0.25">
      <c r="B50" s="238"/>
      <c r="C50" s="239" t="s">
        <v>1187</v>
      </c>
      <c r="D50" s="212" t="s">
        <v>878</v>
      </c>
      <c r="F50" s="238">
        <v>46237</v>
      </c>
      <c r="G50" s="239" t="s">
        <v>1194</v>
      </c>
      <c r="I50" s="403"/>
      <c r="J50" s="422"/>
      <c r="K50" s="404" t="s">
        <v>1142</v>
      </c>
      <c r="L50" s="243" t="s">
        <v>1276</v>
      </c>
      <c r="M50" s="243" t="s">
        <v>94</v>
      </c>
      <c r="N50" s="404" t="s">
        <v>84</v>
      </c>
      <c r="O50" s="404" t="s">
        <v>1139</v>
      </c>
      <c r="P50" s="404">
        <v>7</v>
      </c>
      <c r="Q50" s="404" t="s">
        <v>1146</v>
      </c>
      <c r="R50" s="438" t="s">
        <v>1184</v>
      </c>
    </row>
    <row r="51" spans="2:18" ht="12.5" customHeight="1" x14ac:dyDescent="0.25">
      <c r="B51" s="238"/>
      <c r="C51" s="239" t="s">
        <v>1187</v>
      </c>
      <c r="D51" s="212" t="s">
        <v>878</v>
      </c>
      <c r="F51" s="238"/>
      <c r="G51" s="239" t="s">
        <v>1207</v>
      </c>
      <c r="I51" s="403"/>
      <c r="J51" s="422"/>
      <c r="K51" s="404" t="s">
        <v>1142</v>
      </c>
      <c r="L51" s="243" t="s">
        <v>1265</v>
      </c>
      <c r="M51" s="243" t="s">
        <v>90</v>
      </c>
      <c r="N51" s="404" t="s">
        <v>84</v>
      </c>
      <c r="O51" s="404" t="s">
        <v>1139</v>
      </c>
      <c r="P51" s="404">
        <v>9</v>
      </c>
      <c r="Q51" s="404" t="s">
        <v>1146</v>
      </c>
      <c r="R51" s="438" t="s">
        <v>1182</v>
      </c>
    </row>
    <row r="52" spans="2:18" ht="12.5" customHeight="1" x14ac:dyDescent="0.25">
      <c r="B52" s="238"/>
      <c r="C52" s="240" t="s">
        <v>1187</v>
      </c>
      <c r="D52" s="212" t="s">
        <v>878</v>
      </c>
      <c r="F52" s="238"/>
      <c r="G52" s="239" t="s">
        <v>1207</v>
      </c>
      <c r="I52" s="403"/>
      <c r="J52" s="422"/>
      <c r="K52" s="404" t="s">
        <v>1142</v>
      </c>
      <c r="L52" s="243" t="s">
        <v>1277</v>
      </c>
      <c r="M52" s="243" t="s">
        <v>90</v>
      </c>
      <c r="N52" s="404" t="s">
        <v>82</v>
      </c>
      <c r="O52" s="404" t="s">
        <v>1139</v>
      </c>
      <c r="P52" s="404">
        <v>10</v>
      </c>
      <c r="Q52" s="404" t="s">
        <v>1146</v>
      </c>
      <c r="R52" s="438" t="s">
        <v>1182</v>
      </c>
    </row>
    <row r="53" spans="2:18" ht="12.5" customHeight="1" x14ac:dyDescent="0.25">
      <c r="B53" s="238"/>
      <c r="C53" s="239" t="s">
        <v>1187</v>
      </c>
      <c r="D53" s="212" t="s">
        <v>878</v>
      </c>
      <c r="F53" s="238">
        <v>46232</v>
      </c>
      <c r="G53" s="239" t="s">
        <v>1150</v>
      </c>
      <c r="I53" s="403"/>
      <c r="J53" s="422"/>
      <c r="K53" s="404" t="s">
        <v>1142</v>
      </c>
      <c r="L53" s="243" t="s">
        <v>1278</v>
      </c>
      <c r="M53" s="243" t="s">
        <v>94</v>
      </c>
      <c r="N53" s="404" t="s">
        <v>84</v>
      </c>
      <c r="O53" s="404" t="s">
        <v>1139</v>
      </c>
      <c r="P53" s="404">
        <v>2</v>
      </c>
      <c r="Q53" s="404" t="s">
        <v>1146</v>
      </c>
      <c r="R53" s="438" t="s">
        <v>1184</v>
      </c>
    </row>
    <row r="54" spans="2:18" ht="12.5" customHeight="1" x14ac:dyDescent="0.25">
      <c r="B54" s="238"/>
      <c r="C54" s="240" t="s">
        <v>1187</v>
      </c>
      <c r="D54" s="212" t="s">
        <v>878</v>
      </c>
      <c r="F54" s="238">
        <v>46231</v>
      </c>
      <c r="G54" s="239" t="s">
        <v>1150</v>
      </c>
      <c r="I54" s="403"/>
      <c r="J54" s="422"/>
      <c r="K54" s="404" t="s">
        <v>1142</v>
      </c>
      <c r="L54" s="243" t="s">
        <v>1261</v>
      </c>
      <c r="M54" s="243" t="s">
        <v>94</v>
      </c>
      <c r="N54" s="404" t="s">
        <v>82</v>
      </c>
      <c r="O54" s="404" t="s">
        <v>1139</v>
      </c>
      <c r="P54" s="404">
        <v>4</v>
      </c>
      <c r="Q54" s="404" t="s">
        <v>1146</v>
      </c>
      <c r="R54" s="438" t="s">
        <v>1184</v>
      </c>
    </row>
    <row r="55" spans="2:18" ht="12.5" customHeight="1" x14ac:dyDescent="0.25">
      <c r="B55" s="238"/>
      <c r="C55" s="239" t="s">
        <v>1187</v>
      </c>
      <c r="D55" s="212" t="s">
        <v>878</v>
      </c>
      <c r="F55" s="238"/>
      <c r="G55" s="239" t="s">
        <v>1150</v>
      </c>
      <c r="I55" s="403"/>
      <c r="J55" s="422"/>
      <c r="K55" s="404" t="s">
        <v>1142</v>
      </c>
      <c r="L55" s="243" t="s">
        <v>1262</v>
      </c>
      <c r="M55" s="243" t="s">
        <v>92</v>
      </c>
      <c r="N55" s="404" t="s">
        <v>82</v>
      </c>
      <c r="O55" s="404" t="s">
        <v>1139</v>
      </c>
      <c r="P55" s="404">
        <v>1</v>
      </c>
      <c r="Q55" s="404" t="s">
        <v>1146</v>
      </c>
      <c r="R55" s="438" t="s">
        <v>1184</v>
      </c>
    </row>
    <row r="56" spans="2:18" ht="12.5" customHeight="1" x14ac:dyDescent="0.25">
      <c r="B56" s="238">
        <v>46234</v>
      </c>
      <c r="C56" s="240" t="s">
        <v>1721</v>
      </c>
      <c r="D56" s="212" t="s">
        <v>878</v>
      </c>
      <c r="F56" s="238"/>
      <c r="G56" s="239" t="s">
        <v>1150</v>
      </c>
      <c r="I56" s="403"/>
      <c r="J56" s="422"/>
      <c r="K56" s="404" t="s">
        <v>1142</v>
      </c>
      <c r="L56" s="243" t="s">
        <v>1263</v>
      </c>
      <c r="M56" s="243" t="s">
        <v>94</v>
      </c>
      <c r="N56" s="404" t="s">
        <v>80</v>
      </c>
      <c r="O56" s="404" t="s">
        <v>1139</v>
      </c>
      <c r="P56" s="404">
        <v>2</v>
      </c>
      <c r="Q56" s="404" t="s">
        <v>1146</v>
      </c>
      <c r="R56" s="438" t="s">
        <v>1184</v>
      </c>
    </row>
    <row r="57" spans="2:18" ht="12.5" customHeight="1" x14ac:dyDescent="0.25">
      <c r="B57" s="238">
        <v>46210</v>
      </c>
      <c r="C57" s="239" t="s">
        <v>1148</v>
      </c>
      <c r="D57" s="212" t="s">
        <v>877</v>
      </c>
      <c r="F57" s="238">
        <v>46244</v>
      </c>
      <c r="G57" s="239" t="s">
        <v>1736</v>
      </c>
      <c r="I57" s="403"/>
      <c r="J57" s="422"/>
      <c r="K57" s="406" t="s">
        <v>1142</v>
      </c>
      <c r="L57" s="243" t="s">
        <v>1264</v>
      </c>
      <c r="M57" s="243" t="s">
        <v>90</v>
      </c>
      <c r="N57" s="406" t="s">
        <v>191</v>
      </c>
      <c r="O57" s="406" t="s">
        <v>1139</v>
      </c>
      <c r="P57" s="406">
        <v>2</v>
      </c>
      <c r="Q57" s="406" t="s">
        <v>1146</v>
      </c>
      <c r="R57" s="438" t="s">
        <v>1184</v>
      </c>
    </row>
    <row r="58" spans="2:18" ht="12.5" customHeight="1" x14ac:dyDescent="0.25">
      <c r="B58" s="238">
        <v>46211</v>
      </c>
      <c r="C58" s="240" t="s">
        <v>1148</v>
      </c>
      <c r="D58" s="212" t="s">
        <v>877</v>
      </c>
      <c r="I58" s="403"/>
      <c r="J58" s="422"/>
      <c r="K58" s="404" t="s">
        <v>1142</v>
      </c>
      <c r="L58" s="243" t="s">
        <v>1269</v>
      </c>
      <c r="M58" s="243" t="s">
        <v>90</v>
      </c>
      <c r="N58" s="404" t="s">
        <v>88</v>
      </c>
      <c r="O58" s="404" t="s">
        <v>1139</v>
      </c>
      <c r="P58" s="404">
        <v>2</v>
      </c>
      <c r="Q58" s="404" t="s">
        <v>1146</v>
      </c>
      <c r="R58" s="438" t="s">
        <v>1184</v>
      </c>
    </row>
    <row r="59" spans="2:18" ht="12.5" customHeight="1" x14ac:dyDescent="0.25">
      <c r="B59" s="238">
        <v>46212</v>
      </c>
      <c r="C59" s="239" t="s">
        <v>1148</v>
      </c>
      <c r="D59" s="212" t="s">
        <v>877</v>
      </c>
      <c r="I59" s="403"/>
      <c r="J59" s="422"/>
      <c r="K59" s="404" t="s">
        <v>1142</v>
      </c>
      <c r="L59" s="243" t="s">
        <v>1267</v>
      </c>
      <c r="M59" s="243" t="s">
        <v>90</v>
      </c>
      <c r="N59" s="404" t="s">
        <v>80</v>
      </c>
      <c r="O59" s="404" t="s">
        <v>1139</v>
      </c>
      <c r="P59" s="404">
        <v>6</v>
      </c>
      <c r="Q59" s="404" t="s">
        <v>1146</v>
      </c>
      <c r="R59" s="438" t="s">
        <v>1182</v>
      </c>
    </row>
    <row r="60" spans="2:18" ht="12.5" customHeight="1" x14ac:dyDescent="0.25">
      <c r="B60" s="238">
        <v>46213</v>
      </c>
      <c r="C60" s="240" t="s">
        <v>1148</v>
      </c>
      <c r="D60" s="212" t="s">
        <v>877</v>
      </c>
      <c r="I60" s="403"/>
      <c r="J60" s="422"/>
      <c r="K60" s="404" t="s">
        <v>1142</v>
      </c>
      <c r="L60" s="243" t="s">
        <v>1268</v>
      </c>
      <c r="M60" s="243" t="s">
        <v>90</v>
      </c>
      <c r="N60" s="404" t="s">
        <v>89</v>
      </c>
      <c r="O60" s="404" t="s">
        <v>1139</v>
      </c>
      <c r="P60" s="404">
        <v>1</v>
      </c>
      <c r="Q60" s="404" t="s">
        <v>1146</v>
      </c>
      <c r="R60" s="438" t="s">
        <v>1182</v>
      </c>
    </row>
    <row r="61" spans="2:18" ht="12.5" customHeight="1" x14ac:dyDescent="0.25">
      <c r="B61" s="238">
        <v>46210</v>
      </c>
      <c r="C61" s="239" t="s">
        <v>1148</v>
      </c>
      <c r="D61" s="212" t="s">
        <v>878</v>
      </c>
      <c r="I61" s="403"/>
      <c r="J61" s="422"/>
      <c r="K61" s="404" t="s">
        <v>1142</v>
      </c>
      <c r="L61" s="243" t="s">
        <v>1269</v>
      </c>
      <c r="M61" s="243" t="s">
        <v>90</v>
      </c>
      <c r="N61" s="404" t="s">
        <v>88</v>
      </c>
      <c r="O61" s="404" t="s">
        <v>1139</v>
      </c>
      <c r="P61" s="404">
        <v>2</v>
      </c>
      <c r="Q61" s="404" t="s">
        <v>1146</v>
      </c>
      <c r="R61" s="438" t="s">
        <v>1182</v>
      </c>
    </row>
    <row r="62" spans="2:18" ht="12.5" customHeight="1" x14ac:dyDescent="0.25">
      <c r="B62" s="238">
        <v>46211</v>
      </c>
      <c r="C62" s="240" t="s">
        <v>1148</v>
      </c>
      <c r="D62" s="212" t="s">
        <v>878</v>
      </c>
      <c r="I62" s="403"/>
      <c r="J62" s="422"/>
      <c r="K62" s="404" t="s">
        <v>1142</v>
      </c>
      <c r="L62" s="243" t="s">
        <v>1277</v>
      </c>
      <c r="M62" s="243" t="s">
        <v>90</v>
      </c>
      <c r="N62" s="404" t="s">
        <v>82</v>
      </c>
      <c r="O62" s="404" t="s">
        <v>1139</v>
      </c>
      <c r="P62" s="404">
        <v>10</v>
      </c>
      <c r="Q62" s="404" t="s">
        <v>1146</v>
      </c>
      <c r="R62" s="438" t="s">
        <v>1182</v>
      </c>
    </row>
    <row r="63" spans="2:18" ht="12.5" customHeight="1" x14ac:dyDescent="0.25">
      <c r="B63" s="238">
        <v>46212</v>
      </c>
      <c r="C63" s="239" t="s">
        <v>1148</v>
      </c>
      <c r="D63" s="212" t="s">
        <v>878</v>
      </c>
      <c r="I63" s="403"/>
      <c r="J63" s="422"/>
      <c r="K63" s="406" t="s">
        <v>1142</v>
      </c>
      <c r="L63" s="243" t="s">
        <v>1279</v>
      </c>
      <c r="M63" s="243" t="s">
        <v>90</v>
      </c>
      <c r="N63" s="406" t="s">
        <v>84</v>
      </c>
      <c r="O63" s="406" t="s">
        <v>1139</v>
      </c>
      <c r="P63" s="406">
        <v>7</v>
      </c>
      <c r="Q63" s="406" t="s">
        <v>1146</v>
      </c>
      <c r="R63" s="438" t="s">
        <v>1184</v>
      </c>
    </row>
    <row r="64" spans="2:18" ht="12.5" customHeight="1" x14ac:dyDescent="0.25">
      <c r="B64" s="238">
        <v>46213</v>
      </c>
      <c r="C64" s="240" t="s">
        <v>1148</v>
      </c>
      <c r="D64" s="212" t="s">
        <v>878</v>
      </c>
      <c r="I64" s="403"/>
      <c r="J64" s="422"/>
      <c r="K64" s="406" t="s">
        <v>1142</v>
      </c>
      <c r="L64" s="243" t="s">
        <v>1279</v>
      </c>
      <c r="M64" s="243" t="s">
        <v>90</v>
      </c>
      <c r="N64" s="406" t="s">
        <v>84</v>
      </c>
      <c r="O64" s="406" t="s">
        <v>1139</v>
      </c>
      <c r="P64" s="406">
        <v>7</v>
      </c>
      <c r="Q64" s="406" t="s">
        <v>1146</v>
      </c>
      <c r="R64" s="438" t="s">
        <v>1184</v>
      </c>
    </row>
    <row r="65" spans="2:18" ht="12.5" customHeight="1" x14ac:dyDescent="0.25">
      <c r="B65" s="238">
        <v>46226</v>
      </c>
      <c r="C65" s="239" t="s">
        <v>1722</v>
      </c>
      <c r="D65" s="212" t="s">
        <v>877</v>
      </c>
      <c r="I65" s="403"/>
      <c r="J65" s="422"/>
      <c r="K65" s="406" t="s">
        <v>1142</v>
      </c>
      <c r="L65" s="243" t="s">
        <v>1280</v>
      </c>
      <c r="M65" s="243" t="s">
        <v>90</v>
      </c>
      <c r="N65" s="406" t="s">
        <v>84</v>
      </c>
      <c r="O65" s="406" t="s">
        <v>1139</v>
      </c>
      <c r="P65" s="406">
        <v>6</v>
      </c>
      <c r="Q65" s="406" t="s">
        <v>1146</v>
      </c>
      <c r="R65" s="438" t="s">
        <v>1184</v>
      </c>
    </row>
    <row r="66" spans="2:18" ht="12.5" customHeight="1" x14ac:dyDescent="0.25">
      <c r="B66" s="238">
        <v>46227</v>
      </c>
      <c r="C66" s="240" t="s">
        <v>1723</v>
      </c>
      <c r="D66" s="212" t="s">
        <v>877</v>
      </c>
      <c r="I66" s="403"/>
      <c r="J66" s="422"/>
      <c r="K66" s="456" t="s">
        <v>1142</v>
      </c>
      <c r="L66" s="243" t="s">
        <v>1267</v>
      </c>
      <c r="M66" s="243" t="s">
        <v>90</v>
      </c>
      <c r="N66" s="456" t="s">
        <v>80</v>
      </c>
      <c r="O66" s="456" t="s">
        <v>1139</v>
      </c>
      <c r="P66" s="456">
        <v>6</v>
      </c>
      <c r="Q66" s="456" t="s">
        <v>1146</v>
      </c>
      <c r="R66" s="438" t="s">
        <v>1184</v>
      </c>
    </row>
    <row r="67" spans="2:18" ht="12.5" customHeight="1" x14ac:dyDescent="0.25">
      <c r="B67" s="238">
        <v>46226</v>
      </c>
      <c r="C67" s="239" t="s">
        <v>1722</v>
      </c>
      <c r="D67" s="212" t="s">
        <v>878</v>
      </c>
      <c r="I67" s="403"/>
      <c r="J67" s="422"/>
      <c r="K67" s="404" t="s">
        <v>1142</v>
      </c>
      <c r="L67" s="243" t="s">
        <v>1268</v>
      </c>
      <c r="M67" s="243" t="s">
        <v>90</v>
      </c>
      <c r="N67" s="404" t="s">
        <v>89</v>
      </c>
      <c r="O67" s="404" t="s">
        <v>1139</v>
      </c>
      <c r="P67" s="404">
        <v>1</v>
      </c>
      <c r="Q67" s="404" t="s">
        <v>1146</v>
      </c>
      <c r="R67" s="438" t="s">
        <v>1184</v>
      </c>
    </row>
    <row r="68" spans="2:18" ht="12.5" customHeight="1" x14ac:dyDescent="0.25">
      <c r="B68" s="238">
        <v>46227</v>
      </c>
      <c r="C68" s="240" t="s">
        <v>1723</v>
      </c>
      <c r="D68" s="212" t="s">
        <v>878</v>
      </c>
      <c r="I68" s="403"/>
      <c r="J68" s="422"/>
      <c r="K68" s="404" t="s">
        <v>1142</v>
      </c>
      <c r="L68" s="243" t="s">
        <v>1281</v>
      </c>
      <c r="M68" s="243" t="s">
        <v>90</v>
      </c>
      <c r="N68" s="404" t="s">
        <v>84</v>
      </c>
      <c r="O68" s="404" t="s">
        <v>1139</v>
      </c>
      <c r="P68" s="404">
        <v>3</v>
      </c>
      <c r="Q68" s="404" t="s">
        <v>1146</v>
      </c>
      <c r="R68" s="438" t="s">
        <v>1184</v>
      </c>
    </row>
    <row r="69" spans="2:18" ht="12.5" customHeight="1" x14ac:dyDescent="0.25">
      <c r="B69" s="238">
        <v>46231</v>
      </c>
      <c r="C69" s="239" t="s">
        <v>1724</v>
      </c>
      <c r="D69" s="212" t="s">
        <v>877</v>
      </c>
      <c r="I69" s="403"/>
      <c r="J69" s="422"/>
      <c r="K69" s="404" t="s">
        <v>1142</v>
      </c>
      <c r="L69" s="243" t="s">
        <v>1282</v>
      </c>
      <c r="M69" s="243" t="s">
        <v>90</v>
      </c>
      <c r="N69" s="404" t="s">
        <v>82</v>
      </c>
      <c r="O69" s="404" t="s">
        <v>1139</v>
      </c>
      <c r="P69" s="404">
        <v>4</v>
      </c>
      <c r="Q69" s="404" t="s">
        <v>1146</v>
      </c>
      <c r="R69" s="438" t="s">
        <v>1184</v>
      </c>
    </row>
    <row r="70" spans="2:18" ht="12.5" customHeight="1" x14ac:dyDescent="0.25">
      <c r="B70" s="238">
        <v>46231</v>
      </c>
      <c r="C70" s="240" t="s">
        <v>1725</v>
      </c>
      <c r="D70" s="212" t="s">
        <v>877</v>
      </c>
      <c r="I70" s="403"/>
      <c r="J70" s="422"/>
      <c r="K70" s="406" t="s">
        <v>1142</v>
      </c>
      <c r="L70" s="243" t="s">
        <v>1283</v>
      </c>
      <c r="M70" s="243" t="s">
        <v>90</v>
      </c>
      <c r="N70" s="406" t="s">
        <v>82</v>
      </c>
      <c r="O70" s="406" t="s">
        <v>1139</v>
      </c>
      <c r="P70" s="406">
        <v>3</v>
      </c>
      <c r="Q70" s="406" t="s">
        <v>1146</v>
      </c>
      <c r="R70" s="438" t="s">
        <v>1184</v>
      </c>
    </row>
    <row r="71" spans="2:18" ht="12.5" customHeight="1" x14ac:dyDescent="0.25">
      <c r="B71" s="242">
        <v>46232</v>
      </c>
      <c r="C71" s="239" t="s">
        <v>1128</v>
      </c>
      <c r="D71" s="212" t="s">
        <v>877</v>
      </c>
      <c r="I71" s="403"/>
      <c r="J71" s="422"/>
      <c r="K71" s="406" t="s">
        <v>1142</v>
      </c>
      <c r="L71" s="243" t="s">
        <v>1284</v>
      </c>
      <c r="M71" s="243" t="s">
        <v>90</v>
      </c>
      <c r="N71" s="406" t="s">
        <v>82</v>
      </c>
      <c r="O71" s="406" t="s">
        <v>1139</v>
      </c>
      <c r="P71" s="406">
        <v>6</v>
      </c>
      <c r="Q71" s="406" t="s">
        <v>1146</v>
      </c>
      <c r="R71" s="438" t="s">
        <v>1184</v>
      </c>
    </row>
    <row r="72" spans="2:18" ht="12.5" customHeight="1" x14ac:dyDescent="0.25">
      <c r="B72" s="242">
        <v>46233</v>
      </c>
      <c r="C72" s="239" t="s">
        <v>1128</v>
      </c>
      <c r="D72" s="212" t="s">
        <v>877</v>
      </c>
      <c r="I72" s="403"/>
      <c r="J72" s="422"/>
      <c r="K72" s="406" t="s">
        <v>1142</v>
      </c>
      <c r="L72" s="243" t="s">
        <v>1285</v>
      </c>
      <c r="M72" s="243" t="s">
        <v>90</v>
      </c>
      <c r="N72" s="406" t="s">
        <v>82</v>
      </c>
      <c r="O72" s="406" t="s">
        <v>1139</v>
      </c>
      <c r="P72" s="406">
        <v>7</v>
      </c>
      <c r="Q72" s="406" t="s">
        <v>1146</v>
      </c>
      <c r="R72" s="438" t="s">
        <v>1184</v>
      </c>
    </row>
    <row r="73" spans="2:18" ht="12.5" customHeight="1" x14ac:dyDescent="0.25">
      <c r="B73" s="242"/>
      <c r="C73" s="240" t="s">
        <v>1128</v>
      </c>
      <c r="D73" s="212" t="s">
        <v>877</v>
      </c>
      <c r="I73" s="403"/>
      <c r="J73" s="422"/>
      <c r="K73" s="404" t="s">
        <v>1166</v>
      </c>
      <c r="L73" s="243" t="s">
        <v>1286</v>
      </c>
      <c r="M73" s="243" t="s">
        <v>90</v>
      </c>
      <c r="N73" s="404" t="s">
        <v>80</v>
      </c>
      <c r="O73" s="404" t="s">
        <v>1139</v>
      </c>
      <c r="P73" s="404">
        <v>1</v>
      </c>
      <c r="Q73" s="404" t="s">
        <v>1161</v>
      </c>
      <c r="R73" s="438" t="s">
        <v>364</v>
      </c>
    </row>
    <row r="74" spans="2:18" ht="12.5" customHeight="1" x14ac:dyDescent="0.25">
      <c r="B74" s="242">
        <v>46231</v>
      </c>
      <c r="C74" s="240" t="s">
        <v>1725</v>
      </c>
      <c r="D74" s="212" t="s">
        <v>878</v>
      </c>
      <c r="I74" s="403"/>
      <c r="J74" s="422"/>
      <c r="K74" s="404" t="s">
        <v>1166</v>
      </c>
      <c r="L74" s="243" t="s">
        <v>1287</v>
      </c>
      <c r="M74" s="243" t="s">
        <v>90</v>
      </c>
      <c r="N74" s="404" t="s">
        <v>118</v>
      </c>
      <c r="O74" s="404" t="s">
        <v>1139</v>
      </c>
      <c r="P74" s="404">
        <v>1</v>
      </c>
      <c r="Q74" s="404" t="s">
        <v>1161</v>
      </c>
      <c r="R74" s="438" t="s">
        <v>364</v>
      </c>
    </row>
    <row r="75" spans="2:18" ht="12.5" customHeight="1" x14ac:dyDescent="0.25">
      <c r="B75" s="238">
        <v>46232</v>
      </c>
      <c r="C75" s="239" t="s">
        <v>1128</v>
      </c>
      <c r="D75" s="212" t="s">
        <v>878</v>
      </c>
      <c r="I75" s="403"/>
      <c r="J75" s="422"/>
      <c r="K75" s="404" t="s">
        <v>1166</v>
      </c>
      <c r="L75" s="243" t="s">
        <v>1288</v>
      </c>
      <c r="M75" s="243" t="s">
        <v>78</v>
      </c>
      <c r="N75" s="404" t="s">
        <v>89</v>
      </c>
      <c r="O75" s="404" t="s">
        <v>1140</v>
      </c>
      <c r="P75" s="404">
        <v>2</v>
      </c>
      <c r="Q75" s="404" t="s">
        <v>1161</v>
      </c>
      <c r="R75" s="438" t="s">
        <v>386</v>
      </c>
    </row>
    <row r="76" spans="2:18" ht="12.5" customHeight="1" x14ac:dyDescent="0.25">
      <c r="B76" s="238">
        <v>46233</v>
      </c>
      <c r="C76" s="239" t="s">
        <v>1128</v>
      </c>
      <c r="D76" s="212" t="s">
        <v>878</v>
      </c>
      <c r="I76" s="403"/>
      <c r="J76" s="422"/>
      <c r="K76" s="404" t="s">
        <v>1166</v>
      </c>
      <c r="L76" s="243" t="s">
        <v>1289</v>
      </c>
      <c r="M76" s="243" t="s">
        <v>78</v>
      </c>
      <c r="N76" s="404" t="s">
        <v>89</v>
      </c>
      <c r="O76" s="404" t="s">
        <v>1140</v>
      </c>
      <c r="P76" s="404">
        <v>3</v>
      </c>
      <c r="Q76" s="404" t="s">
        <v>1161</v>
      </c>
      <c r="R76" s="438" t="s">
        <v>386</v>
      </c>
    </row>
    <row r="77" spans="2:18" ht="12.5" customHeight="1" x14ac:dyDescent="0.25">
      <c r="B77" s="238"/>
      <c r="C77" s="239" t="s">
        <v>1128</v>
      </c>
      <c r="D77" s="212" t="s">
        <v>878</v>
      </c>
      <c r="I77" s="403"/>
      <c r="J77" s="422"/>
      <c r="K77" s="404" t="s">
        <v>1166</v>
      </c>
      <c r="L77" s="243" t="s">
        <v>1290</v>
      </c>
      <c r="M77" s="243" t="s">
        <v>78</v>
      </c>
      <c r="N77" s="404" t="s">
        <v>191</v>
      </c>
      <c r="O77" s="404" t="s">
        <v>1139</v>
      </c>
      <c r="P77" s="404">
        <v>2</v>
      </c>
      <c r="Q77" s="404" t="s">
        <v>1161</v>
      </c>
      <c r="R77" s="438" t="s">
        <v>386</v>
      </c>
    </row>
    <row r="78" spans="2:18" ht="12.5" customHeight="1" x14ac:dyDescent="0.25">
      <c r="B78" s="238"/>
      <c r="C78" s="239" t="s">
        <v>1128</v>
      </c>
      <c r="D78" s="212" t="s">
        <v>878</v>
      </c>
      <c r="I78" s="403"/>
      <c r="J78" s="422"/>
      <c r="K78" s="404" t="s">
        <v>1166</v>
      </c>
      <c r="L78" s="243" t="s">
        <v>1291</v>
      </c>
      <c r="M78" s="243" t="s">
        <v>90</v>
      </c>
      <c r="N78" s="404" t="s">
        <v>86</v>
      </c>
      <c r="O78" s="404" t="s">
        <v>1139</v>
      </c>
      <c r="P78" s="404">
        <v>4</v>
      </c>
      <c r="Q78" s="404" t="s">
        <v>1161</v>
      </c>
      <c r="R78" s="438" t="s">
        <v>946</v>
      </c>
    </row>
    <row r="79" spans="2:18" ht="12.5" customHeight="1" x14ac:dyDescent="0.25">
      <c r="B79" s="238">
        <v>46227</v>
      </c>
      <c r="C79" s="239" t="s">
        <v>1129</v>
      </c>
      <c r="D79" s="212" t="s">
        <v>877</v>
      </c>
      <c r="I79" s="403"/>
      <c r="J79" s="422"/>
      <c r="K79" s="404" t="s">
        <v>1166</v>
      </c>
      <c r="L79" s="243" t="s">
        <v>1292</v>
      </c>
      <c r="M79" s="243" t="s">
        <v>78</v>
      </c>
      <c r="N79" s="404" t="s">
        <v>86</v>
      </c>
      <c r="O79" s="404" t="s">
        <v>1139</v>
      </c>
      <c r="P79" s="404">
        <v>3</v>
      </c>
      <c r="Q79" s="404" t="s">
        <v>1161</v>
      </c>
      <c r="R79" s="438" t="s">
        <v>946</v>
      </c>
    </row>
    <row r="80" spans="2:18" ht="12.5" customHeight="1" x14ac:dyDescent="0.25">
      <c r="B80" s="238"/>
      <c r="C80" s="239" t="s">
        <v>1129</v>
      </c>
      <c r="D80" s="212" t="s">
        <v>877</v>
      </c>
      <c r="I80" s="403"/>
      <c r="J80" s="422"/>
      <c r="K80" s="404" t="s">
        <v>1166</v>
      </c>
      <c r="L80" s="243" t="s">
        <v>1293</v>
      </c>
      <c r="M80" s="243" t="s">
        <v>90</v>
      </c>
      <c r="N80" s="404" t="s">
        <v>84</v>
      </c>
      <c r="O80" s="404" t="s">
        <v>1139</v>
      </c>
      <c r="P80" s="404">
        <v>1</v>
      </c>
      <c r="Q80" s="404" t="s">
        <v>1161</v>
      </c>
      <c r="R80" s="438" t="s">
        <v>946</v>
      </c>
    </row>
    <row r="81" spans="2:18" ht="12.5" customHeight="1" x14ac:dyDescent="0.25">
      <c r="B81" s="238"/>
      <c r="C81" s="239" t="s">
        <v>1129</v>
      </c>
      <c r="D81" s="212" t="s">
        <v>878</v>
      </c>
      <c r="I81" s="403"/>
      <c r="J81" s="422"/>
      <c r="K81" s="404" t="s">
        <v>1166</v>
      </c>
      <c r="L81" s="243" t="s">
        <v>1293</v>
      </c>
      <c r="M81" s="243" t="s">
        <v>90</v>
      </c>
      <c r="N81" s="404" t="s">
        <v>84</v>
      </c>
      <c r="O81" s="404" t="s">
        <v>1139</v>
      </c>
      <c r="P81" s="404">
        <v>1</v>
      </c>
      <c r="Q81" s="404" t="s">
        <v>1161</v>
      </c>
      <c r="R81" s="438" t="s">
        <v>946</v>
      </c>
    </row>
    <row r="82" spans="2:18" ht="12.5" customHeight="1" x14ac:dyDescent="0.25">
      <c r="B82" s="238">
        <v>46240</v>
      </c>
      <c r="C82" s="239" t="s">
        <v>1130</v>
      </c>
      <c r="D82" s="212" t="s">
        <v>878</v>
      </c>
      <c r="I82" s="403"/>
      <c r="J82" s="422"/>
      <c r="K82" s="404" t="s">
        <v>1166</v>
      </c>
      <c r="L82" s="243" t="s">
        <v>1294</v>
      </c>
      <c r="M82" s="243" t="s">
        <v>143</v>
      </c>
      <c r="N82" s="404" t="s">
        <v>84</v>
      </c>
      <c r="O82" s="404" t="s">
        <v>1139</v>
      </c>
      <c r="P82" s="404">
        <v>2</v>
      </c>
      <c r="Q82" s="404" t="s">
        <v>1161</v>
      </c>
      <c r="R82" s="438" t="s">
        <v>946</v>
      </c>
    </row>
    <row r="83" spans="2:18" ht="12.5" customHeight="1" x14ac:dyDescent="0.25">
      <c r="B83" s="238">
        <v>46240</v>
      </c>
      <c r="C83" s="240" t="s">
        <v>1130</v>
      </c>
      <c r="D83" s="212" t="s">
        <v>877</v>
      </c>
      <c r="I83" s="403"/>
      <c r="J83" s="422"/>
      <c r="K83" s="404" t="s">
        <v>1166</v>
      </c>
      <c r="L83" s="243" t="s">
        <v>1295</v>
      </c>
      <c r="M83" s="243" t="s">
        <v>90</v>
      </c>
      <c r="N83" s="404" t="s">
        <v>82</v>
      </c>
      <c r="O83" s="404" t="s">
        <v>1139</v>
      </c>
      <c r="P83" s="404">
        <v>2</v>
      </c>
      <c r="Q83" s="404" t="s">
        <v>1161</v>
      </c>
      <c r="R83" s="438" t="s">
        <v>946</v>
      </c>
    </row>
    <row r="84" spans="2:18" ht="12.5" customHeight="1" x14ac:dyDescent="0.25">
      <c r="B84" s="238"/>
      <c r="C84" s="240" t="s">
        <v>1130</v>
      </c>
      <c r="D84" s="212" t="s">
        <v>878</v>
      </c>
      <c r="I84" s="403"/>
      <c r="J84" s="422"/>
      <c r="K84" s="402" t="s">
        <v>1166</v>
      </c>
      <c r="L84" s="243" t="s">
        <v>1296</v>
      </c>
      <c r="M84" s="243" t="s">
        <v>143</v>
      </c>
      <c r="N84" s="404" t="s">
        <v>82</v>
      </c>
      <c r="O84" s="404" t="s">
        <v>1139</v>
      </c>
      <c r="P84" s="404">
        <v>2</v>
      </c>
      <c r="Q84" s="404" t="s">
        <v>1161</v>
      </c>
      <c r="R84" s="420" t="s">
        <v>946</v>
      </c>
    </row>
    <row r="85" spans="2:18" ht="12.5" customHeight="1" x14ac:dyDescent="0.25">
      <c r="B85" s="238"/>
      <c r="C85" s="240" t="s">
        <v>1130</v>
      </c>
      <c r="D85" s="212" t="s">
        <v>877</v>
      </c>
      <c r="I85" s="403"/>
      <c r="J85" s="422"/>
      <c r="K85" s="402" t="s">
        <v>1166</v>
      </c>
      <c r="L85" s="243" t="s">
        <v>1297</v>
      </c>
      <c r="M85" s="243" t="s">
        <v>90</v>
      </c>
      <c r="N85" s="404" t="s">
        <v>120</v>
      </c>
      <c r="O85" s="404" t="s">
        <v>1139</v>
      </c>
      <c r="P85" s="404">
        <v>1</v>
      </c>
      <c r="Q85" s="404" t="s">
        <v>1161</v>
      </c>
      <c r="R85" s="420" t="s">
        <v>946</v>
      </c>
    </row>
    <row r="86" spans="2:18" ht="12.5" customHeight="1" x14ac:dyDescent="0.25">
      <c r="B86" s="238"/>
      <c r="C86" s="240" t="s">
        <v>1130</v>
      </c>
      <c r="D86" s="212" t="s">
        <v>878</v>
      </c>
      <c r="I86" s="403"/>
      <c r="J86" s="422"/>
      <c r="K86" s="402" t="s">
        <v>1166</v>
      </c>
      <c r="L86" s="243" t="s">
        <v>1286</v>
      </c>
      <c r="M86" s="243" t="s">
        <v>90</v>
      </c>
      <c r="N86" s="404" t="s">
        <v>80</v>
      </c>
      <c r="O86" s="404" t="s">
        <v>1139</v>
      </c>
      <c r="P86" s="404">
        <v>1</v>
      </c>
      <c r="Q86" s="404" t="s">
        <v>1161</v>
      </c>
      <c r="R86" s="420" t="s">
        <v>1182</v>
      </c>
    </row>
    <row r="87" spans="2:18" ht="12.5" customHeight="1" x14ac:dyDescent="0.25">
      <c r="B87" s="238"/>
      <c r="C87" s="240" t="s">
        <v>1131</v>
      </c>
      <c r="D87" s="212" t="s">
        <v>877</v>
      </c>
      <c r="I87" s="403"/>
      <c r="J87" s="422"/>
      <c r="K87" s="402" t="s">
        <v>1166</v>
      </c>
      <c r="L87" s="243" t="s">
        <v>1287</v>
      </c>
      <c r="M87" s="243" t="s">
        <v>90</v>
      </c>
      <c r="N87" s="404" t="s">
        <v>118</v>
      </c>
      <c r="O87" s="404" t="s">
        <v>1139</v>
      </c>
      <c r="P87" s="404">
        <v>1</v>
      </c>
      <c r="Q87" s="404" t="s">
        <v>1161</v>
      </c>
      <c r="R87" s="420" t="s">
        <v>1182</v>
      </c>
    </row>
    <row r="88" spans="2:18" ht="12.5" customHeight="1" x14ac:dyDescent="0.25">
      <c r="B88" s="238">
        <v>46237</v>
      </c>
      <c r="C88" s="239" t="s">
        <v>1131</v>
      </c>
      <c r="D88" s="212" t="s">
        <v>877</v>
      </c>
      <c r="I88" s="403"/>
      <c r="J88" s="422"/>
      <c r="K88" s="402" t="s">
        <v>1166</v>
      </c>
      <c r="L88" s="243" t="s">
        <v>1288</v>
      </c>
      <c r="M88" s="243" t="s">
        <v>78</v>
      </c>
      <c r="N88" s="404" t="s">
        <v>89</v>
      </c>
      <c r="O88" s="404" t="s">
        <v>1140</v>
      </c>
      <c r="P88" s="404">
        <v>2</v>
      </c>
      <c r="Q88" s="404" t="s">
        <v>1161</v>
      </c>
      <c r="R88" s="420" t="s">
        <v>1182</v>
      </c>
    </row>
    <row r="89" spans="2:18" ht="12.5" customHeight="1" x14ac:dyDescent="0.25">
      <c r="B89" s="238">
        <v>46237</v>
      </c>
      <c r="C89" s="240" t="s">
        <v>1131</v>
      </c>
      <c r="D89" s="212" t="s">
        <v>878</v>
      </c>
      <c r="I89" s="403"/>
      <c r="J89" s="422"/>
      <c r="K89" s="402" t="s">
        <v>1166</v>
      </c>
      <c r="L89" s="243" t="s">
        <v>1289</v>
      </c>
      <c r="M89" s="243" t="s">
        <v>78</v>
      </c>
      <c r="N89" s="404" t="s">
        <v>89</v>
      </c>
      <c r="O89" s="404" t="s">
        <v>1140</v>
      </c>
      <c r="P89" s="404">
        <v>3</v>
      </c>
      <c r="Q89" s="404" t="s">
        <v>1161</v>
      </c>
      <c r="R89" s="420" t="s">
        <v>1182</v>
      </c>
    </row>
    <row r="90" spans="2:18" ht="12.5" customHeight="1" x14ac:dyDescent="0.25">
      <c r="B90" s="238"/>
      <c r="C90" s="240" t="s">
        <v>1131</v>
      </c>
      <c r="D90" s="212" t="s">
        <v>878</v>
      </c>
      <c r="I90" s="403"/>
      <c r="J90" s="422"/>
      <c r="K90" s="402" t="s">
        <v>1166</v>
      </c>
      <c r="L90" s="243" t="s">
        <v>1290</v>
      </c>
      <c r="M90" s="243" t="s">
        <v>78</v>
      </c>
      <c r="N90" s="404" t="s">
        <v>191</v>
      </c>
      <c r="O90" s="404" t="s">
        <v>1139</v>
      </c>
      <c r="P90" s="404">
        <v>2</v>
      </c>
      <c r="Q90" s="404" t="s">
        <v>1161</v>
      </c>
      <c r="R90" s="420" t="s">
        <v>1182</v>
      </c>
    </row>
    <row r="91" spans="2:18" ht="12.5" customHeight="1" x14ac:dyDescent="0.25">
      <c r="B91" s="238"/>
      <c r="C91" s="240" t="s">
        <v>1131</v>
      </c>
      <c r="D91" s="212" t="s">
        <v>878</v>
      </c>
      <c r="I91" s="403"/>
      <c r="J91" s="422"/>
      <c r="K91" s="404" t="s">
        <v>1166</v>
      </c>
      <c r="L91" s="243" t="s">
        <v>1291</v>
      </c>
      <c r="M91" s="243" t="s">
        <v>90</v>
      </c>
      <c r="N91" s="404" t="s">
        <v>86</v>
      </c>
      <c r="O91" s="404" t="s">
        <v>1139</v>
      </c>
      <c r="P91" s="404">
        <v>4</v>
      </c>
      <c r="Q91" s="404" t="s">
        <v>1161</v>
      </c>
      <c r="R91" s="420" t="s">
        <v>1182</v>
      </c>
    </row>
    <row r="92" spans="2:18" ht="12.5" customHeight="1" x14ac:dyDescent="0.25">
      <c r="B92" s="238"/>
      <c r="C92" s="240" t="s">
        <v>1131</v>
      </c>
      <c r="D92" s="212" t="s">
        <v>878</v>
      </c>
      <c r="I92" s="403"/>
      <c r="J92" s="422"/>
      <c r="K92" s="404" t="s">
        <v>1166</v>
      </c>
      <c r="L92" s="243" t="s">
        <v>1292</v>
      </c>
      <c r="M92" s="243" t="s">
        <v>78</v>
      </c>
      <c r="N92" s="404" t="s">
        <v>86</v>
      </c>
      <c r="O92" s="404" t="s">
        <v>1139</v>
      </c>
      <c r="P92" s="404">
        <v>3</v>
      </c>
      <c r="Q92" s="404" t="s">
        <v>1161</v>
      </c>
      <c r="R92" s="420" t="s">
        <v>1182</v>
      </c>
    </row>
    <row r="93" spans="2:18" ht="12.5" customHeight="1" x14ac:dyDescent="0.25">
      <c r="B93" s="238"/>
      <c r="C93" s="240" t="s">
        <v>1131</v>
      </c>
      <c r="D93" s="212" t="s">
        <v>878</v>
      </c>
      <c r="I93" s="403"/>
      <c r="J93" s="422"/>
      <c r="K93" s="402" t="s">
        <v>1166</v>
      </c>
      <c r="L93" s="243" t="s">
        <v>1293</v>
      </c>
      <c r="M93" s="243" t="s">
        <v>90</v>
      </c>
      <c r="N93" s="404" t="s">
        <v>84</v>
      </c>
      <c r="O93" s="404" t="s">
        <v>1139</v>
      </c>
      <c r="P93" s="404">
        <v>1</v>
      </c>
      <c r="Q93" s="404" t="s">
        <v>1161</v>
      </c>
      <c r="R93" s="420" t="s">
        <v>1182</v>
      </c>
    </row>
    <row r="94" spans="2:18" ht="12.5" customHeight="1" x14ac:dyDescent="0.25">
      <c r="B94" s="238"/>
      <c r="C94" s="240" t="s">
        <v>1131</v>
      </c>
      <c r="D94" s="212" t="s">
        <v>878</v>
      </c>
      <c r="I94" s="403"/>
      <c r="J94" s="422"/>
      <c r="K94" s="402" t="s">
        <v>1166</v>
      </c>
      <c r="L94" s="243" t="s">
        <v>1293</v>
      </c>
      <c r="M94" s="243" t="s">
        <v>90</v>
      </c>
      <c r="N94" s="404" t="s">
        <v>84</v>
      </c>
      <c r="O94" s="404" t="s">
        <v>1139</v>
      </c>
      <c r="P94" s="404">
        <v>1</v>
      </c>
      <c r="Q94" s="404" t="s">
        <v>1161</v>
      </c>
      <c r="R94" s="420" t="s">
        <v>1182</v>
      </c>
    </row>
    <row r="95" spans="2:18" ht="12.5" customHeight="1" x14ac:dyDescent="0.25">
      <c r="B95" s="238"/>
      <c r="C95" s="239" t="s">
        <v>1131</v>
      </c>
      <c r="D95" s="212" t="s">
        <v>878</v>
      </c>
      <c r="I95" s="403"/>
      <c r="J95" s="422"/>
      <c r="K95" s="402" t="s">
        <v>1166</v>
      </c>
      <c r="L95" s="243" t="s">
        <v>1294</v>
      </c>
      <c r="M95" s="243" t="s">
        <v>143</v>
      </c>
      <c r="N95" s="404" t="s">
        <v>84</v>
      </c>
      <c r="O95" s="404" t="s">
        <v>1139</v>
      </c>
      <c r="P95" s="404">
        <v>2</v>
      </c>
      <c r="Q95" s="404" t="s">
        <v>1161</v>
      </c>
      <c r="R95" s="420" t="s">
        <v>1182</v>
      </c>
    </row>
    <row r="96" spans="2:18" ht="12.5" customHeight="1" x14ac:dyDescent="0.25">
      <c r="B96" s="238">
        <v>46230</v>
      </c>
      <c r="C96" s="240" t="s">
        <v>1132</v>
      </c>
      <c r="D96" s="212" t="s">
        <v>877</v>
      </c>
      <c r="I96" s="403"/>
      <c r="J96" s="422"/>
      <c r="K96" s="404" t="s">
        <v>1166</v>
      </c>
      <c r="L96" s="243" t="s">
        <v>1295</v>
      </c>
      <c r="M96" s="243" t="s">
        <v>90</v>
      </c>
      <c r="N96" s="404" t="s">
        <v>82</v>
      </c>
      <c r="O96" s="404" t="s">
        <v>1139</v>
      </c>
      <c r="P96" s="404">
        <v>2</v>
      </c>
      <c r="Q96" s="404" t="s">
        <v>1161</v>
      </c>
      <c r="R96" s="420" t="s">
        <v>1182</v>
      </c>
    </row>
    <row r="97" spans="2:18" ht="12.5" customHeight="1" x14ac:dyDescent="0.25">
      <c r="B97" s="238"/>
      <c r="C97" s="240" t="s">
        <v>1132</v>
      </c>
      <c r="D97" s="212" t="s">
        <v>877</v>
      </c>
      <c r="I97" s="403"/>
      <c r="J97" s="422"/>
      <c r="K97" s="404" t="s">
        <v>1166</v>
      </c>
      <c r="L97" s="243" t="s">
        <v>1296</v>
      </c>
      <c r="M97" s="243" t="s">
        <v>143</v>
      </c>
      <c r="N97" s="404" t="s">
        <v>82</v>
      </c>
      <c r="O97" s="404" t="s">
        <v>1139</v>
      </c>
      <c r="P97" s="404">
        <v>2</v>
      </c>
      <c r="Q97" s="404" t="s">
        <v>1161</v>
      </c>
      <c r="R97" s="420" t="s">
        <v>1182</v>
      </c>
    </row>
    <row r="98" spans="2:18" ht="12.5" customHeight="1" x14ac:dyDescent="0.25">
      <c r="B98" s="238"/>
      <c r="C98" s="240" t="s">
        <v>1132</v>
      </c>
      <c r="D98" s="212" t="s">
        <v>877</v>
      </c>
      <c r="I98" s="403"/>
      <c r="J98" s="422"/>
      <c r="K98" s="404" t="s">
        <v>1166</v>
      </c>
      <c r="L98" s="243" t="s">
        <v>1297</v>
      </c>
      <c r="M98" s="243" t="s">
        <v>90</v>
      </c>
      <c r="N98" s="404" t="s">
        <v>120</v>
      </c>
      <c r="O98" s="404" t="s">
        <v>1139</v>
      </c>
      <c r="P98" s="404">
        <v>1</v>
      </c>
      <c r="Q98" s="404" t="s">
        <v>1161</v>
      </c>
      <c r="R98" s="420" t="s">
        <v>1182</v>
      </c>
    </row>
    <row r="99" spans="2:18" ht="12.5" customHeight="1" x14ac:dyDescent="0.25">
      <c r="B99" s="238">
        <v>46230</v>
      </c>
      <c r="C99" s="240" t="s">
        <v>1132</v>
      </c>
      <c r="D99" s="212" t="s">
        <v>878</v>
      </c>
      <c r="I99" s="403"/>
      <c r="J99" s="422"/>
      <c r="K99" s="404" t="s">
        <v>1166</v>
      </c>
      <c r="L99" s="243" t="s">
        <v>1286</v>
      </c>
      <c r="M99" s="243" t="s">
        <v>90</v>
      </c>
      <c r="N99" s="404" t="s">
        <v>80</v>
      </c>
      <c r="O99" s="404" t="s">
        <v>1139</v>
      </c>
      <c r="P99" s="404">
        <v>1</v>
      </c>
      <c r="Q99" s="404" t="s">
        <v>1161</v>
      </c>
      <c r="R99" s="438" t="s">
        <v>1184</v>
      </c>
    </row>
    <row r="100" spans="2:18" ht="12.5" customHeight="1" x14ac:dyDescent="0.25">
      <c r="B100" s="238"/>
      <c r="C100" s="240" t="s">
        <v>1132</v>
      </c>
      <c r="D100" s="212" t="s">
        <v>878</v>
      </c>
      <c r="I100" s="403"/>
      <c r="J100" s="422"/>
      <c r="K100" s="404" t="s">
        <v>1166</v>
      </c>
      <c r="L100" s="243" t="s">
        <v>1287</v>
      </c>
      <c r="M100" s="243" t="s">
        <v>90</v>
      </c>
      <c r="N100" s="404" t="s">
        <v>118</v>
      </c>
      <c r="O100" s="404" t="s">
        <v>1139</v>
      </c>
      <c r="P100" s="404">
        <v>1</v>
      </c>
      <c r="Q100" s="404" t="s">
        <v>1161</v>
      </c>
      <c r="R100" s="438" t="s">
        <v>1184</v>
      </c>
    </row>
    <row r="101" spans="2:18" ht="12.5" customHeight="1" x14ac:dyDescent="0.25">
      <c r="B101" s="238"/>
      <c r="C101" s="239" t="s">
        <v>1132</v>
      </c>
      <c r="D101" s="212" t="s">
        <v>878</v>
      </c>
      <c r="I101" s="403"/>
      <c r="J101" s="422"/>
      <c r="K101" s="404" t="s">
        <v>1166</v>
      </c>
      <c r="L101" s="243" t="s">
        <v>1288</v>
      </c>
      <c r="M101" s="243" t="s">
        <v>78</v>
      </c>
      <c r="N101" s="404" t="s">
        <v>89</v>
      </c>
      <c r="O101" s="404" t="s">
        <v>1140</v>
      </c>
      <c r="P101" s="404">
        <v>2</v>
      </c>
      <c r="Q101" s="404" t="s">
        <v>1161</v>
      </c>
      <c r="R101" s="438" t="s">
        <v>1184</v>
      </c>
    </row>
    <row r="102" spans="2:18" ht="12.5" customHeight="1" x14ac:dyDescent="0.25">
      <c r="B102" s="238"/>
      <c r="C102" s="240" t="s">
        <v>1132</v>
      </c>
      <c r="D102" s="212" t="s">
        <v>878</v>
      </c>
      <c r="I102" s="403"/>
      <c r="J102" s="422"/>
      <c r="K102" s="404" t="s">
        <v>1166</v>
      </c>
      <c r="L102" s="243" t="s">
        <v>1289</v>
      </c>
      <c r="M102" s="243" t="s">
        <v>78</v>
      </c>
      <c r="N102" s="404" t="s">
        <v>89</v>
      </c>
      <c r="O102" s="404" t="s">
        <v>1140</v>
      </c>
      <c r="P102" s="404">
        <v>3</v>
      </c>
      <c r="Q102" s="404" t="s">
        <v>1161</v>
      </c>
      <c r="R102" s="438" t="s">
        <v>1184</v>
      </c>
    </row>
    <row r="103" spans="2:18" ht="12.5" customHeight="1" x14ac:dyDescent="0.25">
      <c r="B103" s="238">
        <v>46234</v>
      </c>
      <c r="C103" s="239" t="s">
        <v>1196</v>
      </c>
      <c r="D103" s="212" t="s">
        <v>877</v>
      </c>
      <c r="I103" s="403"/>
      <c r="J103" s="422"/>
      <c r="K103" s="404" t="s">
        <v>1166</v>
      </c>
      <c r="L103" s="243" t="s">
        <v>1290</v>
      </c>
      <c r="M103" s="243" t="s">
        <v>78</v>
      </c>
      <c r="N103" s="404" t="s">
        <v>191</v>
      </c>
      <c r="O103" s="404" t="s">
        <v>1139</v>
      </c>
      <c r="P103" s="404">
        <v>2</v>
      </c>
      <c r="Q103" s="404" t="s">
        <v>1161</v>
      </c>
      <c r="R103" s="438" t="s">
        <v>1184</v>
      </c>
    </row>
    <row r="104" spans="2:18" ht="12.5" customHeight="1" x14ac:dyDescent="0.25">
      <c r="B104" s="238">
        <v>46233</v>
      </c>
      <c r="C104" s="240" t="s">
        <v>1196</v>
      </c>
      <c r="D104" s="212" t="s">
        <v>878</v>
      </c>
      <c r="I104" s="403"/>
      <c r="J104" s="422"/>
      <c r="K104" s="404" t="s">
        <v>1166</v>
      </c>
      <c r="L104" s="243" t="s">
        <v>1291</v>
      </c>
      <c r="M104" s="243" t="s">
        <v>90</v>
      </c>
      <c r="N104" s="404" t="s">
        <v>86</v>
      </c>
      <c r="O104" s="404" t="s">
        <v>1139</v>
      </c>
      <c r="P104" s="404">
        <v>4</v>
      </c>
      <c r="Q104" s="404" t="s">
        <v>1161</v>
      </c>
      <c r="R104" s="438" t="s">
        <v>1184</v>
      </c>
    </row>
    <row r="105" spans="2:18" ht="12.5" customHeight="1" x14ac:dyDescent="0.25">
      <c r="B105" s="238">
        <v>46231</v>
      </c>
      <c r="C105" s="239" t="s">
        <v>1191</v>
      </c>
      <c r="D105" s="212" t="s">
        <v>878</v>
      </c>
      <c r="I105" s="403"/>
      <c r="J105" s="422"/>
      <c r="K105" s="404" t="s">
        <v>1166</v>
      </c>
      <c r="L105" s="243" t="s">
        <v>1292</v>
      </c>
      <c r="M105" s="243" t="s">
        <v>78</v>
      </c>
      <c r="N105" s="404" t="s">
        <v>86</v>
      </c>
      <c r="O105" s="404" t="s">
        <v>1139</v>
      </c>
      <c r="P105" s="404">
        <v>3</v>
      </c>
      <c r="Q105" s="404" t="s">
        <v>1161</v>
      </c>
      <c r="R105" s="438" t="s">
        <v>1184</v>
      </c>
    </row>
    <row r="106" spans="2:18" ht="12.5" customHeight="1" x14ac:dyDescent="0.25">
      <c r="B106" s="238">
        <v>46231</v>
      </c>
      <c r="C106" s="240" t="s">
        <v>1191</v>
      </c>
      <c r="D106" s="212" t="s">
        <v>877</v>
      </c>
      <c r="I106" s="403"/>
      <c r="J106" s="422"/>
      <c r="K106" s="404" t="s">
        <v>1166</v>
      </c>
      <c r="L106" s="243" t="s">
        <v>1293</v>
      </c>
      <c r="M106" s="243" t="s">
        <v>90</v>
      </c>
      <c r="N106" s="404" t="s">
        <v>84</v>
      </c>
      <c r="O106" s="404" t="s">
        <v>1139</v>
      </c>
      <c r="P106" s="404">
        <v>1</v>
      </c>
      <c r="Q106" s="404" t="s">
        <v>1161</v>
      </c>
      <c r="R106" s="438" t="s">
        <v>1184</v>
      </c>
    </row>
    <row r="107" spans="2:18" ht="12.5" customHeight="1" x14ac:dyDescent="0.25">
      <c r="B107" s="238">
        <v>46233</v>
      </c>
      <c r="C107" s="239" t="s">
        <v>1191</v>
      </c>
      <c r="D107" s="212" t="s">
        <v>878</v>
      </c>
      <c r="I107" s="403"/>
      <c r="J107" s="422"/>
      <c r="K107" s="404" t="s">
        <v>1166</v>
      </c>
      <c r="L107" s="243" t="s">
        <v>1293</v>
      </c>
      <c r="M107" s="243" t="s">
        <v>90</v>
      </c>
      <c r="N107" s="404" t="s">
        <v>84</v>
      </c>
      <c r="O107" s="404" t="s">
        <v>1139</v>
      </c>
      <c r="P107" s="404">
        <v>1</v>
      </c>
      <c r="Q107" s="404" t="s">
        <v>1161</v>
      </c>
      <c r="R107" s="438" t="s">
        <v>1184</v>
      </c>
    </row>
    <row r="108" spans="2:18" ht="12.5" customHeight="1" x14ac:dyDescent="0.25">
      <c r="B108" s="238">
        <v>46233</v>
      </c>
      <c r="C108" s="240" t="s">
        <v>1191</v>
      </c>
      <c r="D108" s="212" t="s">
        <v>877</v>
      </c>
      <c r="I108" s="403"/>
      <c r="J108" s="422"/>
      <c r="K108" s="404" t="s">
        <v>1166</v>
      </c>
      <c r="L108" s="243" t="s">
        <v>1294</v>
      </c>
      <c r="M108" s="243" t="s">
        <v>143</v>
      </c>
      <c r="N108" s="404" t="s">
        <v>84</v>
      </c>
      <c r="O108" s="404" t="s">
        <v>1139</v>
      </c>
      <c r="P108" s="404">
        <v>2</v>
      </c>
      <c r="Q108" s="404" t="s">
        <v>1161</v>
      </c>
      <c r="R108" s="438" t="s">
        <v>1184</v>
      </c>
    </row>
    <row r="109" spans="2:18" ht="12.5" customHeight="1" x14ac:dyDescent="0.25">
      <c r="B109" s="238"/>
      <c r="C109" s="239" t="s">
        <v>1726</v>
      </c>
      <c r="D109" s="212" t="s">
        <v>878</v>
      </c>
      <c r="I109" s="403"/>
      <c r="J109" s="422"/>
      <c r="K109" s="404" t="s">
        <v>1166</v>
      </c>
      <c r="L109" s="243" t="s">
        <v>1295</v>
      </c>
      <c r="M109" s="243" t="s">
        <v>90</v>
      </c>
      <c r="N109" s="404" t="s">
        <v>82</v>
      </c>
      <c r="O109" s="404" t="s">
        <v>1139</v>
      </c>
      <c r="P109" s="404">
        <v>2</v>
      </c>
      <c r="Q109" s="404" t="s">
        <v>1161</v>
      </c>
      <c r="R109" s="438" t="s">
        <v>1184</v>
      </c>
    </row>
    <row r="110" spans="2:18" ht="12.5" customHeight="1" x14ac:dyDescent="0.25">
      <c r="B110" s="238">
        <v>46239</v>
      </c>
      <c r="C110" s="240" t="s">
        <v>1726</v>
      </c>
      <c r="D110" s="212" t="s">
        <v>877</v>
      </c>
      <c r="I110" s="403"/>
      <c r="J110" s="422"/>
      <c r="K110" s="404" t="s">
        <v>1166</v>
      </c>
      <c r="L110" s="243" t="s">
        <v>1296</v>
      </c>
      <c r="M110" s="243" t="s">
        <v>143</v>
      </c>
      <c r="N110" s="404" t="s">
        <v>82</v>
      </c>
      <c r="O110" s="404" t="s">
        <v>1139</v>
      </c>
      <c r="P110" s="404">
        <v>2</v>
      </c>
      <c r="Q110" s="404" t="s">
        <v>1161</v>
      </c>
      <c r="R110" s="438" t="s">
        <v>1184</v>
      </c>
    </row>
    <row r="111" spans="2:18" ht="12.5" customHeight="1" x14ac:dyDescent="0.25">
      <c r="B111" s="238">
        <v>46209</v>
      </c>
      <c r="C111" s="239" t="s">
        <v>1188</v>
      </c>
      <c r="D111" s="212" t="s">
        <v>877</v>
      </c>
      <c r="I111" s="403"/>
      <c r="J111" s="422"/>
      <c r="K111" s="404" t="s">
        <v>1166</v>
      </c>
      <c r="L111" s="243" t="s">
        <v>1297</v>
      </c>
      <c r="M111" s="243" t="s">
        <v>90</v>
      </c>
      <c r="N111" s="404" t="s">
        <v>120</v>
      </c>
      <c r="O111" s="404" t="s">
        <v>1139</v>
      </c>
      <c r="P111" s="404">
        <v>1</v>
      </c>
      <c r="Q111" s="404" t="s">
        <v>1161</v>
      </c>
      <c r="R111" s="438" t="s">
        <v>1184</v>
      </c>
    </row>
    <row r="112" spans="2:18" ht="12.5" customHeight="1" x14ac:dyDescent="0.25">
      <c r="B112" s="238">
        <v>46210</v>
      </c>
      <c r="C112" s="240" t="s">
        <v>1188</v>
      </c>
      <c r="D112" s="212" t="s">
        <v>877</v>
      </c>
      <c r="I112" s="403"/>
      <c r="J112" s="422"/>
      <c r="K112" s="404" t="s">
        <v>1167</v>
      </c>
      <c r="L112" s="243" t="s">
        <v>1298</v>
      </c>
      <c r="M112" s="243" t="s">
        <v>78</v>
      </c>
      <c r="N112" s="404" t="s">
        <v>84</v>
      </c>
      <c r="O112" s="404" t="s">
        <v>1139</v>
      </c>
      <c r="P112" s="404">
        <v>3</v>
      </c>
      <c r="Q112" s="404" t="s">
        <v>1162</v>
      </c>
      <c r="R112" s="438" t="s">
        <v>946</v>
      </c>
    </row>
    <row r="113" spans="2:18" ht="12.5" customHeight="1" x14ac:dyDescent="0.25">
      <c r="B113" s="238">
        <v>46211</v>
      </c>
      <c r="C113" s="239" t="s">
        <v>1188</v>
      </c>
      <c r="D113" s="212" t="s">
        <v>877</v>
      </c>
      <c r="I113" s="403"/>
      <c r="J113" s="422"/>
      <c r="K113" s="404" t="s">
        <v>1167</v>
      </c>
      <c r="L113" s="243" t="s">
        <v>1299</v>
      </c>
      <c r="M113" s="243" t="s">
        <v>78</v>
      </c>
      <c r="N113" s="404" t="s">
        <v>82</v>
      </c>
      <c r="O113" s="404" t="s">
        <v>1139</v>
      </c>
      <c r="P113" s="404">
        <v>4</v>
      </c>
      <c r="Q113" s="404" t="s">
        <v>1162</v>
      </c>
      <c r="R113" s="438" t="s">
        <v>946</v>
      </c>
    </row>
    <row r="114" spans="2:18" ht="12.5" customHeight="1" x14ac:dyDescent="0.25">
      <c r="B114" s="238">
        <v>46212</v>
      </c>
      <c r="C114" s="240" t="s">
        <v>1188</v>
      </c>
      <c r="D114" s="212" t="s">
        <v>877</v>
      </c>
      <c r="I114" s="403"/>
      <c r="J114" s="422"/>
      <c r="K114" s="404" t="s">
        <v>1167</v>
      </c>
      <c r="L114" s="243" t="s">
        <v>1300</v>
      </c>
      <c r="M114" s="243" t="s">
        <v>78</v>
      </c>
      <c r="N114" s="404" t="s">
        <v>120</v>
      </c>
      <c r="O114" s="404" t="s">
        <v>1139</v>
      </c>
      <c r="P114" s="404">
        <v>4</v>
      </c>
      <c r="Q114" s="404" t="s">
        <v>1162</v>
      </c>
      <c r="R114" s="438" t="s">
        <v>946</v>
      </c>
    </row>
    <row r="115" spans="2:18" ht="12.5" customHeight="1" x14ac:dyDescent="0.25">
      <c r="B115" s="238">
        <v>46213</v>
      </c>
      <c r="C115" s="239" t="s">
        <v>1188</v>
      </c>
      <c r="D115" s="212" t="s">
        <v>877</v>
      </c>
      <c r="I115" s="403"/>
      <c r="J115" s="422"/>
      <c r="K115" s="402" t="s">
        <v>1167</v>
      </c>
      <c r="L115" s="243" t="s">
        <v>1298</v>
      </c>
      <c r="M115" s="243" t="s">
        <v>78</v>
      </c>
      <c r="N115" s="404" t="s">
        <v>84</v>
      </c>
      <c r="O115" s="404" t="s">
        <v>1139</v>
      </c>
      <c r="P115" s="404">
        <v>3</v>
      </c>
      <c r="Q115" s="404" t="s">
        <v>1162</v>
      </c>
      <c r="R115" s="420" t="s">
        <v>1182</v>
      </c>
    </row>
    <row r="116" spans="2:18" ht="12.5" customHeight="1" x14ac:dyDescent="0.25">
      <c r="B116" s="238"/>
      <c r="C116" s="240" t="s">
        <v>1188</v>
      </c>
      <c r="D116" s="212" t="s">
        <v>877</v>
      </c>
      <c r="I116" s="403"/>
      <c r="J116" s="422"/>
      <c r="K116" s="402" t="s">
        <v>1167</v>
      </c>
      <c r="L116" s="243" t="s">
        <v>1299</v>
      </c>
      <c r="M116" s="243" t="s">
        <v>78</v>
      </c>
      <c r="N116" s="404" t="s">
        <v>82</v>
      </c>
      <c r="O116" s="404" t="s">
        <v>1139</v>
      </c>
      <c r="P116" s="404">
        <v>4</v>
      </c>
      <c r="Q116" s="404" t="s">
        <v>1162</v>
      </c>
      <c r="R116" s="420" t="s">
        <v>1182</v>
      </c>
    </row>
    <row r="117" spans="2:18" ht="12.5" customHeight="1" x14ac:dyDescent="0.25">
      <c r="B117" s="238">
        <v>46212</v>
      </c>
      <c r="C117" s="240" t="s">
        <v>1188</v>
      </c>
      <c r="D117" s="212" t="s">
        <v>878</v>
      </c>
      <c r="I117" s="403"/>
      <c r="J117" s="422"/>
      <c r="K117" s="402" t="s">
        <v>1167</v>
      </c>
      <c r="L117" s="243" t="s">
        <v>1300</v>
      </c>
      <c r="M117" s="243" t="s">
        <v>78</v>
      </c>
      <c r="N117" s="404" t="s">
        <v>120</v>
      </c>
      <c r="O117" s="404" t="s">
        <v>1139</v>
      </c>
      <c r="P117" s="404">
        <v>4</v>
      </c>
      <c r="Q117" s="404" t="s">
        <v>1162</v>
      </c>
      <c r="R117" s="420" t="s">
        <v>1182</v>
      </c>
    </row>
    <row r="118" spans="2:18" ht="12.5" customHeight="1" x14ac:dyDescent="0.25">
      <c r="B118" s="238">
        <v>46213</v>
      </c>
      <c r="C118" s="240" t="s">
        <v>1188</v>
      </c>
      <c r="D118" s="212" t="s">
        <v>878</v>
      </c>
      <c r="I118" s="403"/>
      <c r="J118" s="422"/>
      <c r="K118" s="402" t="s">
        <v>1167</v>
      </c>
      <c r="L118" s="243" t="s">
        <v>1298</v>
      </c>
      <c r="M118" s="243" t="s">
        <v>78</v>
      </c>
      <c r="N118" s="404" t="s">
        <v>84</v>
      </c>
      <c r="O118" s="404" t="s">
        <v>1139</v>
      </c>
      <c r="P118" s="404">
        <v>3</v>
      </c>
      <c r="Q118" s="404" t="s">
        <v>1162</v>
      </c>
      <c r="R118" s="420" t="s">
        <v>1184</v>
      </c>
    </row>
    <row r="119" spans="2:18" ht="12.5" customHeight="1" x14ac:dyDescent="0.25">
      <c r="B119" s="238"/>
      <c r="C119" s="240" t="s">
        <v>1188</v>
      </c>
      <c r="D119" s="212" t="s">
        <v>878</v>
      </c>
      <c r="I119" s="403"/>
      <c r="J119" s="422"/>
      <c r="K119" s="404" t="s">
        <v>1167</v>
      </c>
      <c r="L119" s="243" t="s">
        <v>1299</v>
      </c>
      <c r="M119" s="243" t="s">
        <v>78</v>
      </c>
      <c r="N119" s="404" t="s">
        <v>82</v>
      </c>
      <c r="O119" s="404" t="s">
        <v>1139</v>
      </c>
      <c r="P119" s="404">
        <v>4</v>
      </c>
      <c r="Q119" s="404" t="s">
        <v>1162</v>
      </c>
      <c r="R119" s="420" t="s">
        <v>1184</v>
      </c>
    </row>
    <row r="120" spans="2:18" ht="12.5" customHeight="1" x14ac:dyDescent="0.25">
      <c r="B120" s="238"/>
      <c r="C120" s="240" t="s">
        <v>1188</v>
      </c>
      <c r="D120" s="212" t="s">
        <v>878</v>
      </c>
      <c r="I120" s="403"/>
      <c r="J120" s="422"/>
      <c r="K120" s="404" t="s">
        <v>1167</v>
      </c>
      <c r="L120" s="243" t="s">
        <v>1300</v>
      </c>
      <c r="M120" s="243" t="s">
        <v>78</v>
      </c>
      <c r="N120" s="404" t="s">
        <v>120</v>
      </c>
      <c r="O120" s="404" t="s">
        <v>1139</v>
      </c>
      <c r="P120" s="404">
        <v>4</v>
      </c>
      <c r="Q120" s="404" t="s">
        <v>1162</v>
      </c>
      <c r="R120" s="420" t="s">
        <v>1184</v>
      </c>
    </row>
    <row r="121" spans="2:18" ht="12.5" customHeight="1" x14ac:dyDescent="0.25">
      <c r="B121" s="238"/>
      <c r="C121" s="240" t="s">
        <v>1188</v>
      </c>
      <c r="D121" s="212" t="s">
        <v>878</v>
      </c>
      <c r="I121" s="403"/>
      <c r="J121" s="422"/>
      <c r="K121" s="404" t="s">
        <v>1160</v>
      </c>
      <c r="L121" s="243" t="s">
        <v>1301</v>
      </c>
      <c r="M121" s="243" t="s">
        <v>90</v>
      </c>
      <c r="N121" s="404" t="s">
        <v>174</v>
      </c>
      <c r="O121" s="404" t="s">
        <v>1139</v>
      </c>
      <c r="P121" s="404">
        <v>23</v>
      </c>
      <c r="Q121" s="404" t="s">
        <v>1158</v>
      </c>
      <c r="R121" s="420" t="s">
        <v>946</v>
      </c>
    </row>
    <row r="122" spans="2:18" ht="12.5" customHeight="1" x14ac:dyDescent="0.25">
      <c r="B122" s="238"/>
      <c r="C122" s="240" t="s">
        <v>1188</v>
      </c>
      <c r="D122" s="212" t="s">
        <v>878</v>
      </c>
      <c r="I122" s="403"/>
      <c r="J122" s="422"/>
      <c r="K122" s="404" t="s">
        <v>1160</v>
      </c>
      <c r="L122" s="243" t="s">
        <v>1302</v>
      </c>
      <c r="M122" s="243" t="s">
        <v>94</v>
      </c>
      <c r="N122" s="404" t="s">
        <v>174</v>
      </c>
      <c r="O122" s="404" t="s">
        <v>1139</v>
      </c>
      <c r="P122" s="404">
        <v>6</v>
      </c>
      <c r="Q122" s="404" t="s">
        <v>1158</v>
      </c>
      <c r="R122" s="420" t="s">
        <v>946</v>
      </c>
    </row>
    <row r="123" spans="2:18" ht="12.5" customHeight="1" x14ac:dyDescent="0.25">
      <c r="B123" s="238">
        <v>46216</v>
      </c>
      <c r="C123" s="240" t="s">
        <v>1151</v>
      </c>
      <c r="D123" s="212" t="s">
        <v>877</v>
      </c>
      <c r="I123" s="403"/>
      <c r="J123" s="422"/>
      <c r="K123" s="404" t="s">
        <v>1160</v>
      </c>
      <c r="L123" s="243" t="s">
        <v>1303</v>
      </c>
      <c r="M123" s="243" t="s">
        <v>94</v>
      </c>
      <c r="N123" s="404" t="s">
        <v>174</v>
      </c>
      <c r="O123" s="404" t="s">
        <v>1139</v>
      </c>
      <c r="P123" s="404">
        <v>3</v>
      </c>
      <c r="Q123" s="404" t="s">
        <v>1158</v>
      </c>
      <c r="R123" s="438" t="s">
        <v>946</v>
      </c>
    </row>
    <row r="124" spans="2:18" ht="12.5" customHeight="1" x14ac:dyDescent="0.25">
      <c r="B124" s="238">
        <v>46217</v>
      </c>
      <c r="C124" s="240" t="s">
        <v>1151</v>
      </c>
      <c r="D124" s="212" t="s">
        <v>877</v>
      </c>
      <c r="I124" s="403"/>
      <c r="J124" s="422"/>
      <c r="K124" s="404" t="s">
        <v>1160</v>
      </c>
      <c r="L124" s="243" t="s">
        <v>1304</v>
      </c>
      <c r="M124" s="243" t="s">
        <v>90</v>
      </c>
      <c r="N124" s="404" t="s">
        <v>174</v>
      </c>
      <c r="O124" s="404" t="s">
        <v>1139</v>
      </c>
      <c r="P124" s="404">
        <v>4</v>
      </c>
      <c r="Q124" s="404" t="s">
        <v>1158</v>
      </c>
      <c r="R124" s="438" t="s">
        <v>946</v>
      </c>
    </row>
    <row r="125" spans="2:18" ht="12.5" customHeight="1" x14ac:dyDescent="0.25">
      <c r="B125" s="242">
        <v>46218</v>
      </c>
      <c r="C125" s="240" t="s">
        <v>1151</v>
      </c>
      <c r="D125" s="212" t="s">
        <v>877</v>
      </c>
      <c r="I125" s="403"/>
      <c r="J125" s="422"/>
      <c r="K125" s="404" t="s">
        <v>1160</v>
      </c>
      <c r="L125" s="243" t="s">
        <v>1305</v>
      </c>
      <c r="M125" s="243" t="s">
        <v>90</v>
      </c>
      <c r="N125" s="404" t="s">
        <v>175</v>
      </c>
      <c r="O125" s="404" t="s">
        <v>1139</v>
      </c>
      <c r="P125" s="404">
        <v>2</v>
      </c>
      <c r="Q125" s="404" t="s">
        <v>1158</v>
      </c>
      <c r="R125" s="438" t="s">
        <v>946</v>
      </c>
    </row>
    <row r="126" spans="2:18" ht="12.5" customHeight="1" x14ac:dyDescent="0.25">
      <c r="B126" s="238">
        <v>46219</v>
      </c>
      <c r="C126" s="240" t="s">
        <v>1151</v>
      </c>
      <c r="D126" s="212" t="s">
        <v>877</v>
      </c>
      <c r="I126" s="403"/>
      <c r="J126" s="422"/>
      <c r="K126" s="404" t="s">
        <v>1160</v>
      </c>
      <c r="L126" s="243" t="s">
        <v>1306</v>
      </c>
      <c r="M126" s="243" t="s">
        <v>90</v>
      </c>
      <c r="N126" s="404" t="s">
        <v>176</v>
      </c>
      <c r="O126" s="404" t="s">
        <v>1139</v>
      </c>
      <c r="P126" s="404">
        <v>10</v>
      </c>
      <c r="Q126" s="404" t="s">
        <v>1158</v>
      </c>
      <c r="R126" s="420" t="s">
        <v>946</v>
      </c>
    </row>
    <row r="127" spans="2:18" ht="12.5" customHeight="1" x14ac:dyDescent="0.25">
      <c r="B127" s="242">
        <v>46220</v>
      </c>
      <c r="C127" s="240" t="s">
        <v>1151</v>
      </c>
      <c r="D127" s="212" t="s">
        <v>877</v>
      </c>
      <c r="I127" s="403"/>
      <c r="J127" s="422"/>
      <c r="K127" s="404" t="s">
        <v>1160</v>
      </c>
      <c r="L127" s="243" t="s">
        <v>1307</v>
      </c>
      <c r="M127" s="243" t="s">
        <v>90</v>
      </c>
      <c r="N127" s="404" t="s">
        <v>170</v>
      </c>
      <c r="O127" s="404" t="s">
        <v>1139</v>
      </c>
      <c r="P127" s="404">
        <v>2</v>
      </c>
      <c r="Q127" s="404" t="s">
        <v>1158</v>
      </c>
      <c r="R127" s="420" t="s">
        <v>946</v>
      </c>
    </row>
    <row r="128" spans="2:18" ht="12.5" customHeight="1" x14ac:dyDescent="0.25">
      <c r="B128" s="242">
        <v>46216</v>
      </c>
      <c r="C128" s="240" t="s">
        <v>1151</v>
      </c>
      <c r="D128" s="212" t="s">
        <v>878</v>
      </c>
      <c r="I128" s="403"/>
      <c r="J128" s="422"/>
      <c r="K128" s="404" t="s">
        <v>1160</v>
      </c>
      <c r="L128" s="243" t="s">
        <v>1307</v>
      </c>
      <c r="M128" s="243" t="s">
        <v>90</v>
      </c>
      <c r="N128" s="404" t="s">
        <v>170</v>
      </c>
      <c r="O128" s="404" t="s">
        <v>1139</v>
      </c>
      <c r="P128" s="404">
        <v>2</v>
      </c>
      <c r="Q128" s="404" t="s">
        <v>1158</v>
      </c>
      <c r="R128" s="420" t="s">
        <v>946</v>
      </c>
    </row>
    <row r="129" spans="2:18" ht="12.5" customHeight="1" x14ac:dyDescent="0.25">
      <c r="B129" s="238">
        <v>46217</v>
      </c>
      <c r="C129" s="240" t="s">
        <v>1151</v>
      </c>
      <c r="D129" s="212" t="s">
        <v>878</v>
      </c>
      <c r="I129" s="403"/>
      <c r="J129" s="422"/>
      <c r="K129" s="404" t="s">
        <v>1160</v>
      </c>
      <c r="L129" s="243" t="s">
        <v>1308</v>
      </c>
      <c r="M129" s="243" t="s">
        <v>94</v>
      </c>
      <c r="N129" s="404" t="s">
        <v>170</v>
      </c>
      <c r="O129" s="404" t="s">
        <v>1139</v>
      </c>
      <c r="P129" s="404">
        <v>1</v>
      </c>
      <c r="Q129" s="404" t="s">
        <v>1158</v>
      </c>
      <c r="R129" s="420" t="s">
        <v>946</v>
      </c>
    </row>
    <row r="130" spans="2:18" ht="12.5" customHeight="1" x14ac:dyDescent="0.25">
      <c r="B130" s="238">
        <v>46218</v>
      </c>
      <c r="C130" s="239" t="s">
        <v>1151</v>
      </c>
      <c r="D130" s="212" t="s">
        <v>878</v>
      </c>
      <c r="I130" s="403"/>
      <c r="J130" s="422"/>
      <c r="K130" s="404" t="s">
        <v>1160</v>
      </c>
      <c r="L130" s="243" t="s">
        <v>1309</v>
      </c>
      <c r="M130" s="243" t="s">
        <v>90</v>
      </c>
      <c r="N130" s="404" t="s">
        <v>120</v>
      </c>
      <c r="O130" s="404" t="s">
        <v>1139</v>
      </c>
      <c r="P130" s="404">
        <v>1</v>
      </c>
      <c r="Q130" s="404" t="s">
        <v>1158</v>
      </c>
      <c r="R130" s="438" t="s">
        <v>946</v>
      </c>
    </row>
    <row r="131" spans="2:18" ht="12.5" customHeight="1" x14ac:dyDescent="0.25">
      <c r="B131" s="238">
        <v>46219</v>
      </c>
      <c r="C131" s="240" t="s">
        <v>1151</v>
      </c>
      <c r="D131" s="212" t="s">
        <v>878</v>
      </c>
      <c r="I131" s="403"/>
      <c r="J131" s="422"/>
      <c r="K131" s="404" t="s">
        <v>1160</v>
      </c>
      <c r="L131" s="243" t="s">
        <v>1310</v>
      </c>
      <c r="M131" s="243" t="s">
        <v>90</v>
      </c>
      <c r="N131" s="404" t="s">
        <v>120</v>
      </c>
      <c r="O131" s="404" t="s">
        <v>1139</v>
      </c>
      <c r="P131" s="404">
        <v>3</v>
      </c>
      <c r="Q131" s="404" t="s">
        <v>1158</v>
      </c>
      <c r="R131" s="438" t="s">
        <v>946</v>
      </c>
    </row>
    <row r="132" spans="2:18" ht="12.5" customHeight="1" x14ac:dyDescent="0.25">
      <c r="B132" s="238">
        <v>46220</v>
      </c>
      <c r="C132" s="239" t="s">
        <v>1151</v>
      </c>
      <c r="D132" s="212" t="s">
        <v>878</v>
      </c>
      <c r="I132" s="403"/>
      <c r="J132" s="422"/>
      <c r="K132" s="404" t="s">
        <v>1160</v>
      </c>
      <c r="L132" s="243" t="s">
        <v>1311</v>
      </c>
      <c r="M132" s="243" t="s">
        <v>94</v>
      </c>
      <c r="N132" s="404" t="s">
        <v>177</v>
      </c>
      <c r="O132" s="404" t="s">
        <v>1139</v>
      </c>
      <c r="P132" s="404">
        <v>1</v>
      </c>
      <c r="Q132" s="404" t="s">
        <v>1158</v>
      </c>
      <c r="R132" s="438" t="s">
        <v>364</v>
      </c>
    </row>
    <row r="133" spans="2:18" ht="12.5" customHeight="1" x14ac:dyDescent="0.25">
      <c r="B133" s="238">
        <v>46223</v>
      </c>
      <c r="C133" s="240" t="s">
        <v>1151</v>
      </c>
      <c r="D133" s="212" t="s">
        <v>877</v>
      </c>
      <c r="I133" s="403"/>
      <c r="J133" s="422"/>
      <c r="K133" s="404" t="s">
        <v>1160</v>
      </c>
      <c r="L133" s="243" t="s">
        <v>1312</v>
      </c>
      <c r="M133" s="243" t="s">
        <v>172</v>
      </c>
      <c r="N133" s="404" t="s">
        <v>177</v>
      </c>
      <c r="O133" s="404" t="s">
        <v>1139</v>
      </c>
      <c r="P133" s="404">
        <v>2</v>
      </c>
      <c r="Q133" s="404" t="s">
        <v>1158</v>
      </c>
      <c r="R133" s="438" t="s">
        <v>364</v>
      </c>
    </row>
    <row r="134" spans="2:18" ht="12.5" customHeight="1" x14ac:dyDescent="0.25">
      <c r="B134" s="238">
        <v>46227</v>
      </c>
      <c r="C134" s="239" t="s">
        <v>1727</v>
      </c>
      <c r="D134" s="212" t="s">
        <v>877</v>
      </c>
      <c r="I134" s="403"/>
      <c r="J134" s="422"/>
      <c r="K134" s="404" t="s">
        <v>1160</v>
      </c>
      <c r="L134" s="243" t="s">
        <v>1313</v>
      </c>
      <c r="M134" s="243" t="s">
        <v>90</v>
      </c>
      <c r="N134" s="404" t="s">
        <v>80</v>
      </c>
      <c r="O134" s="404" t="s">
        <v>1139</v>
      </c>
      <c r="P134" s="404">
        <v>13</v>
      </c>
      <c r="Q134" s="404" t="s">
        <v>1158</v>
      </c>
      <c r="R134" s="438" t="s">
        <v>364</v>
      </c>
    </row>
    <row r="135" spans="2:18" ht="12.5" customHeight="1" x14ac:dyDescent="0.25">
      <c r="B135" s="238"/>
      <c r="C135" s="240" t="s">
        <v>1728</v>
      </c>
      <c r="D135" s="212" t="s">
        <v>877</v>
      </c>
      <c r="I135" s="403"/>
      <c r="J135" s="422"/>
      <c r="K135" s="404" t="s">
        <v>1160</v>
      </c>
      <c r="L135" s="243" t="s">
        <v>1313</v>
      </c>
      <c r="M135" s="243" t="s">
        <v>90</v>
      </c>
      <c r="N135" s="404" t="s">
        <v>80</v>
      </c>
      <c r="O135" s="404" t="s">
        <v>1139</v>
      </c>
      <c r="P135" s="404">
        <v>13</v>
      </c>
      <c r="Q135" s="404" t="s">
        <v>1158</v>
      </c>
      <c r="R135" s="438" t="s">
        <v>364</v>
      </c>
    </row>
    <row r="136" spans="2:18" ht="12.5" customHeight="1" x14ac:dyDescent="0.25">
      <c r="B136" s="238">
        <v>46227</v>
      </c>
      <c r="C136" s="239" t="s">
        <v>1727</v>
      </c>
      <c r="D136" s="212" t="s">
        <v>878</v>
      </c>
      <c r="I136" s="403"/>
      <c r="J136" s="422"/>
      <c r="K136" s="404" t="s">
        <v>1160</v>
      </c>
      <c r="L136" s="243" t="s">
        <v>1314</v>
      </c>
      <c r="M136" s="243" t="s">
        <v>94</v>
      </c>
      <c r="N136" s="404" t="s">
        <v>80</v>
      </c>
      <c r="O136" s="404" t="s">
        <v>1139</v>
      </c>
      <c r="P136" s="404">
        <v>1</v>
      </c>
      <c r="Q136" s="404" t="s">
        <v>1158</v>
      </c>
      <c r="R136" s="420" t="s">
        <v>364</v>
      </c>
    </row>
    <row r="137" spans="2:18" ht="12.5" customHeight="1" x14ac:dyDescent="0.25">
      <c r="B137" s="238">
        <v>46234</v>
      </c>
      <c r="C137" s="240" t="s">
        <v>1728</v>
      </c>
      <c r="D137" s="212" t="s">
        <v>877</v>
      </c>
      <c r="I137" s="403"/>
      <c r="J137" s="422"/>
      <c r="K137" s="404" t="s">
        <v>1160</v>
      </c>
      <c r="L137" s="243" t="s">
        <v>1315</v>
      </c>
      <c r="M137" s="243" t="s">
        <v>90</v>
      </c>
      <c r="N137" s="404" t="s">
        <v>80</v>
      </c>
      <c r="O137" s="404" t="s">
        <v>1139</v>
      </c>
      <c r="P137" s="404">
        <v>2</v>
      </c>
      <c r="Q137" s="404" t="s">
        <v>1158</v>
      </c>
      <c r="R137" s="438" t="s">
        <v>364</v>
      </c>
    </row>
    <row r="138" spans="2:18" ht="12.5" customHeight="1" x14ac:dyDescent="0.25">
      <c r="B138" s="242">
        <v>46234</v>
      </c>
      <c r="C138" s="239" t="s">
        <v>1197</v>
      </c>
      <c r="D138" s="212" t="s">
        <v>877</v>
      </c>
      <c r="I138" s="403"/>
      <c r="J138" s="422"/>
      <c r="K138" s="404" t="s">
        <v>1160</v>
      </c>
      <c r="L138" s="243" t="s">
        <v>1316</v>
      </c>
      <c r="M138" s="243" t="s">
        <v>90</v>
      </c>
      <c r="N138" s="404" t="s">
        <v>179</v>
      </c>
      <c r="O138" s="404" t="s">
        <v>1139</v>
      </c>
      <c r="P138" s="404">
        <v>1</v>
      </c>
      <c r="Q138" s="404" t="s">
        <v>1158</v>
      </c>
      <c r="R138" s="438" t="s">
        <v>364</v>
      </c>
    </row>
    <row r="139" spans="2:18" ht="12.5" customHeight="1" x14ac:dyDescent="0.25">
      <c r="B139" s="242">
        <v>46235</v>
      </c>
      <c r="C139" s="239" t="s">
        <v>1124</v>
      </c>
      <c r="D139" s="212" t="s">
        <v>877</v>
      </c>
      <c r="I139" s="403"/>
      <c r="J139" s="422"/>
      <c r="K139" s="404" t="s">
        <v>1160</v>
      </c>
      <c r="L139" s="243" t="s">
        <v>1317</v>
      </c>
      <c r="M139" s="243" t="s">
        <v>90</v>
      </c>
      <c r="N139" s="404" t="s">
        <v>171</v>
      </c>
      <c r="O139" s="404" t="s">
        <v>1139</v>
      </c>
      <c r="P139" s="404">
        <v>3</v>
      </c>
      <c r="Q139" s="404" t="s">
        <v>1158</v>
      </c>
      <c r="R139" s="438" t="s">
        <v>364</v>
      </c>
    </row>
    <row r="140" spans="2:18" ht="12.5" customHeight="1" x14ac:dyDescent="0.25">
      <c r="B140" s="242">
        <v>46237</v>
      </c>
      <c r="C140" s="240" t="s">
        <v>1124</v>
      </c>
      <c r="D140" s="212" t="s">
        <v>877</v>
      </c>
      <c r="I140" s="403"/>
      <c r="J140" s="422"/>
      <c r="K140" s="404" t="s">
        <v>1160</v>
      </c>
      <c r="L140" s="243" t="s">
        <v>1318</v>
      </c>
      <c r="M140" s="243" t="s">
        <v>90</v>
      </c>
      <c r="N140" s="404" t="s">
        <v>171</v>
      </c>
      <c r="O140" s="404" t="s">
        <v>1139</v>
      </c>
      <c r="P140" s="404">
        <v>6</v>
      </c>
      <c r="Q140" s="404" t="s">
        <v>1158</v>
      </c>
      <c r="R140" s="438" t="s">
        <v>364</v>
      </c>
    </row>
    <row r="141" spans="2:18" ht="12.5" customHeight="1" x14ac:dyDescent="0.25">
      <c r="B141" s="242"/>
      <c r="C141" s="240" t="s">
        <v>1124</v>
      </c>
      <c r="D141" s="212" t="s">
        <v>877</v>
      </c>
      <c r="I141" s="403"/>
      <c r="J141" s="422"/>
      <c r="K141" s="404" t="s">
        <v>1160</v>
      </c>
      <c r="L141" s="243" t="s">
        <v>1319</v>
      </c>
      <c r="M141" s="243" t="s">
        <v>90</v>
      </c>
      <c r="N141" s="404" t="s">
        <v>88</v>
      </c>
      <c r="O141" s="404" t="s">
        <v>1139</v>
      </c>
      <c r="P141" s="404">
        <v>2</v>
      </c>
      <c r="Q141" s="404" t="s">
        <v>1158</v>
      </c>
      <c r="R141" s="438" t="s">
        <v>386</v>
      </c>
    </row>
    <row r="142" spans="2:18" ht="12.5" customHeight="1" x14ac:dyDescent="0.25">
      <c r="B142" s="238"/>
      <c r="C142" s="239" t="s">
        <v>1124</v>
      </c>
      <c r="D142" s="212" t="s">
        <v>877</v>
      </c>
      <c r="I142" s="403"/>
      <c r="J142" s="422"/>
      <c r="K142" s="404" t="s">
        <v>1160</v>
      </c>
      <c r="L142" s="243" t="s">
        <v>1320</v>
      </c>
      <c r="M142" s="243" t="s">
        <v>78</v>
      </c>
      <c r="N142" s="404" t="s">
        <v>173</v>
      </c>
      <c r="O142" s="404" t="s">
        <v>1140</v>
      </c>
      <c r="P142" s="404">
        <v>20</v>
      </c>
      <c r="Q142" s="404" t="s">
        <v>1158</v>
      </c>
      <c r="R142" s="438" t="s">
        <v>386</v>
      </c>
    </row>
    <row r="143" spans="2:18" ht="12.5" customHeight="1" x14ac:dyDescent="0.25">
      <c r="B143" s="238"/>
      <c r="C143" s="239" t="s">
        <v>1124</v>
      </c>
      <c r="D143" s="212" t="s">
        <v>877</v>
      </c>
      <c r="I143" s="403"/>
      <c r="J143" s="422"/>
      <c r="K143" s="404" t="s">
        <v>1160</v>
      </c>
      <c r="L143" s="243" t="s">
        <v>1321</v>
      </c>
      <c r="M143" s="243" t="s">
        <v>90</v>
      </c>
      <c r="N143" s="404" t="s">
        <v>173</v>
      </c>
      <c r="O143" s="404" t="s">
        <v>1140</v>
      </c>
      <c r="P143" s="404">
        <v>25</v>
      </c>
      <c r="Q143" s="404" t="s">
        <v>1158</v>
      </c>
      <c r="R143" s="438" t="s">
        <v>386</v>
      </c>
    </row>
    <row r="144" spans="2:18" ht="12.5" customHeight="1" x14ac:dyDescent="0.25">
      <c r="B144" s="238">
        <v>46234</v>
      </c>
      <c r="C144" s="239" t="s">
        <v>1197</v>
      </c>
      <c r="D144" s="212" t="s">
        <v>878</v>
      </c>
      <c r="I144" s="403"/>
      <c r="J144" s="422"/>
      <c r="K144" s="404" t="s">
        <v>1160</v>
      </c>
      <c r="L144" s="243" t="s">
        <v>1322</v>
      </c>
      <c r="M144" s="243" t="s">
        <v>78</v>
      </c>
      <c r="N144" s="404" t="s">
        <v>173</v>
      </c>
      <c r="O144" s="404" t="s">
        <v>1140</v>
      </c>
      <c r="P144" s="404">
        <v>4</v>
      </c>
      <c r="Q144" s="404" t="s">
        <v>1158</v>
      </c>
      <c r="R144" s="438" t="s">
        <v>386</v>
      </c>
    </row>
    <row r="145" spans="2:18" ht="12.5" customHeight="1" x14ac:dyDescent="0.25">
      <c r="B145" s="238">
        <v>46235</v>
      </c>
      <c r="C145" s="239" t="s">
        <v>1124</v>
      </c>
      <c r="D145" s="212" t="s">
        <v>878</v>
      </c>
      <c r="I145" s="403"/>
      <c r="J145" s="422"/>
      <c r="K145" s="404" t="s">
        <v>1160</v>
      </c>
      <c r="L145" s="243" t="s">
        <v>1323</v>
      </c>
      <c r="M145" s="243" t="s">
        <v>78</v>
      </c>
      <c r="N145" s="404" t="s">
        <v>173</v>
      </c>
      <c r="O145" s="404" t="s">
        <v>1140</v>
      </c>
      <c r="P145" s="404">
        <v>2</v>
      </c>
      <c r="Q145" s="404" t="s">
        <v>1158</v>
      </c>
      <c r="R145" s="438" t="s">
        <v>386</v>
      </c>
    </row>
    <row r="146" spans="2:18" ht="12.5" customHeight="1" x14ac:dyDescent="0.25">
      <c r="B146" s="238">
        <v>46237</v>
      </c>
      <c r="C146" s="239" t="s">
        <v>1124</v>
      </c>
      <c r="D146" s="212" t="s">
        <v>878</v>
      </c>
      <c r="I146" s="403"/>
      <c r="J146" s="422"/>
      <c r="K146" s="404" t="s">
        <v>1160</v>
      </c>
      <c r="L146" s="243" t="s">
        <v>1323</v>
      </c>
      <c r="M146" s="243" t="s">
        <v>78</v>
      </c>
      <c r="N146" s="404" t="s">
        <v>173</v>
      </c>
      <c r="O146" s="404" t="s">
        <v>1140</v>
      </c>
      <c r="P146" s="404">
        <v>2</v>
      </c>
      <c r="Q146" s="404" t="s">
        <v>1158</v>
      </c>
      <c r="R146" s="438" t="s">
        <v>386</v>
      </c>
    </row>
    <row r="147" spans="2:18" ht="12.5" customHeight="1" x14ac:dyDescent="0.25">
      <c r="B147" s="238"/>
      <c r="C147" s="240" t="s">
        <v>1124</v>
      </c>
      <c r="D147" s="212" t="s">
        <v>878</v>
      </c>
      <c r="I147" s="403"/>
      <c r="J147" s="422"/>
      <c r="K147" s="404" t="s">
        <v>1160</v>
      </c>
      <c r="L147" s="243" t="s">
        <v>1324</v>
      </c>
      <c r="M147" s="243" t="s">
        <v>90</v>
      </c>
      <c r="N147" s="404" t="s">
        <v>173</v>
      </c>
      <c r="O147" s="404" t="s">
        <v>1140</v>
      </c>
      <c r="P147" s="404">
        <v>2</v>
      </c>
      <c r="Q147" s="404" t="s">
        <v>1158</v>
      </c>
      <c r="R147" s="438" t="s">
        <v>386</v>
      </c>
    </row>
    <row r="148" spans="2:18" ht="12.5" customHeight="1" x14ac:dyDescent="0.25">
      <c r="B148" s="238"/>
      <c r="C148" s="239" t="s">
        <v>1124</v>
      </c>
      <c r="D148" s="212" t="s">
        <v>878</v>
      </c>
      <c r="I148" s="403"/>
      <c r="J148" s="422"/>
      <c r="K148" s="404" t="s">
        <v>1160</v>
      </c>
      <c r="L148" s="243" t="s">
        <v>1325</v>
      </c>
      <c r="M148" s="243" t="s">
        <v>78</v>
      </c>
      <c r="N148" s="404" t="s">
        <v>88</v>
      </c>
      <c r="O148" s="404" t="s">
        <v>1140</v>
      </c>
      <c r="P148" s="404">
        <v>4</v>
      </c>
      <c r="Q148" s="404" t="s">
        <v>1158</v>
      </c>
      <c r="R148" s="438" t="s">
        <v>386</v>
      </c>
    </row>
    <row r="149" spans="2:18" ht="12.5" customHeight="1" x14ac:dyDescent="0.25">
      <c r="B149" s="238"/>
      <c r="C149" s="239" t="s">
        <v>1197</v>
      </c>
      <c r="D149" s="212" t="s">
        <v>878</v>
      </c>
      <c r="I149" s="403"/>
      <c r="J149" s="422"/>
      <c r="K149" s="404" t="s">
        <v>1160</v>
      </c>
      <c r="L149" s="243" t="s">
        <v>1326</v>
      </c>
      <c r="M149" s="243" t="s">
        <v>90</v>
      </c>
      <c r="N149" s="404" t="s">
        <v>88</v>
      </c>
      <c r="O149" s="404" t="s">
        <v>1140</v>
      </c>
      <c r="P149" s="404">
        <v>2</v>
      </c>
      <c r="Q149" s="404" t="s">
        <v>1158</v>
      </c>
      <c r="R149" s="438" t="s">
        <v>386</v>
      </c>
    </row>
    <row r="150" spans="2:18" ht="12.5" customHeight="1" x14ac:dyDescent="0.25">
      <c r="B150" s="238">
        <v>46238</v>
      </c>
      <c r="C150" s="239" t="s">
        <v>1125</v>
      </c>
      <c r="D150" s="212" t="s">
        <v>877</v>
      </c>
      <c r="I150" s="403"/>
      <c r="J150" s="422"/>
      <c r="K150" s="404" t="s">
        <v>1160</v>
      </c>
      <c r="L150" s="243" t="s">
        <v>1301</v>
      </c>
      <c r="M150" s="243" t="s">
        <v>90</v>
      </c>
      <c r="N150" s="404" t="s">
        <v>174</v>
      </c>
      <c r="O150" s="404" t="s">
        <v>1139</v>
      </c>
      <c r="P150" s="404">
        <v>23</v>
      </c>
      <c r="Q150" s="404" t="s">
        <v>1158</v>
      </c>
      <c r="R150" s="438" t="s">
        <v>1182</v>
      </c>
    </row>
    <row r="151" spans="2:18" ht="12.5" customHeight="1" x14ac:dyDescent="0.25">
      <c r="B151" s="238">
        <v>46239</v>
      </c>
      <c r="C151" s="239" t="s">
        <v>1125</v>
      </c>
      <c r="D151" s="212" t="s">
        <v>877</v>
      </c>
      <c r="I151" s="403"/>
      <c r="J151" s="422"/>
      <c r="K151" s="404" t="s">
        <v>1160</v>
      </c>
      <c r="L151" s="243" t="s">
        <v>1302</v>
      </c>
      <c r="M151" s="243" t="s">
        <v>94</v>
      </c>
      <c r="N151" s="404" t="s">
        <v>174</v>
      </c>
      <c r="O151" s="404" t="s">
        <v>1139</v>
      </c>
      <c r="P151" s="404">
        <v>6</v>
      </c>
      <c r="Q151" s="404" t="s">
        <v>1158</v>
      </c>
      <c r="R151" s="438" t="s">
        <v>1182</v>
      </c>
    </row>
    <row r="152" spans="2:18" ht="12.5" customHeight="1" x14ac:dyDescent="0.25">
      <c r="B152" s="238">
        <v>46238</v>
      </c>
      <c r="C152" s="239" t="s">
        <v>1125</v>
      </c>
      <c r="D152" s="212" t="s">
        <v>878</v>
      </c>
      <c r="I152" s="403"/>
      <c r="J152" s="422"/>
      <c r="K152" s="404" t="s">
        <v>1160</v>
      </c>
      <c r="L152" s="243" t="s">
        <v>1303</v>
      </c>
      <c r="M152" s="243" t="s">
        <v>94</v>
      </c>
      <c r="N152" s="404" t="s">
        <v>174</v>
      </c>
      <c r="O152" s="404" t="s">
        <v>1139</v>
      </c>
      <c r="P152" s="404">
        <v>3</v>
      </c>
      <c r="Q152" s="404" t="s">
        <v>1158</v>
      </c>
      <c r="R152" s="438" t="s">
        <v>1182</v>
      </c>
    </row>
    <row r="153" spans="2:18" ht="12.5" customHeight="1" x14ac:dyDescent="0.25">
      <c r="B153" s="238">
        <v>46239</v>
      </c>
      <c r="C153" s="239" t="s">
        <v>1125</v>
      </c>
      <c r="D153" s="212" t="s">
        <v>878</v>
      </c>
      <c r="I153" s="403"/>
      <c r="J153" s="422"/>
      <c r="K153" s="404" t="s">
        <v>1160</v>
      </c>
      <c r="L153" s="243" t="s">
        <v>1304</v>
      </c>
      <c r="M153" s="243" t="s">
        <v>90</v>
      </c>
      <c r="N153" s="404" t="s">
        <v>174</v>
      </c>
      <c r="O153" s="404" t="s">
        <v>1139</v>
      </c>
      <c r="P153" s="404">
        <v>4</v>
      </c>
      <c r="Q153" s="404" t="s">
        <v>1158</v>
      </c>
      <c r="R153" s="438" t="s">
        <v>1182</v>
      </c>
    </row>
    <row r="154" spans="2:18" ht="12.5" customHeight="1" x14ac:dyDescent="0.25">
      <c r="B154" s="238">
        <v>46241</v>
      </c>
      <c r="C154" s="239" t="s">
        <v>1185</v>
      </c>
      <c r="D154" s="212" t="s">
        <v>877</v>
      </c>
      <c r="I154" s="403"/>
      <c r="J154" s="422"/>
      <c r="K154" s="404" t="s">
        <v>1160</v>
      </c>
      <c r="L154" s="243" t="s">
        <v>1305</v>
      </c>
      <c r="M154" s="243" t="s">
        <v>90</v>
      </c>
      <c r="N154" s="404" t="s">
        <v>175</v>
      </c>
      <c r="O154" s="404" t="s">
        <v>1139</v>
      </c>
      <c r="P154" s="404">
        <v>2</v>
      </c>
      <c r="Q154" s="404" t="s">
        <v>1158</v>
      </c>
      <c r="R154" s="438" t="s">
        <v>1182</v>
      </c>
    </row>
    <row r="155" spans="2:18" ht="12.5" customHeight="1" x14ac:dyDescent="0.25">
      <c r="B155" s="238">
        <v>46241</v>
      </c>
      <c r="C155" s="239" t="s">
        <v>1185</v>
      </c>
      <c r="D155" s="212" t="s">
        <v>878</v>
      </c>
      <c r="I155" s="403"/>
      <c r="J155" s="422"/>
      <c r="K155" s="404" t="s">
        <v>1160</v>
      </c>
      <c r="L155" s="243" t="s">
        <v>1306</v>
      </c>
      <c r="M155" s="243" t="s">
        <v>90</v>
      </c>
      <c r="N155" s="404" t="s">
        <v>176</v>
      </c>
      <c r="O155" s="404" t="s">
        <v>1139</v>
      </c>
      <c r="P155" s="404">
        <v>10</v>
      </c>
      <c r="Q155" s="404" t="s">
        <v>1158</v>
      </c>
      <c r="R155" s="438" t="s">
        <v>1182</v>
      </c>
    </row>
    <row r="156" spans="2:18" ht="12.5" customHeight="1" x14ac:dyDescent="0.25">
      <c r="B156" s="238">
        <v>46244</v>
      </c>
      <c r="C156" s="239" t="s">
        <v>1185</v>
      </c>
      <c r="D156" s="212" t="s">
        <v>877</v>
      </c>
      <c r="I156" s="403"/>
      <c r="J156" s="422"/>
      <c r="K156" s="404" t="s">
        <v>1160</v>
      </c>
      <c r="L156" s="243" t="s">
        <v>1307</v>
      </c>
      <c r="M156" s="243" t="s">
        <v>90</v>
      </c>
      <c r="N156" s="404" t="s">
        <v>170</v>
      </c>
      <c r="O156" s="404" t="s">
        <v>1139</v>
      </c>
      <c r="P156" s="404">
        <v>2</v>
      </c>
      <c r="Q156" s="404" t="s">
        <v>1158</v>
      </c>
      <c r="R156" s="438" t="s">
        <v>1182</v>
      </c>
    </row>
    <row r="157" spans="2:18" ht="12.5" customHeight="1" x14ac:dyDescent="0.25">
      <c r="B157" s="238">
        <v>46244</v>
      </c>
      <c r="C157" s="239" t="s">
        <v>1185</v>
      </c>
      <c r="D157" s="212" t="s">
        <v>878</v>
      </c>
      <c r="I157" s="403"/>
      <c r="J157" s="422"/>
      <c r="K157" s="404" t="s">
        <v>1160</v>
      </c>
      <c r="L157" s="243" t="s">
        <v>1307</v>
      </c>
      <c r="M157" s="243" t="s">
        <v>90</v>
      </c>
      <c r="N157" s="404" t="s">
        <v>170</v>
      </c>
      <c r="O157" s="404" t="s">
        <v>1139</v>
      </c>
      <c r="P157" s="404">
        <v>2</v>
      </c>
      <c r="Q157" s="404" t="s">
        <v>1158</v>
      </c>
      <c r="R157" s="438" t="s">
        <v>1182</v>
      </c>
    </row>
    <row r="158" spans="2:18" ht="12.5" customHeight="1" x14ac:dyDescent="0.25">
      <c r="B158" s="238"/>
      <c r="C158" s="239" t="s">
        <v>1185</v>
      </c>
      <c r="D158" s="212" t="s">
        <v>877</v>
      </c>
      <c r="I158" s="403"/>
      <c r="J158" s="422"/>
      <c r="K158" s="404" t="s">
        <v>1160</v>
      </c>
      <c r="L158" s="243" t="s">
        <v>1308</v>
      </c>
      <c r="M158" s="243" t="s">
        <v>94</v>
      </c>
      <c r="N158" s="404" t="s">
        <v>170</v>
      </c>
      <c r="O158" s="404" t="s">
        <v>1139</v>
      </c>
      <c r="P158" s="404">
        <v>1</v>
      </c>
      <c r="Q158" s="404" t="s">
        <v>1158</v>
      </c>
      <c r="R158" s="438" t="s">
        <v>1182</v>
      </c>
    </row>
    <row r="159" spans="2:18" ht="12.5" customHeight="1" x14ac:dyDescent="0.25">
      <c r="B159" s="238"/>
      <c r="C159" s="240" t="s">
        <v>1185</v>
      </c>
      <c r="D159" s="212" t="s">
        <v>878</v>
      </c>
      <c r="I159" s="403"/>
      <c r="J159" s="422"/>
      <c r="K159" s="404" t="s">
        <v>1160</v>
      </c>
      <c r="L159" s="243" t="s">
        <v>1309</v>
      </c>
      <c r="M159" s="243" t="s">
        <v>90</v>
      </c>
      <c r="N159" s="404" t="s">
        <v>120</v>
      </c>
      <c r="O159" s="404" t="s">
        <v>1139</v>
      </c>
      <c r="P159" s="404">
        <v>1</v>
      </c>
      <c r="Q159" s="404" t="s">
        <v>1158</v>
      </c>
      <c r="R159" s="438" t="s">
        <v>1182</v>
      </c>
    </row>
    <row r="160" spans="2:18" ht="12.5" customHeight="1" x14ac:dyDescent="0.25">
      <c r="B160" s="238">
        <v>46238</v>
      </c>
      <c r="C160" s="239" t="s">
        <v>1126</v>
      </c>
      <c r="D160" s="212" t="s">
        <v>877</v>
      </c>
      <c r="I160" s="403"/>
      <c r="J160" s="422"/>
      <c r="K160" s="404" t="s">
        <v>1160</v>
      </c>
      <c r="L160" s="243" t="s">
        <v>1310</v>
      </c>
      <c r="M160" s="243" t="s">
        <v>90</v>
      </c>
      <c r="N160" s="404" t="s">
        <v>120</v>
      </c>
      <c r="O160" s="404" t="s">
        <v>1139</v>
      </c>
      <c r="P160" s="404">
        <v>3</v>
      </c>
      <c r="Q160" s="404" t="s">
        <v>1158</v>
      </c>
      <c r="R160" s="438" t="s">
        <v>1182</v>
      </c>
    </row>
    <row r="161" spans="2:18" ht="12.5" customHeight="1" x14ac:dyDescent="0.25">
      <c r="B161" s="238"/>
      <c r="C161" s="240" t="s">
        <v>1126</v>
      </c>
      <c r="D161" s="212" t="s">
        <v>877</v>
      </c>
      <c r="I161" s="403"/>
      <c r="J161" s="422"/>
      <c r="K161" s="404" t="s">
        <v>1160</v>
      </c>
      <c r="L161" s="243" t="s">
        <v>1311</v>
      </c>
      <c r="M161" s="243" t="s">
        <v>94</v>
      </c>
      <c r="N161" s="404" t="s">
        <v>177</v>
      </c>
      <c r="O161" s="404" t="s">
        <v>1139</v>
      </c>
      <c r="P161" s="404">
        <v>1</v>
      </c>
      <c r="Q161" s="404" t="s">
        <v>1158</v>
      </c>
      <c r="R161" s="438" t="s">
        <v>1182</v>
      </c>
    </row>
    <row r="162" spans="2:18" ht="12.5" customHeight="1" x14ac:dyDescent="0.25">
      <c r="B162" s="238"/>
      <c r="C162" s="239" t="s">
        <v>1126</v>
      </c>
      <c r="D162" s="212" t="s">
        <v>877</v>
      </c>
      <c r="I162" s="451"/>
      <c r="J162" s="452"/>
      <c r="K162" s="453" t="s">
        <v>1160</v>
      </c>
      <c r="L162" s="454" t="s">
        <v>1312</v>
      </c>
      <c r="M162" s="454" t="s">
        <v>172</v>
      </c>
      <c r="N162" s="453" t="s">
        <v>177</v>
      </c>
      <c r="O162" s="453" t="s">
        <v>1139</v>
      </c>
      <c r="P162" s="453">
        <v>2</v>
      </c>
      <c r="Q162" s="453" t="s">
        <v>1158</v>
      </c>
      <c r="R162" s="455" t="s">
        <v>1182</v>
      </c>
    </row>
    <row r="163" spans="2:18" ht="12.5" customHeight="1" x14ac:dyDescent="0.25">
      <c r="B163" s="238">
        <v>46238</v>
      </c>
      <c r="C163" s="240" t="s">
        <v>1126</v>
      </c>
      <c r="D163" s="212" t="s">
        <v>878</v>
      </c>
      <c r="I163" s="403"/>
      <c r="J163" s="422"/>
      <c r="K163" s="404" t="s">
        <v>1160</v>
      </c>
      <c r="L163" s="243" t="s">
        <v>1313</v>
      </c>
      <c r="M163" s="243" t="s">
        <v>90</v>
      </c>
      <c r="N163" s="404" t="s">
        <v>80</v>
      </c>
      <c r="O163" s="404" t="s">
        <v>1139</v>
      </c>
      <c r="P163" s="404">
        <v>13</v>
      </c>
      <c r="Q163" s="404" t="s">
        <v>1158</v>
      </c>
      <c r="R163" s="438" t="s">
        <v>1182</v>
      </c>
    </row>
    <row r="164" spans="2:18" ht="12.5" customHeight="1" x14ac:dyDescent="0.25">
      <c r="B164" s="238"/>
      <c r="C164" s="239" t="s">
        <v>1126</v>
      </c>
      <c r="D164" s="212" t="s">
        <v>878</v>
      </c>
      <c r="I164" s="403"/>
      <c r="J164" s="422"/>
      <c r="K164" s="404" t="s">
        <v>1160</v>
      </c>
      <c r="L164" s="243" t="s">
        <v>1313</v>
      </c>
      <c r="M164" s="243" t="s">
        <v>90</v>
      </c>
      <c r="N164" s="404" t="s">
        <v>80</v>
      </c>
      <c r="O164" s="404" t="s">
        <v>1139</v>
      </c>
      <c r="P164" s="404">
        <v>13</v>
      </c>
      <c r="Q164" s="404" t="s">
        <v>1158</v>
      </c>
      <c r="R164" s="438" t="s">
        <v>1182</v>
      </c>
    </row>
    <row r="165" spans="2:18" ht="12.5" customHeight="1" x14ac:dyDescent="0.25">
      <c r="B165" s="238"/>
      <c r="C165" s="240" t="s">
        <v>1126</v>
      </c>
      <c r="D165" s="212" t="s">
        <v>878</v>
      </c>
      <c r="I165" s="403"/>
      <c r="J165" s="422"/>
      <c r="K165" s="404" t="s">
        <v>1160</v>
      </c>
      <c r="L165" s="243" t="s">
        <v>1314</v>
      </c>
      <c r="M165" s="243" t="s">
        <v>94</v>
      </c>
      <c r="N165" s="404" t="s">
        <v>80</v>
      </c>
      <c r="O165" s="404" t="s">
        <v>1139</v>
      </c>
      <c r="P165" s="404">
        <v>1</v>
      </c>
      <c r="Q165" s="404" t="s">
        <v>1158</v>
      </c>
      <c r="R165" s="438" t="s">
        <v>1182</v>
      </c>
    </row>
    <row r="166" spans="2:18" ht="12.5" customHeight="1" x14ac:dyDescent="0.25">
      <c r="B166" s="238">
        <v>46232</v>
      </c>
      <c r="C166" s="239" t="s">
        <v>1127</v>
      </c>
      <c r="D166" s="212" t="s">
        <v>877</v>
      </c>
      <c r="I166" s="403"/>
      <c r="J166" s="422"/>
      <c r="K166" s="404" t="s">
        <v>1160</v>
      </c>
      <c r="L166" s="243" t="s">
        <v>1315</v>
      </c>
      <c r="M166" s="243" t="s">
        <v>90</v>
      </c>
      <c r="N166" s="404" t="s">
        <v>80</v>
      </c>
      <c r="O166" s="404" t="s">
        <v>1139</v>
      </c>
      <c r="P166" s="404">
        <v>2</v>
      </c>
      <c r="Q166" s="404" t="s">
        <v>1158</v>
      </c>
      <c r="R166" s="438" t="s">
        <v>1182</v>
      </c>
    </row>
    <row r="167" spans="2:18" ht="12.5" customHeight="1" x14ac:dyDescent="0.25">
      <c r="B167" s="238">
        <v>46233</v>
      </c>
      <c r="C167" s="240" t="s">
        <v>1127</v>
      </c>
      <c r="D167" s="212" t="s">
        <v>877</v>
      </c>
      <c r="I167" s="403"/>
      <c r="J167" s="422"/>
      <c r="K167" s="404" t="s">
        <v>1160</v>
      </c>
      <c r="L167" s="243" t="s">
        <v>1316</v>
      </c>
      <c r="M167" s="243" t="s">
        <v>90</v>
      </c>
      <c r="N167" s="404" t="s">
        <v>179</v>
      </c>
      <c r="O167" s="404" t="s">
        <v>1139</v>
      </c>
      <c r="P167" s="404">
        <v>1</v>
      </c>
      <c r="Q167" s="404" t="s">
        <v>1158</v>
      </c>
      <c r="R167" s="438" t="s">
        <v>1182</v>
      </c>
    </row>
    <row r="168" spans="2:18" ht="12.5" customHeight="1" x14ac:dyDescent="0.25">
      <c r="B168" s="238"/>
      <c r="C168" s="239" t="s">
        <v>1127</v>
      </c>
      <c r="D168" s="212" t="s">
        <v>877</v>
      </c>
      <c r="I168" s="403"/>
      <c r="J168" s="422"/>
      <c r="K168" s="404" t="s">
        <v>1160</v>
      </c>
      <c r="L168" s="243" t="s">
        <v>1317</v>
      </c>
      <c r="M168" s="243" t="s">
        <v>90</v>
      </c>
      <c r="N168" s="404" t="s">
        <v>171</v>
      </c>
      <c r="O168" s="404" t="s">
        <v>1139</v>
      </c>
      <c r="P168" s="404">
        <v>3</v>
      </c>
      <c r="Q168" s="404" t="s">
        <v>1158</v>
      </c>
      <c r="R168" s="438" t="s">
        <v>1182</v>
      </c>
    </row>
    <row r="169" spans="2:18" ht="12.5" customHeight="1" x14ac:dyDescent="0.25">
      <c r="B169" s="238">
        <v>46231</v>
      </c>
      <c r="C169" s="240" t="s">
        <v>1127</v>
      </c>
      <c r="D169" s="212" t="s">
        <v>878</v>
      </c>
      <c r="I169" s="403"/>
      <c r="J169" s="422"/>
      <c r="K169" s="404" t="s">
        <v>1160</v>
      </c>
      <c r="L169" s="243" t="s">
        <v>1318</v>
      </c>
      <c r="M169" s="243" t="s">
        <v>90</v>
      </c>
      <c r="N169" s="404" t="s">
        <v>171</v>
      </c>
      <c r="O169" s="404" t="s">
        <v>1139</v>
      </c>
      <c r="P169" s="404">
        <v>6</v>
      </c>
      <c r="Q169" s="404" t="s">
        <v>1158</v>
      </c>
      <c r="R169" s="438" t="s">
        <v>1182</v>
      </c>
    </row>
    <row r="170" spans="2:18" ht="12.5" customHeight="1" x14ac:dyDescent="0.25">
      <c r="B170" s="238">
        <v>46232</v>
      </c>
      <c r="C170" s="239" t="s">
        <v>1127</v>
      </c>
      <c r="D170" s="212" t="s">
        <v>878</v>
      </c>
      <c r="I170" s="403"/>
      <c r="J170" s="422"/>
      <c r="K170" s="404" t="s">
        <v>1160</v>
      </c>
      <c r="L170" s="243" t="s">
        <v>1319</v>
      </c>
      <c r="M170" s="243" t="s">
        <v>90</v>
      </c>
      <c r="N170" s="404" t="s">
        <v>88</v>
      </c>
      <c r="O170" s="404" t="s">
        <v>1139</v>
      </c>
      <c r="P170" s="404">
        <v>2</v>
      </c>
      <c r="Q170" s="404" t="s">
        <v>1158</v>
      </c>
      <c r="R170" s="438" t="s">
        <v>1182</v>
      </c>
    </row>
    <row r="171" spans="2:18" ht="12.5" customHeight="1" x14ac:dyDescent="0.25">
      <c r="B171" s="238">
        <v>46233</v>
      </c>
      <c r="C171" s="240" t="s">
        <v>1127</v>
      </c>
      <c r="D171" s="212" t="s">
        <v>878</v>
      </c>
      <c r="I171" s="403"/>
      <c r="J171" s="422"/>
      <c r="K171" s="404" t="s">
        <v>1160</v>
      </c>
      <c r="L171" s="243" t="s">
        <v>1320</v>
      </c>
      <c r="M171" s="243" t="s">
        <v>78</v>
      </c>
      <c r="N171" s="404" t="s">
        <v>173</v>
      </c>
      <c r="O171" s="404" t="s">
        <v>1140</v>
      </c>
      <c r="P171" s="404">
        <v>20</v>
      </c>
      <c r="Q171" s="404" t="s">
        <v>1158</v>
      </c>
      <c r="R171" s="438" t="s">
        <v>1182</v>
      </c>
    </row>
    <row r="172" spans="2:18" ht="12.5" customHeight="1" x14ac:dyDescent="0.25">
      <c r="B172" s="238"/>
      <c r="C172" s="239" t="s">
        <v>1198</v>
      </c>
      <c r="D172" s="212" t="s">
        <v>877</v>
      </c>
      <c r="I172" s="403"/>
      <c r="J172" s="422"/>
      <c r="K172" s="404" t="s">
        <v>1160</v>
      </c>
      <c r="L172" s="243" t="s">
        <v>1321</v>
      </c>
      <c r="M172" s="243" t="s">
        <v>90</v>
      </c>
      <c r="N172" s="404" t="s">
        <v>173</v>
      </c>
      <c r="O172" s="404" t="s">
        <v>1140</v>
      </c>
      <c r="P172" s="404">
        <v>25</v>
      </c>
      <c r="Q172" s="404" t="s">
        <v>1158</v>
      </c>
      <c r="R172" s="438" t="s">
        <v>1182</v>
      </c>
    </row>
    <row r="173" spans="2:18" ht="12.5" customHeight="1" x14ac:dyDescent="0.25">
      <c r="B173" s="238">
        <v>46241</v>
      </c>
      <c r="C173" s="240" t="s">
        <v>1198</v>
      </c>
      <c r="D173" s="212" t="s">
        <v>878</v>
      </c>
      <c r="I173" s="403"/>
      <c r="J173" s="422"/>
      <c r="K173" s="404" t="s">
        <v>1160</v>
      </c>
      <c r="L173" s="243" t="s">
        <v>1322</v>
      </c>
      <c r="M173" s="243" t="s">
        <v>78</v>
      </c>
      <c r="N173" s="404" t="s">
        <v>173</v>
      </c>
      <c r="O173" s="404" t="s">
        <v>1140</v>
      </c>
      <c r="P173" s="404">
        <v>4</v>
      </c>
      <c r="Q173" s="404" t="s">
        <v>1158</v>
      </c>
      <c r="R173" s="438" t="s">
        <v>1182</v>
      </c>
    </row>
    <row r="174" spans="2:18" ht="12.5" customHeight="1" x14ac:dyDescent="0.25">
      <c r="B174" s="238">
        <v>46244</v>
      </c>
      <c r="C174" s="239" t="s">
        <v>1198</v>
      </c>
      <c r="D174" s="212" t="s">
        <v>877</v>
      </c>
      <c r="I174" s="403"/>
      <c r="J174" s="422"/>
      <c r="K174" s="404" t="s">
        <v>1160</v>
      </c>
      <c r="L174" s="243" t="s">
        <v>1323</v>
      </c>
      <c r="M174" s="243" t="s">
        <v>78</v>
      </c>
      <c r="N174" s="404" t="s">
        <v>173</v>
      </c>
      <c r="O174" s="404" t="s">
        <v>1140</v>
      </c>
      <c r="P174" s="404">
        <v>2</v>
      </c>
      <c r="Q174" s="404" t="s">
        <v>1158</v>
      </c>
      <c r="R174" s="438" t="s">
        <v>1182</v>
      </c>
    </row>
    <row r="175" spans="2:18" ht="12.5" customHeight="1" x14ac:dyDescent="0.25">
      <c r="B175" s="238"/>
      <c r="C175" s="240" t="s">
        <v>1198</v>
      </c>
      <c r="D175" s="212" t="s">
        <v>878</v>
      </c>
      <c r="I175" s="403"/>
      <c r="J175" s="422"/>
      <c r="K175" s="404" t="s">
        <v>1160</v>
      </c>
      <c r="L175" s="243" t="s">
        <v>1323</v>
      </c>
      <c r="M175" s="243" t="s">
        <v>78</v>
      </c>
      <c r="N175" s="404" t="s">
        <v>173</v>
      </c>
      <c r="O175" s="404" t="s">
        <v>1140</v>
      </c>
      <c r="P175" s="404">
        <v>2</v>
      </c>
      <c r="Q175" s="404" t="s">
        <v>1158</v>
      </c>
      <c r="R175" s="438" t="s">
        <v>1182</v>
      </c>
    </row>
    <row r="176" spans="2:18" ht="12.5" customHeight="1" x14ac:dyDescent="0.25">
      <c r="B176" s="238">
        <v>46233</v>
      </c>
      <c r="C176" s="239" t="s">
        <v>1192</v>
      </c>
      <c r="D176" s="212" t="s">
        <v>877</v>
      </c>
      <c r="I176" s="403"/>
      <c r="J176" s="422"/>
      <c r="K176" s="404" t="s">
        <v>1160</v>
      </c>
      <c r="L176" s="243" t="s">
        <v>1324</v>
      </c>
      <c r="M176" s="243" t="s">
        <v>90</v>
      </c>
      <c r="N176" s="404" t="s">
        <v>173</v>
      </c>
      <c r="O176" s="404" t="s">
        <v>1140</v>
      </c>
      <c r="P176" s="404">
        <v>2</v>
      </c>
      <c r="Q176" s="404" t="s">
        <v>1158</v>
      </c>
      <c r="R176" s="438" t="s">
        <v>1182</v>
      </c>
    </row>
    <row r="177" spans="2:18" ht="12.5" customHeight="1" x14ac:dyDescent="0.25">
      <c r="B177" s="238">
        <v>46233</v>
      </c>
      <c r="C177" s="240" t="s">
        <v>1192</v>
      </c>
      <c r="D177" s="212" t="s">
        <v>878</v>
      </c>
      <c r="I177" s="403"/>
      <c r="J177" s="422"/>
      <c r="K177" s="404" t="s">
        <v>1160</v>
      </c>
      <c r="L177" s="243" t="s">
        <v>1325</v>
      </c>
      <c r="M177" s="243" t="s">
        <v>78</v>
      </c>
      <c r="N177" s="404" t="s">
        <v>88</v>
      </c>
      <c r="O177" s="404" t="s">
        <v>1140</v>
      </c>
      <c r="P177" s="404">
        <v>4</v>
      </c>
      <c r="Q177" s="404" t="s">
        <v>1158</v>
      </c>
      <c r="R177" s="438" t="s">
        <v>1182</v>
      </c>
    </row>
    <row r="178" spans="2:18" ht="12.5" customHeight="1" x14ac:dyDescent="0.25">
      <c r="B178" s="238">
        <v>46234</v>
      </c>
      <c r="C178" s="239" t="s">
        <v>1192</v>
      </c>
      <c r="D178" s="212" t="s">
        <v>877</v>
      </c>
      <c r="I178" s="403"/>
      <c r="J178" s="422"/>
      <c r="K178" s="404" t="s">
        <v>1160</v>
      </c>
      <c r="L178" s="243" t="s">
        <v>1326</v>
      </c>
      <c r="M178" s="243" t="s">
        <v>90</v>
      </c>
      <c r="N178" s="404" t="s">
        <v>88</v>
      </c>
      <c r="O178" s="404" t="s">
        <v>1140</v>
      </c>
      <c r="P178" s="404">
        <v>2</v>
      </c>
      <c r="Q178" s="404" t="s">
        <v>1158</v>
      </c>
      <c r="R178" s="438" t="s">
        <v>1182</v>
      </c>
    </row>
    <row r="179" spans="2:18" ht="12.5" customHeight="1" x14ac:dyDescent="0.25">
      <c r="B179" s="238">
        <v>46239</v>
      </c>
      <c r="C179" s="240" t="s">
        <v>1729</v>
      </c>
      <c r="D179" s="212" t="s">
        <v>878</v>
      </c>
      <c r="I179" s="403"/>
      <c r="J179" s="422"/>
      <c r="K179" s="404" t="s">
        <v>1160</v>
      </c>
      <c r="L179" s="243" t="s">
        <v>1301</v>
      </c>
      <c r="M179" s="243" t="s">
        <v>90</v>
      </c>
      <c r="N179" s="404" t="s">
        <v>174</v>
      </c>
      <c r="O179" s="404" t="s">
        <v>1139</v>
      </c>
      <c r="P179" s="404">
        <v>23</v>
      </c>
      <c r="Q179" s="404" t="s">
        <v>1158</v>
      </c>
      <c r="R179" s="438" t="s">
        <v>1184</v>
      </c>
    </row>
    <row r="180" spans="2:18" ht="12.5" customHeight="1" x14ac:dyDescent="0.25">
      <c r="B180" s="238">
        <v>46240</v>
      </c>
      <c r="C180" s="239" t="s">
        <v>1729</v>
      </c>
      <c r="D180" s="212" t="s">
        <v>877</v>
      </c>
      <c r="I180" s="403"/>
      <c r="J180" s="422"/>
      <c r="K180" s="404" t="s">
        <v>1160</v>
      </c>
      <c r="L180" s="243" t="s">
        <v>1302</v>
      </c>
      <c r="M180" s="243" t="s">
        <v>94</v>
      </c>
      <c r="N180" s="404" t="s">
        <v>174</v>
      </c>
      <c r="O180" s="404" t="s">
        <v>1139</v>
      </c>
      <c r="P180" s="404">
        <v>6</v>
      </c>
      <c r="Q180" s="404" t="s">
        <v>1158</v>
      </c>
      <c r="R180" s="438" t="s">
        <v>1184</v>
      </c>
    </row>
    <row r="181" spans="2:18" ht="12.5" customHeight="1" x14ac:dyDescent="0.25">
      <c r="B181" s="238"/>
      <c r="C181" s="240" t="s">
        <v>1189</v>
      </c>
      <c r="D181" s="212" t="s">
        <v>877</v>
      </c>
      <c r="I181" s="403"/>
      <c r="J181" s="422"/>
      <c r="K181" s="404" t="s">
        <v>1160</v>
      </c>
      <c r="L181" s="243" t="s">
        <v>1303</v>
      </c>
      <c r="M181" s="243" t="s">
        <v>94</v>
      </c>
      <c r="N181" s="404" t="s">
        <v>174</v>
      </c>
      <c r="O181" s="404" t="s">
        <v>1139</v>
      </c>
      <c r="P181" s="404">
        <v>3</v>
      </c>
      <c r="Q181" s="404" t="s">
        <v>1158</v>
      </c>
      <c r="R181" s="438" t="s">
        <v>1184</v>
      </c>
    </row>
    <row r="182" spans="2:18" ht="12.5" customHeight="1" x14ac:dyDescent="0.25">
      <c r="B182" s="238"/>
      <c r="C182" s="239" t="s">
        <v>1189</v>
      </c>
      <c r="D182" s="212" t="s">
        <v>877</v>
      </c>
      <c r="I182" s="403"/>
      <c r="J182" s="422"/>
      <c r="K182" s="404" t="s">
        <v>1160</v>
      </c>
      <c r="L182" s="243" t="s">
        <v>1304</v>
      </c>
      <c r="M182" s="243" t="s">
        <v>90</v>
      </c>
      <c r="N182" s="404" t="s">
        <v>174</v>
      </c>
      <c r="O182" s="404" t="s">
        <v>1139</v>
      </c>
      <c r="P182" s="404">
        <v>4</v>
      </c>
      <c r="Q182" s="404" t="s">
        <v>1158</v>
      </c>
      <c r="R182" s="438" t="s">
        <v>1184</v>
      </c>
    </row>
    <row r="183" spans="2:18" ht="12.5" customHeight="1" x14ac:dyDescent="0.25">
      <c r="B183" s="238"/>
      <c r="C183" s="240" t="s">
        <v>1189</v>
      </c>
      <c r="D183" s="212" t="s">
        <v>877</v>
      </c>
      <c r="I183" s="403"/>
      <c r="J183" s="422"/>
      <c r="K183" s="404" t="s">
        <v>1160</v>
      </c>
      <c r="L183" s="243" t="s">
        <v>1305</v>
      </c>
      <c r="M183" s="243" t="s">
        <v>90</v>
      </c>
      <c r="N183" s="404" t="s">
        <v>175</v>
      </c>
      <c r="O183" s="404" t="s">
        <v>1139</v>
      </c>
      <c r="P183" s="404">
        <v>2</v>
      </c>
      <c r="Q183" s="404" t="s">
        <v>1158</v>
      </c>
      <c r="R183" s="438" t="s">
        <v>1184</v>
      </c>
    </row>
    <row r="184" spans="2:18" ht="12.5" customHeight="1" x14ac:dyDescent="0.25">
      <c r="B184" s="238"/>
      <c r="C184" s="239" t="s">
        <v>1189</v>
      </c>
      <c r="D184" s="212" t="s">
        <v>877</v>
      </c>
      <c r="I184" s="403"/>
      <c r="J184" s="422"/>
      <c r="K184" s="404" t="s">
        <v>1160</v>
      </c>
      <c r="L184" s="243" t="s">
        <v>1306</v>
      </c>
      <c r="M184" s="243" t="s">
        <v>90</v>
      </c>
      <c r="N184" s="404" t="s">
        <v>176</v>
      </c>
      <c r="O184" s="404" t="s">
        <v>1139</v>
      </c>
      <c r="P184" s="404">
        <v>10</v>
      </c>
      <c r="Q184" s="404" t="s">
        <v>1158</v>
      </c>
      <c r="R184" s="438" t="s">
        <v>1184</v>
      </c>
    </row>
    <row r="185" spans="2:18" ht="12.5" customHeight="1" x14ac:dyDescent="0.25">
      <c r="B185" s="238"/>
      <c r="C185" s="240" t="s">
        <v>1189</v>
      </c>
      <c r="D185" s="212" t="s">
        <v>877</v>
      </c>
      <c r="I185" s="403"/>
      <c r="J185" s="422"/>
      <c r="K185" s="404" t="s">
        <v>1160</v>
      </c>
      <c r="L185" s="243" t="s">
        <v>1307</v>
      </c>
      <c r="M185" s="243" t="s">
        <v>90</v>
      </c>
      <c r="N185" s="404" t="s">
        <v>170</v>
      </c>
      <c r="O185" s="404" t="s">
        <v>1139</v>
      </c>
      <c r="P185" s="404">
        <v>2</v>
      </c>
      <c r="Q185" s="404" t="s">
        <v>1158</v>
      </c>
      <c r="R185" s="438" t="s">
        <v>1184</v>
      </c>
    </row>
    <row r="186" spans="2:18" ht="12.5" customHeight="1" x14ac:dyDescent="0.25">
      <c r="B186" s="238"/>
      <c r="C186" s="240" t="s">
        <v>1189</v>
      </c>
      <c r="D186" s="212" t="s">
        <v>877</v>
      </c>
      <c r="I186" s="403"/>
      <c r="J186" s="403"/>
      <c r="K186" s="404" t="s">
        <v>1160</v>
      </c>
      <c r="L186" s="243" t="s">
        <v>1307</v>
      </c>
      <c r="M186" s="243" t="s">
        <v>90</v>
      </c>
      <c r="N186" s="404" t="s">
        <v>170</v>
      </c>
      <c r="O186" s="404" t="s">
        <v>1139</v>
      </c>
      <c r="P186" s="404">
        <v>2</v>
      </c>
      <c r="Q186" s="404" t="s">
        <v>1158</v>
      </c>
      <c r="R186" s="420" t="s">
        <v>1184</v>
      </c>
    </row>
    <row r="187" spans="2:18" ht="12.5" customHeight="1" x14ac:dyDescent="0.25">
      <c r="B187" s="238"/>
      <c r="C187" s="240" t="s">
        <v>1189</v>
      </c>
      <c r="D187" s="212" t="s">
        <v>877</v>
      </c>
      <c r="I187" s="403"/>
      <c r="J187" s="403"/>
      <c r="K187" s="404" t="s">
        <v>1160</v>
      </c>
      <c r="L187" s="243" t="s">
        <v>1308</v>
      </c>
      <c r="M187" s="243" t="s">
        <v>94</v>
      </c>
      <c r="N187" s="404" t="s">
        <v>170</v>
      </c>
      <c r="O187" s="404" t="s">
        <v>1139</v>
      </c>
      <c r="P187" s="404">
        <v>1</v>
      </c>
      <c r="Q187" s="404" t="s">
        <v>1158</v>
      </c>
      <c r="R187" s="420" t="s">
        <v>1184</v>
      </c>
    </row>
    <row r="188" spans="2:18" ht="12.5" customHeight="1" x14ac:dyDescent="0.25">
      <c r="B188" s="238"/>
      <c r="C188" s="240" t="s">
        <v>1189</v>
      </c>
      <c r="D188" s="212" t="s">
        <v>878</v>
      </c>
      <c r="I188" s="403"/>
      <c r="J188" s="403"/>
      <c r="K188" s="404" t="s">
        <v>1160</v>
      </c>
      <c r="L188" s="243" t="s">
        <v>1309</v>
      </c>
      <c r="M188" s="243" t="s">
        <v>90</v>
      </c>
      <c r="N188" s="404" t="s">
        <v>120</v>
      </c>
      <c r="O188" s="404" t="s">
        <v>1139</v>
      </c>
      <c r="P188" s="404">
        <v>1</v>
      </c>
      <c r="Q188" s="404" t="s">
        <v>1158</v>
      </c>
      <c r="R188" s="420" t="s">
        <v>1184</v>
      </c>
    </row>
    <row r="189" spans="2:18" ht="12.5" customHeight="1" x14ac:dyDescent="0.25">
      <c r="B189" s="238"/>
      <c r="C189" s="240" t="s">
        <v>1189</v>
      </c>
      <c r="D189" s="212" t="s">
        <v>878</v>
      </c>
      <c r="I189" s="403"/>
      <c r="J189" s="403"/>
      <c r="K189" s="404" t="s">
        <v>1160</v>
      </c>
      <c r="L189" s="243" t="s">
        <v>1310</v>
      </c>
      <c r="M189" s="243" t="s">
        <v>90</v>
      </c>
      <c r="N189" s="404" t="s">
        <v>120</v>
      </c>
      <c r="O189" s="404" t="s">
        <v>1139</v>
      </c>
      <c r="P189" s="404">
        <v>3</v>
      </c>
      <c r="Q189" s="404" t="s">
        <v>1158</v>
      </c>
      <c r="R189" s="420" t="s">
        <v>1184</v>
      </c>
    </row>
    <row r="190" spans="2:18" ht="12.5" customHeight="1" x14ac:dyDescent="0.25">
      <c r="B190" s="238"/>
      <c r="C190" s="240" t="s">
        <v>1189</v>
      </c>
      <c r="D190" s="212" t="s">
        <v>878</v>
      </c>
      <c r="I190" s="403"/>
      <c r="J190" s="403"/>
      <c r="K190" s="404" t="s">
        <v>1160</v>
      </c>
      <c r="L190" s="243" t="s">
        <v>1311</v>
      </c>
      <c r="M190" s="243" t="s">
        <v>94</v>
      </c>
      <c r="N190" s="404" t="s">
        <v>177</v>
      </c>
      <c r="O190" s="404" t="s">
        <v>1139</v>
      </c>
      <c r="P190" s="404">
        <v>1</v>
      </c>
      <c r="Q190" s="404" t="s">
        <v>1158</v>
      </c>
      <c r="R190" s="420" t="s">
        <v>1184</v>
      </c>
    </row>
    <row r="191" spans="2:18" ht="12.5" customHeight="1" x14ac:dyDescent="0.25">
      <c r="B191" s="238"/>
      <c r="C191" s="240" t="s">
        <v>1189</v>
      </c>
      <c r="D191" s="212" t="s">
        <v>878</v>
      </c>
      <c r="I191" s="403"/>
      <c r="J191" s="403"/>
      <c r="K191" s="404" t="s">
        <v>1160</v>
      </c>
      <c r="L191" s="243" t="s">
        <v>1312</v>
      </c>
      <c r="M191" s="243" t="s">
        <v>172</v>
      </c>
      <c r="N191" s="404" t="s">
        <v>177</v>
      </c>
      <c r="O191" s="404" t="s">
        <v>1139</v>
      </c>
      <c r="P191" s="404">
        <v>2</v>
      </c>
      <c r="Q191" s="404" t="s">
        <v>1158</v>
      </c>
      <c r="R191" s="420" t="s">
        <v>1184</v>
      </c>
    </row>
    <row r="192" spans="2:18" ht="12.5" customHeight="1" x14ac:dyDescent="0.25">
      <c r="B192" s="238"/>
      <c r="C192" s="240" t="s">
        <v>1189</v>
      </c>
      <c r="D192" s="212" t="s">
        <v>878</v>
      </c>
      <c r="I192" s="403"/>
      <c r="J192" s="403"/>
      <c r="K192" s="404" t="s">
        <v>1160</v>
      </c>
      <c r="L192" s="243" t="s">
        <v>1313</v>
      </c>
      <c r="M192" s="243" t="s">
        <v>90</v>
      </c>
      <c r="N192" s="404" t="s">
        <v>80</v>
      </c>
      <c r="O192" s="404" t="s">
        <v>1139</v>
      </c>
      <c r="P192" s="404">
        <v>13</v>
      </c>
      <c r="Q192" s="404" t="s">
        <v>1158</v>
      </c>
      <c r="R192" s="420" t="s">
        <v>1184</v>
      </c>
    </row>
    <row r="193" spans="2:18" ht="12.5" customHeight="1" x14ac:dyDescent="0.25">
      <c r="B193" s="238"/>
      <c r="C193" s="240" t="s">
        <v>1189</v>
      </c>
      <c r="D193" s="212" t="s">
        <v>878</v>
      </c>
      <c r="I193" s="403"/>
      <c r="J193" s="403"/>
      <c r="K193" s="404" t="s">
        <v>1160</v>
      </c>
      <c r="L193" s="243" t="s">
        <v>1313</v>
      </c>
      <c r="M193" s="243" t="s">
        <v>90</v>
      </c>
      <c r="N193" s="404" t="s">
        <v>80</v>
      </c>
      <c r="O193" s="404" t="s">
        <v>1139</v>
      </c>
      <c r="P193" s="404">
        <v>13</v>
      </c>
      <c r="Q193" s="404" t="s">
        <v>1158</v>
      </c>
      <c r="R193" s="420" t="s">
        <v>1184</v>
      </c>
    </row>
    <row r="194" spans="2:18" ht="12.5" customHeight="1" x14ac:dyDescent="0.25">
      <c r="B194" s="238"/>
      <c r="C194" s="240" t="s">
        <v>1189</v>
      </c>
      <c r="D194" s="212" t="s">
        <v>878</v>
      </c>
      <c r="I194" s="403"/>
      <c r="J194" s="403"/>
      <c r="K194" s="404" t="s">
        <v>1160</v>
      </c>
      <c r="L194" s="243" t="s">
        <v>1314</v>
      </c>
      <c r="M194" s="243" t="s">
        <v>94</v>
      </c>
      <c r="N194" s="404" t="s">
        <v>80</v>
      </c>
      <c r="O194" s="404" t="s">
        <v>1139</v>
      </c>
      <c r="P194" s="404">
        <v>1</v>
      </c>
      <c r="Q194" s="404" t="s">
        <v>1158</v>
      </c>
      <c r="R194" s="420" t="s">
        <v>1184</v>
      </c>
    </row>
    <row r="195" spans="2:18" ht="12.5" customHeight="1" x14ac:dyDescent="0.25">
      <c r="B195" s="238">
        <v>46224</v>
      </c>
      <c r="C195" s="240" t="s">
        <v>1152</v>
      </c>
      <c r="D195" s="212" t="s">
        <v>877</v>
      </c>
      <c r="I195" s="403"/>
      <c r="J195" s="403"/>
      <c r="K195" s="404" t="s">
        <v>1160</v>
      </c>
      <c r="L195" s="243" t="s">
        <v>1315</v>
      </c>
      <c r="M195" s="243" t="s">
        <v>90</v>
      </c>
      <c r="N195" s="404" t="s">
        <v>80</v>
      </c>
      <c r="O195" s="404" t="s">
        <v>1139</v>
      </c>
      <c r="P195" s="404">
        <v>2</v>
      </c>
      <c r="Q195" s="404" t="s">
        <v>1158</v>
      </c>
      <c r="R195" s="420" t="s">
        <v>1184</v>
      </c>
    </row>
    <row r="196" spans="2:18" ht="12.5" customHeight="1" x14ac:dyDescent="0.25">
      <c r="B196" s="238">
        <v>46225</v>
      </c>
      <c r="C196" s="240" t="s">
        <v>1152</v>
      </c>
      <c r="D196" s="212" t="s">
        <v>877</v>
      </c>
      <c r="I196" s="403"/>
      <c r="J196" s="403"/>
      <c r="K196" s="404" t="s">
        <v>1160</v>
      </c>
      <c r="L196" s="243" t="s">
        <v>1316</v>
      </c>
      <c r="M196" s="243" t="s">
        <v>90</v>
      </c>
      <c r="N196" s="404" t="s">
        <v>179</v>
      </c>
      <c r="O196" s="404" t="s">
        <v>1139</v>
      </c>
      <c r="P196" s="404">
        <v>1</v>
      </c>
      <c r="Q196" s="404" t="s">
        <v>1158</v>
      </c>
      <c r="R196" s="420" t="s">
        <v>1184</v>
      </c>
    </row>
    <row r="197" spans="2:18" ht="12.5" customHeight="1" x14ac:dyDescent="0.25">
      <c r="B197" s="238">
        <v>46226</v>
      </c>
      <c r="C197" s="240" t="s">
        <v>1152</v>
      </c>
      <c r="D197" s="212" t="s">
        <v>877</v>
      </c>
      <c r="I197" s="403"/>
      <c r="J197" s="403"/>
      <c r="K197" s="404" t="s">
        <v>1160</v>
      </c>
      <c r="L197" s="243" t="s">
        <v>1317</v>
      </c>
      <c r="M197" s="243" t="s">
        <v>90</v>
      </c>
      <c r="N197" s="404" t="s">
        <v>171</v>
      </c>
      <c r="O197" s="404" t="s">
        <v>1139</v>
      </c>
      <c r="P197" s="404">
        <v>3</v>
      </c>
      <c r="Q197" s="404" t="s">
        <v>1158</v>
      </c>
      <c r="R197" s="420" t="s">
        <v>1184</v>
      </c>
    </row>
    <row r="198" spans="2:18" ht="12.5" customHeight="1" x14ac:dyDescent="0.25">
      <c r="B198" s="238">
        <v>46227</v>
      </c>
      <c r="C198" s="240" t="s">
        <v>1152</v>
      </c>
      <c r="D198" s="212" t="s">
        <v>877</v>
      </c>
      <c r="I198" s="403"/>
      <c r="J198" s="403"/>
      <c r="K198" s="404" t="s">
        <v>1160</v>
      </c>
      <c r="L198" s="243" t="s">
        <v>1318</v>
      </c>
      <c r="M198" s="243" t="s">
        <v>90</v>
      </c>
      <c r="N198" s="404" t="s">
        <v>171</v>
      </c>
      <c r="O198" s="404" t="s">
        <v>1139</v>
      </c>
      <c r="P198" s="404">
        <v>6</v>
      </c>
      <c r="Q198" s="404" t="s">
        <v>1158</v>
      </c>
      <c r="R198" s="420" t="s">
        <v>1184</v>
      </c>
    </row>
    <row r="199" spans="2:18" ht="12.5" customHeight="1" x14ac:dyDescent="0.25">
      <c r="B199" s="238"/>
      <c r="C199" s="240" t="s">
        <v>1152</v>
      </c>
      <c r="D199" s="212" t="s">
        <v>877</v>
      </c>
      <c r="I199" s="403"/>
      <c r="J199" s="403"/>
      <c r="K199" s="404" t="s">
        <v>1160</v>
      </c>
      <c r="L199" s="243" t="s">
        <v>1319</v>
      </c>
      <c r="M199" s="243" t="s">
        <v>90</v>
      </c>
      <c r="N199" s="404" t="s">
        <v>88</v>
      </c>
      <c r="O199" s="404" t="s">
        <v>1139</v>
      </c>
      <c r="P199" s="404">
        <v>2</v>
      </c>
      <c r="Q199" s="404" t="s">
        <v>1158</v>
      </c>
      <c r="R199" s="420" t="s">
        <v>1184</v>
      </c>
    </row>
    <row r="200" spans="2:18" ht="12.5" customHeight="1" x14ac:dyDescent="0.25">
      <c r="B200" s="238"/>
      <c r="C200" s="240" t="s">
        <v>1152</v>
      </c>
      <c r="D200" s="212" t="s">
        <v>877</v>
      </c>
      <c r="I200" s="403"/>
      <c r="J200" s="403"/>
      <c r="K200" s="404" t="s">
        <v>1160</v>
      </c>
      <c r="L200" s="243" t="s">
        <v>1320</v>
      </c>
      <c r="M200" s="243" t="s">
        <v>78</v>
      </c>
      <c r="N200" s="404" t="s">
        <v>173</v>
      </c>
      <c r="O200" s="404" t="s">
        <v>1140</v>
      </c>
      <c r="P200" s="404">
        <v>20</v>
      </c>
      <c r="Q200" s="404" t="s">
        <v>1158</v>
      </c>
      <c r="R200" s="420" t="s">
        <v>1184</v>
      </c>
    </row>
    <row r="201" spans="2:18" ht="12.5" customHeight="1" x14ac:dyDescent="0.25">
      <c r="B201" s="238">
        <v>46224</v>
      </c>
      <c r="C201" s="240" t="s">
        <v>1152</v>
      </c>
      <c r="D201" s="212" t="s">
        <v>878</v>
      </c>
      <c r="I201" s="403"/>
      <c r="J201" s="403"/>
      <c r="K201" s="404" t="s">
        <v>1160</v>
      </c>
      <c r="L201" s="243" t="s">
        <v>1321</v>
      </c>
      <c r="M201" s="243" t="s">
        <v>90</v>
      </c>
      <c r="N201" s="404" t="s">
        <v>173</v>
      </c>
      <c r="O201" s="404" t="s">
        <v>1140</v>
      </c>
      <c r="P201" s="404">
        <v>25</v>
      </c>
      <c r="Q201" s="404" t="s">
        <v>1158</v>
      </c>
      <c r="R201" s="420" t="s">
        <v>1184</v>
      </c>
    </row>
    <row r="202" spans="2:18" ht="12.5" customHeight="1" x14ac:dyDescent="0.25">
      <c r="B202" s="238">
        <v>46225</v>
      </c>
      <c r="C202" s="240" t="s">
        <v>1152</v>
      </c>
      <c r="D202" s="212" t="s">
        <v>878</v>
      </c>
      <c r="I202" s="403"/>
      <c r="J202" s="403"/>
      <c r="K202" s="404" t="s">
        <v>1160</v>
      </c>
      <c r="L202" s="243" t="s">
        <v>1322</v>
      </c>
      <c r="M202" s="243" t="s">
        <v>78</v>
      </c>
      <c r="N202" s="404" t="s">
        <v>173</v>
      </c>
      <c r="O202" s="404" t="s">
        <v>1140</v>
      </c>
      <c r="P202" s="404">
        <v>4</v>
      </c>
      <c r="Q202" s="404" t="s">
        <v>1158</v>
      </c>
      <c r="R202" s="420" t="s">
        <v>1184</v>
      </c>
    </row>
    <row r="203" spans="2:18" ht="12.5" customHeight="1" x14ac:dyDescent="0.25">
      <c r="B203" s="238">
        <v>46226</v>
      </c>
      <c r="C203" s="240" t="s">
        <v>1152</v>
      </c>
      <c r="D203" s="212" t="s">
        <v>878</v>
      </c>
      <c r="I203" s="403"/>
      <c r="J203" s="403"/>
      <c r="K203" s="404" t="s">
        <v>1160</v>
      </c>
      <c r="L203" s="243" t="s">
        <v>1323</v>
      </c>
      <c r="M203" s="243" t="s">
        <v>78</v>
      </c>
      <c r="N203" s="404" t="s">
        <v>173</v>
      </c>
      <c r="O203" s="404" t="s">
        <v>1140</v>
      </c>
      <c r="P203" s="404">
        <v>2</v>
      </c>
      <c r="Q203" s="404" t="s">
        <v>1158</v>
      </c>
      <c r="R203" s="420" t="s">
        <v>1184</v>
      </c>
    </row>
    <row r="204" spans="2:18" ht="12.5" customHeight="1" x14ac:dyDescent="0.25">
      <c r="B204" s="238">
        <v>46227</v>
      </c>
      <c r="C204" s="240" t="s">
        <v>1152</v>
      </c>
      <c r="D204" s="212" t="s">
        <v>878</v>
      </c>
      <c r="I204" s="403"/>
      <c r="J204" s="403"/>
      <c r="K204" s="404" t="s">
        <v>1160</v>
      </c>
      <c r="L204" s="243" t="s">
        <v>1323</v>
      </c>
      <c r="M204" s="243" t="s">
        <v>78</v>
      </c>
      <c r="N204" s="404" t="s">
        <v>173</v>
      </c>
      <c r="O204" s="404" t="s">
        <v>1140</v>
      </c>
      <c r="P204" s="404">
        <v>2</v>
      </c>
      <c r="Q204" s="404" t="s">
        <v>1158</v>
      </c>
      <c r="R204" s="420" t="s">
        <v>1184</v>
      </c>
    </row>
    <row r="205" spans="2:18" ht="12.5" customHeight="1" x14ac:dyDescent="0.25">
      <c r="B205" s="238"/>
      <c r="C205" s="240" t="s">
        <v>1152</v>
      </c>
      <c r="D205" s="212" t="s">
        <v>878</v>
      </c>
      <c r="I205" s="403"/>
      <c r="J205" s="403"/>
      <c r="K205" s="404" t="s">
        <v>1160</v>
      </c>
      <c r="L205" s="243" t="s">
        <v>1324</v>
      </c>
      <c r="M205" s="243" t="s">
        <v>90</v>
      </c>
      <c r="N205" s="404" t="s">
        <v>173</v>
      </c>
      <c r="O205" s="404" t="s">
        <v>1140</v>
      </c>
      <c r="P205" s="404">
        <v>2</v>
      </c>
      <c r="Q205" s="404" t="s">
        <v>1158</v>
      </c>
      <c r="R205" s="420" t="s">
        <v>1184</v>
      </c>
    </row>
    <row r="206" spans="2:18" ht="12.5" customHeight="1" x14ac:dyDescent="0.25">
      <c r="B206" s="238"/>
      <c r="C206" s="240" t="s">
        <v>1152</v>
      </c>
      <c r="D206" s="212" t="s">
        <v>878</v>
      </c>
      <c r="I206" s="403"/>
      <c r="J206" s="403"/>
      <c r="K206" s="404" t="s">
        <v>1160</v>
      </c>
      <c r="L206" s="243" t="s">
        <v>1325</v>
      </c>
      <c r="M206" s="243" t="s">
        <v>78</v>
      </c>
      <c r="N206" s="404" t="s">
        <v>88</v>
      </c>
      <c r="O206" s="404" t="s">
        <v>1140</v>
      </c>
      <c r="P206" s="404">
        <v>4</v>
      </c>
      <c r="Q206" s="404" t="s">
        <v>1158</v>
      </c>
      <c r="R206" s="420" t="s">
        <v>1184</v>
      </c>
    </row>
    <row r="207" spans="2:18" ht="12.5" customHeight="1" x14ac:dyDescent="0.25">
      <c r="B207" s="238"/>
      <c r="C207" s="240"/>
      <c r="D207" s="212"/>
      <c r="I207" s="403"/>
      <c r="J207" s="403"/>
      <c r="K207" s="404" t="s">
        <v>1160</v>
      </c>
      <c r="L207" s="243" t="s">
        <v>1326</v>
      </c>
      <c r="M207" s="243" t="s">
        <v>90</v>
      </c>
      <c r="N207" s="404" t="s">
        <v>88</v>
      </c>
      <c r="O207" s="404" t="s">
        <v>1140</v>
      </c>
      <c r="P207" s="404">
        <v>2</v>
      </c>
      <c r="Q207" s="404" t="s">
        <v>1158</v>
      </c>
      <c r="R207" s="420" t="s">
        <v>1184</v>
      </c>
    </row>
    <row r="208" spans="2:18" ht="12.5" customHeight="1" x14ac:dyDescent="0.25">
      <c r="B208" s="238"/>
      <c r="C208" s="240"/>
      <c r="D208" s="212"/>
      <c r="I208" s="403"/>
      <c r="J208" s="403"/>
      <c r="K208" s="404" t="s">
        <v>1167</v>
      </c>
      <c r="L208" s="243" t="s">
        <v>1327</v>
      </c>
      <c r="M208" s="243" t="s">
        <v>220</v>
      </c>
      <c r="N208" s="404" t="s">
        <v>84</v>
      </c>
      <c r="O208" s="404" t="s">
        <v>1174</v>
      </c>
      <c r="P208" s="404">
        <v>3</v>
      </c>
      <c r="Q208" s="404" t="s">
        <v>1163</v>
      </c>
      <c r="R208" s="420" t="s">
        <v>946</v>
      </c>
    </row>
    <row r="209" spans="2:18" ht="12.5" customHeight="1" x14ac:dyDescent="0.25">
      <c r="B209" s="238"/>
      <c r="C209" s="240"/>
      <c r="D209" s="212"/>
      <c r="I209" s="403"/>
      <c r="J209" s="403"/>
      <c r="K209" s="404" t="s">
        <v>1167</v>
      </c>
      <c r="L209" s="243" t="s">
        <v>1327</v>
      </c>
      <c r="M209" s="243" t="s">
        <v>220</v>
      </c>
      <c r="N209" s="404" t="s">
        <v>84</v>
      </c>
      <c r="O209" s="404" t="s">
        <v>1174</v>
      </c>
      <c r="P209" s="404">
        <v>3</v>
      </c>
      <c r="Q209" s="404" t="s">
        <v>1163</v>
      </c>
      <c r="R209" s="420" t="s">
        <v>1182</v>
      </c>
    </row>
    <row r="210" spans="2:18" ht="12.5" customHeight="1" x14ac:dyDescent="0.25">
      <c r="B210" s="238"/>
      <c r="C210" s="240"/>
      <c r="D210" s="212"/>
      <c r="I210" s="403"/>
      <c r="J210" s="403"/>
      <c r="K210" s="404" t="s">
        <v>1167</v>
      </c>
      <c r="L210" s="243" t="s">
        <v>1328</v>
      </c>
      <c r="M210" s="243" t="s">
        <v>220</v>
      </c>
      <c r="N210" s="404" t="s">
        <v>84</v>
      </c>
      <c r="O210" s="404" t="s">
        <v>1175</v>
      </c>
      <c r="P210" s="404">
        <v>2</v>
      </c>
      <c r="Q210" s="404" t="s">
        <v>1163</v>
      </c>
      <c r="R210" s="420" t="s">
        <v>1182</v>
      </c>
    </row>
    <row r="211" spans="2:18" ht="12.5" customHeight="1" x14ac:dyDescent="0.25">
      <c r="B211" s="238"/>
      <c r="C211" s="240"/>
      <c r="D211" s="212"/>
      <c r="I211" s="403"/>
      <c r="J211" s="403"/>
      <c r="K211" s="404" t="s">
        <v>1167</v>
      </c>
      <c r="L211" s="243" t="s">
        <v>1329</v>
      </c>
      <c r="M211" s="243" t="s">
        <v>220</v>
      </c>
      <c r="N211" s="404" t="s">
        <v>84</v>
      </c>
      <c r="O211" s="404" t="s">
        <v>1176</v>
      </c>
      <c r="P211" s="404">
        <v>3</v>
      </c>
      <c r="Q211" s="404" t="s">
        <v>1163</v>
      </c>
      <c r="R211" s="420" t="s">
        <v>1182</v>
      </c>
    </row>
    <row r="212" spans="2:18" ht="12.5" customHeight="1" x14ac:dyDescent="0.25">
      <c r="B212" s="238"/>
      <c r="C212" s="240"/>
      <c r="D212" s="212"/>
      <c r="I212" s="403"/>
      <c r="J212" s="403"/>
      <c r="K212" s="404" t="s">
        <v>1167</v>
      </c>
      <c r="L212" s="243" t="s">
        <v>1328</v>
      </c>
      <c r="M212" s="243" t="s">
        <v>220</v>
      </c>
      <c r="N212" s="404" t="s">
        <v>84</v>
      </c>
      <c r="O212" s="404" t="s">
        <v>1175</v>
      </c>
      <c r="P212" s="404">
        <v>2</v>
      </c>
      <c r="Q212" s="404" t="s">
        <v>1163</v>
      </c>
      <c r="R212" s="420" t="s">
        <v>947</v>
      </c>
    </row>
    <row r="213" spans="2:18" ht="12.5" customHeight="1" x14ac:dyDescent="0.25">
      <c r="B213" s="238"/>
      <c r="C213" s="240"/>
      <c r="D213" s="212"/>
      <c r="I213" s="403"/>
      <c r="J213" s="403"/>
      <c r="K213" s="404" t="s">
        <v>1167</v>
      </c>
      <c r="L213" s="243" t="s">
        <v>1329</v>
      </c>
      <c r="M213" s="243" t="s">
        <v>220</v>
      </c>
      <c r="N213" s="404" t="s">
        <v>84</v>
      </c>
      <c r="O213" s="404" t="s">
        <v>1176</v>
      </c>
      <c r="P213" s="404">
        <v>3</v>
      </c>
      <c r="Q213" s="404" t="s">
        <v>1163</v>
      </c>
      <c r="R213" s="420" t="s">
        <v>947</v>
      </c>
    </row>
    <row r="214" spans="2:18" ht="12.5" customHeight="1" x14ac:dyDescent="0.25">
      <c r="B214" s="238"/>
      <c r="C214" s="240"/>
      <c r="D214" s="212"/>
      <c r="I214" s="403"/>
      <c r="J214" s="403"/>
      <c r="K214" s="404" t="s">
        <v>1167</v>
      </c>
      <c r="L214" s="243" t="s">
        <v>1327</v>
      </c>
      <c r="M214" s="243" t="s">
        <v>220</v>
      </c>
      <c r="N214" s="404" t="s">
        <v>84</v>
      </c>
      <c r="O214" s="404" t="s">
        <v>1174</v>
      </c>
      <c r="P214" s="404">
        <v>3</v>
      </c>
      <c r="Q214" s="404" t="s">
        <v>1163</v>
      </c>
      <c r="R214" s="420" t="s">
        <v>1184</v>
      </c>
    </row>
    <row r="215" spans="2:18" ht="12.5" customHeight="1" x14ac:dyDescent="0.25">
      <c r="B215" s="238"/>
      <c r="C215" s="240"/>
      <c r="D215" s="212"/>
      <c r="I215" s="403"/>
      <c r="J215" s="403"/>
      <c r="K215" s="404" t="s">
        <v>1167</v>
      </c>
      <c r="L215" s="243" t="s">
        <v>1328</v>
      </c>
      <c r="M215" s="243" t="s">
        <v>220</v>
      </c>
      <c r="N215" s="404" t="s">
        <v>84</v>
      </c>
      <c r="O215" s="404" t="s">
        <v>1175</v>
      </c>
      <c r="P215" s="404">
        <v>2</v>
      </c>
      <c r="Q215" s="404" t="s">
        <v>1163</v>
      </c>
      <c r="R215" s="420" t="s">
        <v>1184</v>
      </c>
    </row>
    <row r="216" spans="2:18" ht="12.5" customHeight="1" x14ac:dyDescent="0.25">
      <c r="B216" s="238"/>
      <c r="C216" s="240"/>
      <c r="D216" s="212"/>
      <c r="I216" s="403"/>
      <c r="J216" s="403"/>
      <c r="K216" s="404" t="s">
        <v>1167</v>
      </c>
      <c r="L216" s="243" t="s">
        <v>1329</v>
      </c>
      <c r="M216" s="243" t="s">
        <v>220</v>
      </c>
      <c r="N216" s="404" t="s">
        <v>84</v>
      </c>
      <c r="O216" s="404" t="s">
        <v>1176</v>
      </c>
      <c r="P216" s="404">
        <v>3</v>
      </c>
      <c r="Q216" s="404" t="s">
        <v>1163</v>
      </c>
      <c r="R216" s="420" t="s">
        <v>1184</v>
      </c>
    </row>
    <row r="217" spans="2:18" ht="12.5" customHeight="1" x14ac:dyDescent="0.25">
      <c r="I217" s="403"/>
      <c r="J217" s="403"/>
      <c r="K217" s="404" t="s">
        <v>1167</v>
      </c>
      <c r="L217" s="243" t="s">
        <v>1330</v>
      </c>
      <c r="M217" s="243" t="s">
        <v>220</v>
      </c>
      <c r="N217" s="404" t="s">
        <v>120</v>
      </c>
      <c r="O217" s="404" t="s">
        <v>1174</v>
      </c>
      <c r="P217" s="404">
        <v>1</v>
      </c>
      <c r="Q217" s="404" t="s">
        <v>1164</v>
      </c>
      <c r="R217" s="420" t="s">
        <v>946</v>
      </c>
    </row>
    <row r="218" spans="2:18" ht="12.5" customHeight="1" x14ac:dyDescent="0.25">
      <c r="I218" s="403"/>
      <c r="J218" s="403"/>
      <c r="K218" s="404" t="s">
        <v>1167</v>
      </c>
      <c r="L218" s="243" t="s">
        <v>1331</v>
      </c>
      <c r="M218" s="243" t="s">
        <v>220</v>
      </c>
      <c r="N218" s="404" t="s">
        <v>85</v>
      </c>
      <c r="O218" s="404" t="s">
        <v>1175</v>
      </c>
      <c r="P218" s="404">
        <v>5</v>
      </c>
      <c r="Q218" s="404" t="s">
        <v>1164</v>
      </c>
      <c r="R218" s="420" t="s">
        <v>1182</v>
      </c>
    </row>
    <row r="219" spans="2:18" ht="12.5" customHeight="1" x14ac:dyDescent="0.25">
      <c r="I219" s="403"/>
      <c r="J219" s="403"/>
      <c r="K219" s="404" t="s">
        <v>1167</v>
      </c>
      <c r="L219" s="243" t="s">
        <v>1332</v>
      </c>
      <c r="M219" s="243" t="s">
        <v>220</v>
      </c>
      <c r="N219" s="404" t="s">
        <v>84</v>
      </c>
      <c r="O219" s="404" t="s">
        <v>1176</v>
      </c>
      <c r="P219" s="404">
        <v>1</v>
      </c>
      <c r="Q219" s="404" t="s">
        <v>1164</v>
      </c>
      <c r="R219" s="420" t="s">
        <v>1182</v>
      </c>
    </row>
    <row r="220" spans="2:18" ht="12.5" customHeight="1" x14ac:dyDescent="0.25">
      <c r="I220" s="403"/>
      <c r="J220" s="403"/>
      <c r="K220" s="404" t="s">
        <v>1167</v>
      </c>
      <c r="L220" s="243" t="s">
        <v>1330</v>
      </c>
      <c r="M220" s="243" t="s">
        <v>220</v>
      </c>
      <c r="N220" s="404" t="s">
        <v>120</v>
      </c>
      <c r="O220" s="404" t="s">
        <v>1174</v>
      </c>
      <c r="P220" s="404">
        <v>1</v>
      </c>
      <c r="Q220" s="404" t="s">
        <v>1164</v>
      </c>
      <c r="R220" s="420" t="s">
        <v>1182</v>
      </c>
    </row>
    <row r="221" spans="2:18" ht="12.5" customHeight="1" x14ac:dyDescent="0.25">
      <c r="I221" s="403"/>
      <c r="J221" s="403"/>
      <c r="K221" s="404" t="s">
        <v>1167</v>
      </c>
      <c r="L221" s="243" t="s">
        <v>1331</v>
      </c>
      <c r="M221" s="243" t="s">
        <v>220</v>
      </c>
      <c r="N221" s="404" t="s">
        <v>85</v>
      </c>
      <c r="O221" s="404" t="s">
        <v>1175</v>
      </c>
      <c r="P221" s="404">
        <v>5</v>
      </c>
      <c r="Q221" s="404" t="s">
        <v>1164</v>
      </c>
      <c r="R221" s="420" t="s">
        <v>947</v>
      </c>
    </row>
    <row r="222" spans="2:18" ht="12.5" customHeight="1" x14ac:dyDescent="0.25">
      <c r="I222" s="403"/>
      <c r="J222" s="403"/>
      <c r="K222" s="404" t="s">
        <v>1167</v>
      </c>
      <c r="L222" s="243" t="s">
        <v>1332</v>
      </c>
      <c r="M222" s="243" t="s">
        <v>220</v>
      </c>
      <c r="N222" s="404" t="s">
        <v>84</v>
      </c>
      <c r="O222" s="404" t="s">
        <v>1176</v>
      </c>
      <c r="P222" s="404">
        <v>1</v>
      </c>
      <c r="Q222" s="404" t="s">
        <v>1164</v>
      </c>
      <c r="R222" s="420" t="s">
        <v>947</v>
      </c>
    </row>
    <row r="223" spans="2:18" ht="12.5" customHeight="1" x14ac:dyDescent="0.25">
      <c r="I223" s="403"/>
      <c r="J223" s="403"/>
      <c r="K223" s="404" t="s">
        <v>1167</v>
      </c>
      <c r="L223" s="243" t="s">
        <v>1331</v>
      </c>
      <c r="M223" s="243" t="s">
        <v>220</v>
      </c>
      <c r="N223" s="404" t="s">
        <v>85</v>
      </c>
      <c r="O223" s="404" t="s">
        <v>1175</v>
      </c>
      <c r="P223" s="404">
        <v>5</v>
      </c>
      <c r="Q223" s="404" t="s">
        <v>1164</v>
      </c>
      <c r="R223" s="420" t="s">
        <v>1184</v>
      </c>
    </row>
    <row r="224" spans="2:18" ht="12.5" customHeight="1" x14ac:dyDescent="0.25">
      <c r="I224" s="403"/>
      <c r="J224" s="403"/>
      <c r="K224" s="404" t="s">
        <v>1167</v>
      </c>
      <c r="L224" s="243" t="s">
        <v>1332</v>
      </c>
      <c r="M224" s="243" t="s">
        <v>220</v>
      </c>
      <c r="N224" s="404" t="s">
        <v>84</v>
      </c>
      <c r="O224" s="404" t="s">
        <v>1176</v>
      </c>
      <c r="P224" s="404">
        <v>1</v>
      </c>
      <c r="Q224" s="404" t="s">
        <v>1164</v>
      </c>
      <c r="R224" s="420" t="s">
        <v>1184</v>
      </c>
    </row>
    <row r="225" spans="9:18" ht="12.5" customHeight="1" x14ac:dyDescent="0.25">
      <c r="I225" s="403"/>
      <c r="J225" s="403"/>
      <c r="K225" s="404" t="s">
        <v>1167</v>
      </c>
      <c r="L225" s="243" t="s">
        <v>1330</v>
      </c>
      <c r="M225" s="243" t="s">
        <v>220</v>
      </c>
      <c r="N225" s="404" t="s">
        <v>120</v>
      </c>
      <c r="O225" s="404" t="s">
        <v>1174</v>
      </c>
      <c r="P225" s="404">
        <v>1</v>
      </c>
      <c r="Q225" s="404" t="s">
        <v>1164</v>
      </c>
      <c r="R225" s="420" t="s">
        <v>1184</v>
      </c>
    </row>
    <row r="226" spans="9:18" ht="12.5" customHeight="1" x14ac:dyDescent="0.25">
      <c r="I226" s="403"/>
      <c r="J226" s="403"/>
      <c r="K226" s="404" t="s">
        <v>1173</v>
      </c>
      <c r="L226" s="243" t="s">
        <v>1333</v>
      </c>
      <c r="M226" s="243" t="s">
        <v>78</v>
      </c>
      <c r="N226" s="404" t="s">
        <v>120</v>
      </c>
      <c r="O226" s="404" t="s">
        <v>1141</v>
      </c>
      <c r="P226" s="404">
        <v>2</v>
      </c>
      <c r="Q226" s="404" t="s">
        <v>1172</v>
      </c>
      <c r="R226" s="420" t="s">
        <v>946</v>
      </c>
    </row>
    <row r="227" spans="9:18" ht="12.5" customHeight="1" x14ac:dyDescent="0.25">
      <c r="I227" s="403"/>
      <c r="J227" s="403"/>
      <c r="K227" s="404" t="s">
        <v>1173</v>
      </c>
      <c r="L227" s="243" t="s">
        <v>1334</v>
      </c>
      <c r="M227" s="243" t="s">
        <v>78</v>
      </c>
      <c r="N227" s="404" t="s">
        <v>120</v>
      </c>
      <c r="O227" s="404" t="s">
        <v>1174</v>
      </c>
      <c r="P227" s="404">
        <v>2</v>
      </c>
      <c r="Q227" s="404" t="s">
        <v>1172</v>
      </c>
      <c r="R227" s="420" t="s">
        <v>946</v>
      </c>
    </row>
    <row r="228" spans="9:18" ht="12.5" customHeight="1" x14ac:dyDescent="0.25">
      <c r="I228" s="403"/>
      <c r="J228" s="403"/>
      <c r="K228" s="404" t="s">
        <v>1173</v>
      </c>
      <c r="L228" s="243" t="s">
        <v>1333</v>
      </c>
      <c r="M228" s="243" t="s">
        <v>78</v>
      </c>
      <c r="N228" s="404" t="s">
        <v>120</v>
      </c>
      <c r="O228" s="404" t="s">
        <v>1141</v>
      </c>
      <c r="P228" s="404">
        <v>2</v>
      </c>
      <c r="Q228" s="404" t="s">
        <v>1172</v>
      </c>
      <c r="R228" s="420" t="s">
        <v>1182</v>
      </c>
    </row>
    <row r="229" spans="9:18" ht="12.5" customHeight="1" x14ac:dyDescent="0.25">
      <c r="I229" s="403"/>
      <c r="J229" s="403"/>
      <c r="K229" s="404" t="s">
        <v>1173</v>
      </c>
      <c r="L229" s="243" t="s">
        <v>1334</v>
      </c>
      <c r="M229" s="243" t="s">
        <v>78</v>
      </c>
      <c r="N229" s="404" t="s">
        <v>120</v>
      </c>
      <c r="O229" s="404" t="s">
        <v>1174</v>
      </c>
      <c r="P229" s="404">
        <v>2</v>
      </c>
      <c r="Q229" s="404" t="s">
        <v>1172</v>
      </c>
      <c r="R229" s="420" t="s">
        <v>1182</v>
      </c>
    </row>
    <row r="230" spans="9:18" ht="12.5" customHeight="1" x14ac:dyDescent="0.25">
      <c r="I230" s="403"/>
      <c r="J230" s="403"/>
      <c r="K230" s="404" t="s">
        <v>1173</v>
      </c>
      <c r="L230" s="243" t="s">
        <v>1333</v>
      </c>
      <c r="M230" s="243" t="s">
        <v>78</v>
      </c>
      <c r="N230" s="404" t="s">
        <v>120</v>
      </c>
      <c r="O230" s="404" t="s">
        <v>1141</v>
      </c>
      <c r="P230" s="404">
        <v>2</v>
      </c>
      <c r="Q230" s="404" t="s">
        <v>1172</v>
      </c>
      <c r="R230" s="420" t="s">
        <v>1184</v>
      </c>
    </row>
    <row r="231" spans="9:18" ht="12.5" customHeight="1" x14ac:dyDescent="0.25">
      <c r="I231" s="403"/>
      <c r="J231" s="403"/>
      <c r="K231" s="404" t="s">
        <v>1173</v>
      </c>
      <c r="L231" s="243" t="s">
        <v>1334</v>
      </c>
      <c r="M231" s="243" t="s">
        <v>78</v>
      </c>
      <c r="N231" s="404" t="s">
        <v>120</v>
      </c>
      <c r="O231" s="404" t="s">
        <v>1174</v>
      </c>
      <c r="P231" s="404">
        <v>2</v>
      </c>
      <c r="Q231" s="404" t="s">
        <v>1172</v>
      </c>
      <c r="R231" s="420" t="s">
        <v>1184</v>
      </c>
    </row>
    <row r="232" spans="9:18" ht="12.5" customHeight="1" x14ac:dyDescent="0.25">
      <c r="I232" s="403"/>
      <c r="J232" s="403"/>
      <c r="K232" s="404" t="s">
        <v>1168</v>
      </c>
      <c r="L232" s="243" t="s">
        <v>1335</v>
      </c>
      <c r="M232" s="243" t="s">
        <v>90</v>
      </c>
      <c r="N232" s="404" t="s">
        <v>88</v>
      </c>
      <c r="O232" s="404" t="s">
        <v>1176</v>
      </c>
      <c r="P232" s="404">
        <v>2</v>
      </c>
      <c r="Q232" s="404" t="s">
        <v>1165</v>
      </c>
      <c r="R232" s="420" t="s">
        <v>386</v>
      </c>
    </row>
    <row r="233" spans="9:18" ht="12.5" customHeight="1" x14ac:dyDescent="0.25">
      <c r="I233" s="403"/>
      <c r="J233" s="422"/>
      <c r="K233" s="404" t="s">
        <v>1168</v>
      </c>
      <c r="L233" s="243" t="s">
        <v>1336</v>
      </c>
      <c r="M233" s="243" t="s">
        <v>90</v>
      </c>
      <c r="N233" s="404" t="s">
        <v>88</v>
      </c>
      <c r="O233" s="404" t="s">
        <v>1174</v>
      </c>
      <c r="P233" s="404">
        <v>4</v>
      </c>
      <c r="Q233" s="404" t="s">
        <v>1165</v>
      </c>
      <c r="R233" s="420" t="s">
        <v>386</v>
      </c>
    </row>
    <row r="234" spans="9:18" ht="12.5" customHeight="1" x14ac:dyDescent="0.25">
      <c r="I234" s="403"/>
      <c r="J234" s="422"/>
      <c r="K234" s="404" t="s">
        <v>1168</v>
      </c>
      <c r="L234" s="243" t="s">
        <v>1337</v>
      </c>
      <c r="M234" s="243" t="s">
        <v>90</v>
      </c>
      <c r="N234" s="404" t="s">
        <v>88</v>
      </c>
      <c r="O234" s="404" t="s">
        <v>1141</v>
      </c>
      <c r="P234" s="404">
        <v>20</v>
      </c>
      <c r="Q234" s="404" t="s">
        <v>1165</v>
      </c>
      <c r="R234" s="420" t="s">
        <v>386</v>
      </c>
    </row>
    <row r="235" spans="9:18" ht="12.5" customHeight="1" x14ac:dyDescent="0.25">
      <c r="I235" s="403"/>
      <c r="J235" s="422"/>
      <c r="K235" s="404" t="s">
        <v>1168</v>
      </c>
      <c r="L235" s="243" t="s">
        <v>1335</v>
      </c>
      <c r="M235" s="243" t="s">
        <v>90</v>
      </c>
      <c r="N235" s="404" t="s">
        <v>88</v>
      </c>
      <c r="O235" s="404" t="s">
        <v>1176</v>
      </c>
      <c r="P235" s="404">
        <v>2</v>
      </c>
      <c r="Q235" s="404" t="s">
        <v>1165</v>
      </c>
      <c r="R235" s="420" t="s">
        <v>1182</v>
      </c>
    </row>
    <row r="236" spans="9:18" ht="12.5" customHeight="1" x14ac:dyDescent="0.25">
      <c r="I236" s="403"/>
      <c r="J236" s="403"/>
      <c r="K236" s="404" t="s">
        <v>1168</v>
      </c>
      <c r="L236" s="243" t="s">
        <v>1336</v>
      </c>
      <c r="M236" s="243" t="s">
        <v>90</v>
      </c>
      <c r="N236" s="404" t="s">
        <v>88</v>
      </c>
      <c r="O236" s="404" t="s">
        <v>1174</v>
      </c>
      <c r="P236" s="404">
        <v>4</v>
      </c>
      <c r="Q236" s="404" t="s">
        <v>1165</v>
      </c>
      <c r="R236" s="438" t="s">
        <v>1182</v>
      </c>
    </row>
    <row r="237" spans="9:18" ht="12.5" customHeight="1" x14ac:dyDescent="0.25">
      <c r="I237" s="403"/>
      <c r="J237" s="403"/>
      <c r="K237" s="404" t="s">
        <v>1168</v>
      </c>
      <c r="L237" s="243" t="s">
        <v>1337</v>
      </c>
      <c r="M237" s="243" t="s">
        <v>90</v>
      </c>
      <c r="N237" s="404" t="s">
        <v>88</v>
      </c>
      <c r="O237" s="404" t="s">
        <v>1141</v>
      </c>
      <c r="P237" s="404">
        <v>20</v>
      </c>
      <c r="Q237" s="404" t="s">
        <v>1165</v>
      </c>
      <c r="R237" s="438" t="s">
        <v>1182</v>
      </c>
    </row>
    <row r="238" spans="9:18" ht="12.5" customHeight="1" x14ac:dyDescent="0.25">
      <c r="I238" s="403"/>
      <c r="J238" s="403"/>
      <c r="K238" s="404" t="s">
        <v>1168</v>
      </c>
      <c r="L238" s="243" t="s">
        <v>1335</v>
      </c>
      <c r="M238" s="243" t="s">
        <v>90</v>
      </c>
      <c r="N238" s="404" t="s">
        <v>88</v>
      </c>
      <c r="O238" s="404" t="s">
        <v>1176</v>
      </c>
      <c r="P238" s="404">
        <v>2</v>
      </c>
      <c r="Q238" s="404" t="s">
        <v>1165</v>
      </c>
      <c r="R238" s="438" t="s">
        <v>1184</v>
      </c>
    </row>
    <row r="239" spans="9:18" ht="12.5" customHeight="1" x14ac:dyDescent="0.25">
      <c r="I239" s="403"/>
      <c r="J239" s="403"/>
      <c r="K239" s="404" t="s">
        <v>1168</v>
      </c>
      <c r="L239" s="243" t="s">
        <v>1336</v>
      </c>
      <c r="M239" s="243" t="s">
        <v>90</v>
      </c>
      <c r="N239" s="404" t="s">
        <v>88</v>
      </c>
      <c r="O239" s="404" t="s">
        <v>1174</v>
      </c>
      <c r="P239" s="404">
        <v>4</v>
      </c>
      <c r="Q239" s="404" t="s">
        <v>1165</v>
      </c>
      <c r="R239" s="438" t="s">
        <v>1184</v>
      </c>
    </row>
    <row r="240" spans="9:18" ht="12.5" customHeight="1" x14ac:dyDescent="0.25">
      <c r="I240" s="403"/>
      <c r="J240" s="403"/>
      <c r="K240" s="404" t="s">
        <v>1168</v>
      </c>
      <c r="L240" s="243" t="s">
        <v>1337</v>
      </c>
      <c r="M240" s="243" t="s">
        <v>90</v>
      </c>
      <c r="N240" s="404" t="s">
        <v>88</v>
      </c>
      <c r="O240" s="404" t="s">
        <v>1141</v>
      </c>
      <c r="P240" s="404">
        <v>20</v>
      </c>
      <c r="Q240" s="404" t="s">
        <v>1165</v>
      </c>
      <c r="R240" s="438" t="s">
        <v>1184</v>
      </c>
    </row>
    <row r="241" spans="9:18" ht="12.5" customHeight="1" x14ac:dyDescent="0.25">
      <c r="I241" s="403"/>
      <c r="J241" s="403"/>
      <c r="K241" s="404" t="s">
        <v>1170</v>
      </c>
      <c r="L241" s="243" t="s">
        <v>1338</v>
      </c>
      <c r="M241" s="243" t="s">
        <v>78</v>
      </c>
      <c r="N241" s="404" t="s">
        <v>86</v>
      </c>
      <c r="O241" s="404" t="s">
        <v>1139</v>
      </c>
      <c r="P241" s="404">
        <v>14</v>
      </c>
      <c r="Q241" s="404" t="s">
        <v>1144</v>
      </c>
      <c r="R241" s="438" t="s">
        <v>946</v>
      </c>
    </row>
    <row r="242" spans="9:18" ht="12.5" customHeight="1" x14ac:dyDescent="0.25">
      <c r="I242" s="403"/>
      <c r="J242" s="403"/>
      <c r="K242" s="404" t="s">
        <v>1170</v>
      </c>
      <c r="L242" s="243" t="s">
        <v>1339</v>
      </c>
      <c r="M242" s="243" t="s">
        <v>78</v>
      </c>
      <c r="N242" s="404" t="s">
        <v>85</v>
      </c>
      <c r="O242" s="404" t="s">
        <v>1139</v>
      </c>
      <c r="P242" s="404">
        <v>7</v>
      </c>
      <c r="Q242" s="404" t="s">
        <v>1144</v>
      </c>
      <c r="R242" s="438" t="s">
        <v>946</v>
      </c>
    </row>
    <row r="243" spans="9:18" ht="12.5" customHeight="1" x14ac:dyDescent="0.25">
      <c r="I243" s="403"/>
      <c r="J243" s="403"/>
      <c r="K243" s="404" t="s">
        <v>1170</v>
      </c>
      <c r="L243" s="243" t="s">
        <v>1340</v>
      </c>
      <c r="M243" s="243" t="s">
        <v>90</v>
      </c>
      <c r="N243" s="404" t="s">
        <v>86</v>
      </c>
      <c r="O243" s="404" t="s">
        <v>1139</v>
      </c>
      <c r="P243" s="404">
        <v>1</v>
      </c>
      <c r="Q243" s="404" t="s">
        <v>1144</v>
      </c>
      <c r="R243" s="438" t="s">
        <v>946</v>
      </c>
    </row>
    <row r="244" spans="9:18" ht="12.5" customHeight="1" x14ac:dyDescent="0.25">
      <c r="I244" s="403"/>
      <c r="J244" s="403"/>
      <c r="K244" s="404" t="s">
        <v>1170</v>
      </c>
      <c r="L244" s="243" t="s">
        <v>1341</v>
      </c>
      <c r="M244" s="243" t="s">
        <v>78</v>
      </c>
      <c r="N244" s="404" t="s">
        <v>85</v>
      </c>
      <c r="O244" s="404" t="s">
        <v>1139</v>
      </c>
      <c r="P244" s="404">
        <v>3</v>
      </c>
      <c r="Q244" s="404" t="s">
        <v>1144</v>
      </c>
      <c r="R244" s="438" t="s">
        <v>946</v>
      </c>
    </row>
    <row r="245" spans="9:18" ht="12.5" customHeight="1" x14ac:dyDescent="0.25">
      <c r="I245" s="403"/>
      <c r="J245" s="403"/>
      <c r="K245" s="404" t="s">
        <v>1170</v>
      </c>
      <c r="L245" s="243" t="s">
        <v>1342</v>
      </c>
      <c r="M245" s="243" t="s">
        <v>78</v>
      </c>
      <c r="N245" s="404" t="s">
        <v>84</v>
      </c>
      <c r="O245" s="404" t="s">
        <v>1139</v>
      </c>
      <c r="P245" s="404">
        <v>2</v>
      </c>
      <c r="Q245" s="404" t="s">
        <v>1144</v>
      </c>
      <c r="R245" s="438" t="s">
        <v>946</v>
      </c>
    </row>
    <row r="246" spans="9:18" ht="12.5" customHeight="1" x14ac:dyDescent="0.25">
      <c r="I246" s="403"/>
      <c r="J246" s="403"/>
      <c r="K246" s="404" t="s">
        <v>1170</v>
      </c>
      <c r="L246" s="243" t="s">
        <v>1343</v>
      </c>
      <c r="M246" s="243" t="s">
        <v>94</v>
      </c>
      <c r="N246" s="404" t="s">
        <v>84</v>
      </c>
      <c r="O246" s="404" t="s">
        <v>1139</v>
      </c>
      <c r="P246" s="404">
        <v>1</v>
      </c>
      <c r="Q246" s="404" t="s">
        <v>1144</v>
      </c>
      <c r="R246" s="438" t="s">
        <v>946</v>
      </c>
    </row>
    <row r="247" spans="9:18" ht="12.5" customHeight="1" x14ac:dyDescent="0.25">
      <c r="I247" s="403"/>
      <c r="J247" s="403"/>
      <c r="K247" s="404" t="s">
        <v>1170</v>
      </c>
      <c r="L247" s="243" t="s">
        <v>1344</v>
      </c>
      <c r="M247" s="243" t="s">
        <v>78</v>
      </c>
      <c r="N247" s="404" t="s">
        <v>80</v>
      </c>
      <c r="O247" s="404" t="s">
        <v>1139</v>
      </c>
      <c r="P247" s="404">
        <v>2</v>
      </c>
      <c r="Q247" s="404" t="s">
        <v>1144</v>
      </c>
      <c r="R247" s="438" t="s">
        <v>364</v>
      </c>
    </row>
    <row r="248" spans="9:18" ht="12.5" customHeight="1" x14ac:dyDescent="0.25">
      <c r="I248" s="403"/>
      <c r="J248" s="403"/>
      <c r="K248" s="404" t="s">
        <v>1170</v>
      </c>
      <c r="L248" s="243" t="s">
        <v>1345</v>
      </c>
      <c r="M248" s="243" t="s">
        <v>90</v>
      </c>
      <c r="N248" s="404" t="s">
        <v>84</v>
      </c>
      <c r="O248" s="404" t="s">
        <v>1139</v>
      </c>
      <c r="P248" s="404">
        <v>7</v>
      </c>
      <c r="Q248" s="404" t="s">
        <v>1144</v>
      </c>
      <c r="R248" s="438" t="s">
        <v>946</v>
      </c>
    </row>
    <row r="249" spans="9:18" ht="12.5" customHeight="1" x14ac:dyDescent="0.25">
      <c r="I249" s="403"/>
      <c r="J249" s="403"/>
      <c r="K249" s="404" t="s">
        <v>1170</v>
      </c>
      <c r="L249" s="243" t="s">
        <v>1346</v>
      </c>
      <c r="M249" s="243" t="s">
        <v>92</v>
      </c>
      <c r="N249" s="404" t="s">
        <v>84</v>
      </c>
      <c r="O249" s="404" t="s">
        <v>1139</v>
      </c>
      <c r="P249" s="404">
        <v>2</v>
      </c>
      <c r="Q249" s="404" t="s">
        <v>1144</v>
      </c>
      <c r="R249" s="438" t="s">
        <v>946</v>
      </c>
    </row>
    <row r="250" spans="9:18" ht="12.5" customHeight="1" x14ac:dyDescent="0.25">
      <c r="I250" s="403"/>
      <c r="J250" s="403"/>
      <c r="K250" s="404" t="s">
        <v>1170</v>
      </c>
      <c r="L250" s="243" t="s">
        <v>1347</v>
      </c>
      <c r="M250" s="243" t="s">
        <v>110</v>
      </c>
      <c r="N250" s="404" t="s">
        <v>84</v>
      </c>
      <c r="O250" s="404" t="s">
        <v>1139</v>
      </c>
      <c r="P250" s="404">
        <v>1</v>
      </c>
      <c r="Q250" s="404" t="s">
        <v>1144</v>
      </c>
      <c r="R250" s="438" t="s">
        <v>946</v>
      </c>
    </row>
    <row r="251" spans="9:18" ht="12.5" customHeight="1" x14ac:dyDescent="0.25">
      <c r="I251" s="403"/>
      <c r="J251" s="403"/>
      <c r="K251" s="404" t="s">
        <v>1170</v>
      </c>
      <c r="L251" s="243" t="s">
        <v>1348</v>
      </c>
      <c r="M251" s="243" t="s">
        <v>90</v>
      </c>
      <c r="N251" s="404" t="s">
        <v>84</v>
      </c>
      <c r="O251" s="404" t="s">
        <v>1139</v>
      </c>
      <c r="P251" s="404">
        <v>1</v>
      </c>
      <c r="Q251" s="404" t="s">
        <v>1144</v>
      </c>
      <c r="R251" s="438" t="s">
        <v>946</v>
      </c>
    </row>
    <row r="252" spans="9:18" ht="12.5" customHeight="1" x14ac:dyDescent="0.25">
      <c r="I252" s="403"/>
      <c r="J252" s="403"/>
      <c r="K252" s="404" t="s">
        <v>1170</v>
      </c>
      <c r="L252" s="243" t="s">
        <v>1349</v>
      </c>
      <c r="M252" s="243" t="s">
        <v>94</v>
      </c>
      <c r="N252" s="404" t="s">
        <v>82</v>
      </c>
      <c r="O252" s="404" t="s">
        <v>1139</v>
      </c>
      <c r="P252" s="404">
        <v>2</v>
      </c>
      <c r="Q252" s="404" t="s">
        <v>1144</v>
      </c>
      <c r="R252" s="438" t="s">
        <v>946</v>
      </c>
    </row>
    <row r="253" spans="9:18" ht="12.5" customHeight="1" x14ac:dyDescent="0.25">
      <c r="I253" s="403"/>
      <c r="J253" s="403"/>
      <c r="K253" s="404" t="s">
        <v>1170</v>
      </c>
      <c r="L253" s="243" t="s">
        <v>1350</v>
      </c>
      <c r="M253" s="243" t="s">
        <v>110</v>
      </c>
      <c r="N253" s="404" t="s">
        <v>82</v>
      </c>
      <c r="O253" s="404" t="s">
        <v>1139</v>
      </c>
      <c r="P253" s="404">
        <v>1</v>
      </c>
      <c r="Q253" s="404" t="s">
        <v>1144</v>
      </c>
      <c r="R253" s="438" t="s">
        <v>946</v>
      </c>
    </row>
    <row r="254" spans="9:18" ht="12.5" customHeight="1" x14ac:dyDescent="0.25">
      <c r="I254" s="403"/>
      <c r="J254" s="403"/>
      <c r="K254" s="404" t="s">
        <v>1170</v>
      </c>
      <c r="L254" s="243" t="s">
        <v>1351</v>
      </c>
      <c r="M254" s="243" t="s">
        <v>78</v>
      </c>
      <c r="N254" s="404" t="s">
        <v>82</v>
      </c>
      <c r="O254" s="404" t="s">
        <v>1139</v>
      </c>
      <c r="P254" s="404">
        <v>4</v>
      </c>
      <c r="Q254" s="404" t="s">
        <v>1144</v>
      </c>
      <c r="R254" s="438" t="s">
        <v>946</v>
      </c>
    </row>
    <row r="255" spans="9:18" ht="12.5" customHeight="1" x14ac:dyDescent="0.25">
      <c r="I255" s="403"/>
      <c r="J255" s="403"/>
      <c r="K255" s="404" t="s">
        <v>1170</v>
      </c>
      <c r="L255" s="243" t="s">
        <v>1352</v>
      </c>
      <c r="M255" s="243" t="s">
        <v>92</v>
      </c>
      <c r="N255" s="404" t="s">
        <v>82</v>
      </c>
      <c r="O255" s="404" t="s">
        <v>1139</v>
      </c>
      <c r="P255" s="404">
        <v>3</v>
      </c>
      <c r="Q255" s="404" t="s">
        <v>1144</v>
      </c>
      <c r="R255" s="438" t="s">
        <v>946</v>
      </c>
    </row>
    <row r="256" spans="9:18" ht="12.5" customHeight="1" x14ac:dyDescent="0.25">
      <c r="I256" s="403"/>
      <c r="J256" s="403"/>
      <c r="K256" s="404" t="s">
        <v>1170</v>
      </c>
      <c r="L256" s="243" t="s">
        <v>1353</v>
      </c>
      <c r="M256" s="243" t="s">
        <v>90</v>
      </c>
      <c r="N256" s="404" t="s">
        <v>82</v>
      </c>
      <c r="O256" s="404" t="s">
        <v>1139</v>
      </c>
      <c r="P256" s="404">
        <v>6</v>
      </c>
      <c r="Q256" s="404" t="s">
        <v>1144</v>
      </c>
      <c r="R256" s="438" t="s">
        <v>946</v>
      </c>
    </row>
    <row r="257" spans="9:18" ht="12.5" customHeight="1" x14ac:dyDescent="0.25">
      <c r="I257" s="403"/>
      <c r="J257" s="403"/>
      <c r="K257" s="404" t="s">
        <v>1170</v>
      </c>
      <c r="L257" s="243" t="s">
        <v>1354</v>
      </c>
      <c r="M257" s="243" t="s">
        <v>78</v>
      </c>
      <c r="N257" s="404" t="s">
        <v>86</v>
      </c>
      <c r="O257" s="404" t="s">
        <v>1139</v>
      </c>
      <c r="P257" s="404">
        <v>11</v>
      </c>
      <c r="Q257" s="404" t="s">
        <v>1144</v>
      </c>
      <c r="R257" s="438" t="s">
        <v>1182</v>
      </c>
    </row>
    <row r="258" spans="9:18" ht="12.5" customHeight="1" x14ac:dyDescent="0.25">
      <c r="I258" s="403"/>
      <c r="J258" s="403"/>
      <c r="K258" s="404" t="s">
        <v>1170</v>
      </c>
      <c r="L258" s="243" t="s">
        <v>1355</v>
      </c>
      <c r="M258" s="243" t="s">
        <v>78</v>
      </c>
      <c r="N258" s="404" t="s">
        <v>86</v>
      </c>
      <c r="O258" s="404" t="s">
        <v>1139</v>
      </c>
      <c r="P258" s="404">
        <v>3</v>
      </c>
      <c r="Q258" s="404" t="s">
        <v>1144</v>
      </c>
      <c r="R258" s="438" t="s">
        <v>1182</v>
      </c>
    </row>
    <row r="259" spans="9:18" ht="12.5" customHeight="1" x14ac:dyDescent="0.25">
      <c r="I259" s="403"/>
      <c r="J259" s="403"/>
      <c r="K259" s="404" t="s">
        <v>1170</v>
      </c>
      <c r="L259" s="243" t="s">
        <v>1340</v>
      </c>
      <c r="M259" s="243" t="s">
        <v>90</v>
      </c>
      <c r="N259" s="404" t="s">
        <v>86</v>
      </c>
      <c r="O259" s="404" t="s">
        <v>1139</v>
      </c>
      <c r="P259" s="404">
        <v>1</v>
      </c>
      <c r="Q259" s="404" t="s">
        <v>1144</v>
      </c>
      <c r="R259" s="438" t="s">
        <v>1182</v>
      </c>
    </row>
    <row r="260" spans="9:18" ht="12.5" customHeight="1" x14ac:dyDescent="0.25">
      <c r="I260" s="403"/>
      <c r="J260" s="403"/>
      <c r="K260" s="404" t="s">
        <v>1170</v>
      </c>
      <c r="L260" s="243" t="s">
        <v>1339</v>
      </c>
      <c r="M260" s="243" t="s">
        <v>78</v>
      </c>
      <c r="N260" s="404" t="s">
        <v>85</v>
      </c>
      <c r="O260" s="404" t="s">
        <v>1139</v>
      </c>
      <c r="P260" s="404">
        <v>7</v>
      </c>
      <c r="Q260" s="404" t="s">
        <v>1144</v>
      </c>
      <c r="R260" s="438" t="s">
        <v>1182</v>
      </c>
    </row>
    <row r="261" spans="9:18" ht="12.5" customHeight="1" x14ac:dyDescent="0.25">
      <c r="I261" s="403"/>
      <c r="J261" s="403"/>
      <c r="K261" s="404" t="s">
        <v>1170</v>
      </c>
      <c r="L261" s="243" t="s">
        <v>1341</v>
      </c>
      <c r="M261" s="243" t="s">
        <v>78</v>
      </c>
      <c r="N261" s="404" t="s">
        <v>85</v>
      </c>
      <c r="O261" s="404" t="s">
        <v>1139</v>
      </c>
      <c r="P261" s="404">
        <v>3</v>
      </c>
      <c r="Q261" s="404" t="s">
        <v>1144</v>
      </c>
      <c r="R261" s="438" t="s">
        <v>1182</v>
      </c>
    </row>
    <row r="262" spans="9:18" ht="12.5" customHeight="1" x14ac:dyDescent="0.25">
      <c r="I262" s="403"/>
      <c r="J262" s="403"/>
      <c r="K262" s="404" t="s">
        <v>1170</v>
      </c>
      <c r="L262" s="243" t="s">
        <v>1342</v>
      </c>
      <c r="M262" s="243" t="s">
        <v>78</v>
      </c>
      <c r="N262" s="404" t="s">
        <v>84</v>
      </c>
      <c r="O262" s="404" t="s">
        <v>1139</v>
      </c>
      <c r="P262" s="404">
        <v>2</v>
      </c>
      <c r="Q262" s="404" t="s">
        <v>1144</v>
      </c>
      <c r="R262" s="438" t="s">
        <v>1182</v>
      </c>
    </row>
    <row r="263" spans="9:18" ht="12.5" customHeight="1" x14ac:dyDescent="0.25">
      <c r="I263" s="403"/>
      <c r="J263" s="403"/>
      <c r="K263" s="404" t="s">
        <v>1170</v>
      </c>
      <c r="L263" s="243" t="s">
        <v>1343</v>
      </c>
      <c r="M263" s="243" t="s">
        <v>94</v>
      </c>
      <c r="N263" s="404" t="s">
        <v>84</v>
      </c>
      <c r="O263" s="404" t="s">
        <v>1139</v>
      </c>
      <c r="P263" s="404">
        <v>1</v>
      </c>
      <c r="Q263" s="404" t="s">
        <v>1144</v>
      </c>
      <c r="R263" s="438" t="s">
        <v>1182</v>
      </c>
    </row>
    <row r="264" spans="9:18" ht="12.5" customHeight="1" x14ac:dyDescent="0.25">
      <c r="I264" s="403"/>
      <c r="J264" s="403"/>
      <c r="K264" s="404" t="s">
        <v>1170</v>
      </c>
      <c r="L264" s="243" t="s">
        <v>1344</v>
      </c>
      <c r="M264" s="243" t="s">
        <v>78</v>
      </c>
      <c r="N264" s="404" t="s">
        <v>80</v>
      </c>
      <c r="O264" s="404" t="s">
        <v>1139</v>
      </c>
      <c r="P264" s="404">
        <v>2</v>
      </c>
      <c r="Q264" s="404" t="s">
        <v>1144</v>
      </c>
      <c r="R264" s="438" t="s">
        <v>1182</v>
      </c>
    </row>
    <row r="265" spans="9:18" ht="12.5" customHeight="1" x14ac:dyDescent="0.25">
      <c r="I265" s="403"/>
      <c r="J265" s="403"/>
      <c r="K265" s="404" t="s">
        <v>1170</v>
      </c>
      <c r="L265" s="243" t="s">
        <v>1346</v>
      </c>
      <c r="M265" s="243" t="s">
        <v>92</v>
      </c>
      <c r="N265" s="404" t="s">
        <v>84</v>
      </c>
      <c r="O265" s="404" t="s">
        <v>1139</v>
      </c>
      <c r="P265" s="404">
        <v>2</v>
      </c>
      <c r="Q265" s="404" t="s">
        <v>1144</v>
      </c>
      <c r="R265" s="438" t="s">
        <v>1182</v>
      </c>
    </row>
    <row r="266" spans="9:18" ht="12.5" customHeight="1" x14ac:dyDescent="0.25">
      <c r="I266" s="403"/>
      <c r="J266" s="403"/>
      <c r="K266" s="404" t="s">
        <v>1170</v>
      </c>
      <c r="L266" s="243" t="s">
        <v>1347</v>
      </c>
      <c r="M266" s="243" t="s">
        <v>110</v>
      </c>
      <c r="N266" s="404" t="s">
        <v>84</v>
      </c>
      <c r="O266" s="404" t="s">
        <v>1139</v>
      </c>
      <c r="P266" s="404">
        <v>1</v>
      </c>
      <c r="Q266" s="404" t="s">
        <v>1144</v>
      </c>
      <c r="R266" s="438" t="s">
        <v>1182</v>
      </c>
    </row>
    <row r="267" spans="9:18" ht="12.5" customHeight="1" x14ac:dyDescent="0.25">
      <c r="I267" s="403"/>
      <c r="J267" s="403"/>
      <c r="K267" s="404" t="s">
        <v>1170</v>
      </c>
      <c r="L267" s="243" t="s">
        <v>1345</v>
      </c>
      <c r="M267" s="243" t="s">
        <v>90</v>
      </c>
      <c r="N267" s="404" t="s">
        <v>84</v>
      </c>
      <c r="O267" s="404" t="s">
        <v>1139</v>
      </c>
      <c r="P267" s="404">
        <v>7</v>
      </c>
      <c r="Q267" s="404" t="s">
        <v>1144</v>
      </c>
      <c r="R267" s="438" t="s">
        <v>1182</v>
      </c>
    </row>
    <row r="268" spans="9:18" ht="12.5" customHeight="1" x14ac:dyDescent="0.25">
      <c r="I268" s="403"/>
      <c r="J268" s="403"/>
      <c r="K268" s="404" t="s">
        <v>1170</v>
      </c>
      <c r="L268" s="243" t="s">
        <v>1348</v>
      </c>
      <c r="M268" s="243" t="s">
        <v>90</v>
      </c>
      <c r="N268" s="404" t="s">
        <v>84</v>
      </c>
      <c r="O268" s="404" t="s">
        <v>1139</v>
      </c>
      <c r="P268" s="404">
        <v>1</v>
      </c>
      <c r="Q268" s="404" t="s">
        <v>1144</v>
      </c>
      <c r="R268" s="438" t="s">
        <v>1182</v>
      </c>
    </row>
    <row r="269" spans="9:18" ht="12.5" customHeight="1" x14ac:dyDescent="0.25">
      <c r="I269" s="403"/>
      <c r="J269" s="403"/>
      <c r="K269" s="404" t="s">
        <v>1170</v>
      </c>
      <c r="L269" s="243" t="s">
        <v>1349</v>
      </c>
      <c r="M269" s="243" t="s">
        <v>94</v>
      </c>
      <c r="N269" s="404" t="s">
        <v>82</v>
      </c>
      <c r="O269" s="404" t="s">
        <v>1139</v>
      </c>
      <c r="P269" s="404">
        <v>2</v>
      </c>
      <c r="Q269" s="404" t="s">
        <v>1144</v>
      </c>
      <c r="R269" s="438" t="s">
        <v>1182</v>
      </c>
    </row>
    <row r="270" spans="9:18" ht="12.5" customHeight="1" x14ac:dyDescent="0.25">
      <c r="I270" s="403"/>
      <c r="J270" s="403"/>
      <c r="K270" s="404" t="s">
        <v>1170</v>
      </c>
      <c r="L270" s="243" t="s">
        <v>1350</v>
      </c>
      <c r="M270" s="243" t="s">
        <v>110</v>
      </c>
      <c r="N270" s="404" t="s">
        <v>82</v>
      </c>
      <c r="O270" s="404" t="s">
        <v>1139</v>
      </c>
      <c r="P270" s="404">
        <v>1</v>
      </c>
      <c r="Q270" s="404" t="s">
        <v>1144</v>
      </c>
      <c r="R270" s="438" t="s">
        <v>1182</v>
      </c>
    </row>
    <row r="271" spans="9:18" ht="12.5" customHeight="1" x14ac:dyDescent="0.25">
      <c r="I271" s="403"/>
      <c r="J271" s="403"/>
      <c r="K271" s="404" t="s">
        <v>1170</v>
      </c>
      <c r="L271" s="243" t="s">
        <v>1351</v>
      </c>
      <c r="M271" s="243" t="s">
        <v>78</v>
      </c>
      <c r="N271" s="404" t="s">
        <v>82</v>
      </c>
      <c r="O271" s="404" t="s">
        <v>1139</v>
      </c>
      <c r="P271" s="404">
        <v>4</v>
      </c>
      <c r="Q271" s="404" t="s">
        <v>1144</v>
      </c>
      <c r="R271" s="438" t="s">
        <v>1182</v>
      </c>
    </row>
    <row r="272" spans="9:18" ht="12.5" customHeight="1" x14ac:dyDescent="0.25">
      <c r="I272" s="403"/>
      <c r="J272" s="403"/>
      <c r="K272" s="404" t="s">
        <v>1170</v>
      </c>
      <c r="L272" s="243" t="s">
        <v>1352</v>
      </c>
      <c r="M272" s="243" t="s">
        <v>92</v>
      </c>
      <c r="N272" s="404" t="s">
        <v>82</v>
      </c>
      <c r="O272" s="404" t="s">
        <v>1139</v>
      </c>
      <c r="P272" s="404">
        <v>3</v>
      </c>
      <c r="Q272" s="404" t="s">
        <v>1144</v>
      </c>
      <c r="R272" s="438" t="s">
        <v>1182</v>
      </c>
    </row>
    <row r="273" spans="9:18" ht="12.5" customHeight="1" x14ac:dyDescent="0.25">
      <c r="I273" s="403"/>
      <c r="J273" s="403"/>
      <c r="K273" s="404" t="s">
        <v>1170</v>
      </c>
      <c r="L273" s="243" t="s">
        <v>1353</v>
      </c>
      <c r="M273" s="243" t="s">
        <v>90</v>
      </c>
      <c r="N273" s="404" t="s">
        <v>82</v>
      </c>
      <c r="O273" s="404" t="s">
        <v>1139</v>
      </c>
      <c r="P273" s="404">
        <v>6</v>
      </c>
      <c r="Q273" s="404" t="s">
        <v>1144</v>
      </c>
      <c r="R273" s="438" t="s">
        <v>1182</v>
      </c>
    </row>
    <row r="274" spans="9:18" ht="12.5" customHeight="1" x14ac:dyDescent="0.25">
      <c r="I274" s="403"/>
      <c r="J274" s="403"/>
      <c r="K274" s="404" t="s">
        <v>1170</v>
      </c>
      <c r="L274" s="243" t="s">
        <v>1340</v>
      </c>
      <c r="M274" s="243" t="s">
        <v>90</v>
      </c>
      <c r="N274" s="404" t="s">
        <v>86</v>
      </c>
      <c r="O274" s="404" t="s">
        <v>1139</v>
      </c>
      <c r="P274" s="404">
        <v>1</v>
      </c>
      <c r="Q274" s="404" t="s">
        <v>1144</v>
      </c>
      <c r="R274" s="438" t="s">
        <v>1184</v>
      </c>
    </row>
    <row r="275" spans="9:18" ht="12.5" customHeight="1" x14ac:dyDescent="0.25">
      <c r="I275" s="403"/>
      <c r="J275" s="403"/>
      <c r="K275" s="404" t="s">
        <v>1170</v>
      </c>
      <c r="L275" s="243" t="s">
        <v>1339</v>
      </c>
      <c r="M275" s="243" t="s">
        <v>78</v>
      </c>
      <c r="N275" s="404" t="s">
        <v>85</v>
      </c>
      <c r="O275" s="404" t="s">
        <v>1139</v>
      </c>
      <c r="P275" s="404">
        <v>7</v>
      </c>
      <c r="Q275" s="404" t="s">
        <v>1144</v>
      </c>
      <c r="R275" s="438" t="s">
        <v>1184</v>
      </c>
    </row>
    <row r="276" spans="9:18" ht="12.5" customHeight="1" x14ac:dyDescent="0.25">
      <c r="I276" s="403"/>
      <c r="J276" s="403"/>
      <c r="K276" s="404" t="s">
        <v>1170</v>
      </c>
      <c r="L276" s="243" t="s">
        <v>1341</v>
      </c>
      <c r="M276" s="243" t="s">
        <v>78</v>
      </c>
      <c r="N276" s="404" t="s">
        <v>85</v>
      </c>
      <c r="O276" s="404" t="s">
        <v>1139</v>
      </c>
      <c r="P276" s="404">
        <v>3</v>
      </c>
      <c r="Q276" s="404" t="s">
        <v>1144</v>
      </c>
      <c r="R276" s="438" t="s">
        <v>1184</v>
      </c>
    </row>
    <row r="277" spans="9:18" ht="12.5" customHeight="1" x14ac:dyDescent="0.25">
      <c r="I277" s="403"/>
      <c r="J277" s="403"/>
      <c r="K277" s="404" t="s">
        <v>1170</v>
      </c>
      <c r="L277" s="243" t="s">
        <v>1342</v>
      </c>
      <c r="M277" s="243" t="s">
        <v>78</v>
      </c>
      <c r="N277" s="404" t="s">
        <v>84</v>
      </c>
      <c r="O277" s="404" t="s">
        <v>1139</v>
      </c>
      <c r="P277" s="404">
        <v>2</v>
      </c>
      <c r="Q277" s="404" t="s">
        <v>1144</v>
      </c>
      <c r="R277" s="438" t="s">
        <v>1184</v>
      </c>
    </row>
    <row r="278" spans="9:18" ht="12.5" customHeight="1" x14ac:dyDescent="0.25">
      <c r="I278" s="403"/>
      <c r="J278" s="403"/>
      <c r="K278" s="456" t="s">
        <v>1170</v>
      </c>
      <c r="L278" s="243" t="s">
        <v>1343</v>
      </c>
      <c r="M278" s="243" t="s">
        <v>94</v>
      </c>
      <c r="N278" s="456" t="s">
        <v>84</v>
      </c>
      <c r="O278" s="456" t="s">
        <v>1139</v>
      </c>
      <c r="P278" s="456">
        <v>1</v>
      </c>
      <c r="Q278" s="456" t="s">
        <v>1144</v>
      </c>
      <c r="R278" s="438" t="s">
        <v>1184</v>
      </c>
    </row>
    <row r="279" spans="9:18" ht="12.5" customHeight="1" x14ac:dyDescent="0.25">
      <c r="I279" s="403"/>
      <c r="J279" s="403"/>
      <c r="K279" s="404" t="s">
        <v>1170</v>
      </c>
      <c r="L279" s="243" t="s">
        <v>1344</v>
      </c>
      <c r="M279" s="243" t="s">
        <v>78</v>
      </c>
      <c r="N279" s="404" t="s">
        <v>80</v>
      </c>
      <c r="O279" s="404" t="s">
        <v>1139</v>
      </c>
      <c r="P279" s="404">
        <v>2</v>
      </c>
      <c r="Q279" s="404" t="s">
        <v>1144</v>
      </c>
      <c r="R279" s="438" t="s">
        <v>1184</v>
      </c>
    </row>
    <row r="280" spans="9:18" ht="12.5" customHeight="1" x14ac:dyDescent="0.25">
      <c r="I280" s="403"/>
      <c r="J280" s="403"/>
      <c r="K280" s="406" t="s">
        <v>1170</v>
      </c>
      <c r="L280" s="243" t="s">
        <v>1346</v>
      </c>
      <c r="M280" s="243" t="s">
        <v>92</v>
      </c>
      <c r="N280" s="406" t="s">
        <v>84</v>
      </c>
      <c r="O280" s="406" t="s">
        <v>1139</v>
      </c>
      <c r="P280" s="406">
        <v>2</v>
      </c>
      <c r="Q280" s="406" t="s">
        <v>1144</v>
      </c>
      <c r="R280" s="438" t="s">
        <v>1184</v>
      </c>
    </row>
    <row r="281" spans="9:18" ht="12.5" customHeight="1" x14ac:dyDescent="0.25">
      <c r="I281" s="403"/>
      <c r="J281" s="403"/>
      <c r="K281" s="404" t="s">
        <v>1170</v>
      </c>
      <c r="L281" s="243" t="s">
        <v>1347</v>
      </c>
      <c r="M281" s="243" t="s">
        <v>110</v>
      </c>
      <c r="N281" s="404" t="s">
        <v>84</v>
      </c>
      <c r="O281" s="404" t="s">
        <v>1139</v>
      </c>
      <c r="P281" s="404">
        <v>1</v>
      </c>
      <c r="Q281" s="404" t="s">
        <v>1144</v>
      </c>
      <c r="R281" s="438" t="s">
        <v>1184</v>
      </c>
    </row>
    <row r="282" spans="9:18" ht="12.5" customHeight="1" x14ac:dyDescent="0.25">
      <c r="I282" s="403"/>
      <c r="J282" s="403"/>
      <c r="K282" s="404" t="s">
        <v>1170</v>
      </c>
      <c r="L282" s="243" t="s">
        <v>1345</v>
      </c>
      <c r="M282" s="243" t="s">
        <v>90</v>
      </c>
      <c r="N282" s="404" t="s">
        <v>84</v>
      </c>
      <c r="O282" s="404" t="s">
        <v>1139</v>
      </c>
      <c r="P282" s="404">
        <v>7</v>
      </c>
      <c r="Q282" s="404" t="s">
        <v>1144</v>
      </c>
      <c r="R282" s="438" t="s">
        <v>1184</v>
      </c>
    </row>
    <row r="283" spans="9:18" ht="12.5" customHeight="1" x14ac:dyDescent="0.25">
      <c r="I283" s="403"/>
      <c r="J283" s="403"/>
      <c r="K283" s="404" t="s">
        <v>1170</v>
      </c>
      <c r="L283" s="243" t="s">
        <v>1356</v>
      </c>
      <c r="M283" s="243" t="s">
        <v>78</v>
      </c>
      <c r="N283" s="404" t="s">
        <v>86</v>
      </c>
      <c r="O283" s="404" t="s">
        <v>1139</v>
      </c>
      <c r="P283" s="404">
        <v>7</v>
      </c>
      <c r="Q283" s="404" t="s">
        <v>1144</v>
      </c>
      <c r="R283" s="438" t="s">
        <v>1184</v>
      </c>
    </row>
    <row r="284" spans="9:18" ht="12.5" customHeight="1" x14ac:dyDescent="0.25">
      <c r="I284" s="403"/>
      <c r="J284" s="403"/>
      <c r="K284" s="404" t="s">
        <v>1170</v>
      </c>
      <c r="L284" s="243" t="s">
        <v>1353</v>
      </c>
      <c r="M284" s="243" t="s">
        <v>90</v>
      </c>
      <c r="N284" s="404" t="s">
        <v>82</v>
      </c>
      <c r="O284" s="404" t="s">
        <v>1139</v>
      </c>
      <c r="P284" s="404">
        <v>6</v>
      </c>
      <c r="Q284" s="404" t="s">
        <v>1144</v>
      </c>
      <c r="R284" s="438" t="s">
        <v>1184</v>
      </c>
    </row>
    <row r="285" spans="9:18" ht="12.5" customHeight="1" x14ac:dyDescent="0.25">
      <c r="I285" s="403"/>
      <c r="J285" s="403"/>
      <c r="K285" s="404" t="s">
        <v>1170</v>
      </c>
      <c r="L285" s="243" t="s">
        <v>1356</v>
      </c>
      <c r="M285" s="243" t="s">
        <v>78</v>
      </c>
      <c r="N285" s="404" t="s">
        <v>86</v>
      </c>
      <c r="O285" s="404" t="s">
        <v>1139</v>
      </c>
      <c r="P285" s="404">
        <v>7</v>
      </c>
      <c r="Q285" s="404" t="s">
        <v>1144</v>
      </c>
      <c r="R285" s="438" t="s">
        <v>1184</v>
      </c>
    </row>
    <row r="286" spans="9:18" ht="12.5" customHeight="1" x14ac:dyDescent="0.25">
      <c r="I286" s="403"/>
      <c r="J286" s="403"/>
      <c r="K286" s="404" t="s">
        <v>1170</v>
      </c>
      <c r="L286" s="243" t="s">
        <v>1349</v>
      </c>
      <c r="M286" s="243" t="s">
        <v>94</v>
      </c>
      <c r="N286" s="404" t="s">
        <v>82</v>
      </c>
      <c r="O286" s="404" t="s">
        <v>1139</v>
      </c>
      <c r="P286" s="404">
        <v>2</v>
      </c>
      <c r="Q286" s="404" t="s">
        <v>1144</v>
      </c>
      <c r="R286" s="438" t="s">
        <v>1184</v>
      </c>
    </row>
    <row r="287" spans="9:18" ht="12.5" customHeight="1" x14ac:dyDescent="0.25">
      <c r="I287" s="403"/>
      <c r="J287" s="403"/>
      <c r="K287" s="404" t="s">
        <v>1170</v>
      </c>
      <c r="L287" s="243" t="s">
        <v>1351</v>
      </c>
      <c r="M287" s="243" t="s">
        <v>78</v>
      </c>
      <c r="N287" s="404" t="s">
        <v>82</v>
      </c>
      <c r="O287" s="404" t="s">
        <v>1139</v>
      </c>
      <c r="P287" s="404">
        <v>4</v>
      </c>
      <c r="Q287" s="404" t="s">
        <v>1144</v>
      </c>
      <c r="R287" s="438" t="s">
        <v>1184</v>
      </c>
    </row>
    <row r="288" spans="9:18" ht="12.5" customHeight="1" x14ac:dyDescent="0.25">
      <c r="I288" s="403"/>
      <c r="J288" s="403"/>
      <c r="K288" s="404" t="s">
        <v>1170</v>
      </c>
      <c r="L288" s="243" t="s">
        <v>1348</v>
      </c>
      <c r="M288" s="243" t="s">
        <v>90</v>
      </c>
      <c r="N288" s="404" t="s">
        <v>84</v>
      </c>
      <c r="O288" s="404" t="s">
        <v>1139</v>
      </c>
      <c r="P288" s="404">
        <v>1</v>
      </c>
      <c r="Q288" s="404" t="s">
        <v>1144</v>
      </c>
      <c r="R288" s="438" t="s">
        <v>1184</v>
      </c>
    </row>
    <row r="289" spans="9:18" ht="12.5" customHeight="1" x14ac:dyDescent="0.25">
      <c r="I289" s="403"/>
      <c r="J289" s="403"/>
      <c r="K289" s="404" t="s">
        <v>1170</v>
      </c>
      <c r="L289" s="243" t="s">
        <v>1350</v>
      </c>
      <c r="M289" s="243" t="s">
        <v>110</v>
      </c>
      <c r="N289" s="404" t="s">
        <v>82</v>
      </c>
      <c r="O289" s="404" t="s">
        <v>1139</v>
      </c>
      <c r="P289" s="404">
        <v>1</v>
      </c>
      <c r="Q289" s="404" t="s">
        <v>1144</v>
      </c>
      <c r="R289" s="438" t="s">
        <v>1184</v>
      </c>
    </row>
    <row r="290" spans="9:18" ht="12.5" customHeight="1" x14ac:dyDescent="0.25">
      <c r="I290" s="403"/>
      <c r="J290" s="403"/>
      <c r="K290" s="404" t="s">
        <v>1170</v>
      </c>
      <c r="L290" s="243" t="s">
        <v>1352</v>
      </c>
      <c r="M290" s="243" t="s">
        <v>92</v>
      </c>
      <c r="N290" s="404" t="s">
        <v>82</v>
      </c>
      <c r="O290" s="404" t="s">
        <v>1139</v>
      </c>
      <c r="P290" s="404">
        <v>3</v>
      </c>
      <c r="Q290" s="404" t="s">
        <v>1144</v>
      </c>
      <c r="R290" s="438" t="s">
        <v>1184</v>
      </c>
    </row>
    <row r="291" spans="9:18" ht="12.5" customHeight="1" x14ac:dyDescent="0.25">
      <c r="I291" s="403"/>
      <c r="J291" s="403"/>
      <c r="K291" s="404" t="s">
        <v>1170</v>
      </c>
      <c r="L291" s="243" t="s">
        <v>1357</v>
      </c>
      <c r="M291" s="243" t="s">
        <v>78</v>
      </c>
      <c r="N291" s="404" t="s">
        <v>89</v>
      </c>
      <c r="O291" s="404" t="s">
        <v>1140</v>
      </c>
      <c r="P291" s="404">
        <v>12</v>
      </c>
      <c r="Q291" s="404" t="s">
        <v>1144</v>
      </c>
      <c r="R291" s="438" t="s">
        <v>386</v>
      </c>
    </row>
    <row r="292" spans="9:18" ht="12.5" customHeight="1" x14ac:dyDescent="0.25">
      <c r="I292" s="403"/>
      <c r="J292" s="403"/>
      <c r="K292" s="404" t="s">
        <v>1170</v>
      </c>
      <c r="L292" s="243" t="s">
        <v>1358</v>
      </c>
      <c r="M292" s="243" t="s">
        <v>78</v>
      </c>
      <c r="N292" s="404" t="s">
        <v>88</v>
      </c>
      <c r="O292" s="404" t="s">
        <v>1140</v>
      </c>
      <c r="P292" s="404">
        <v>4</v>
      </c>
      <c r="Q292" s="404" t="s">
        <v>1144</v>
      </c>
      <c r="R292" s="438" t="s">
        <v>386</v>
      </c>
    </row>
    <row r="293" spans="9:18" ht="12.5" customHeight="1" x14ac:dyDescent="0.25">
      <c r="I293" s="403"/>
      <c r="J293" s="403"/>
      <c r="K293" s="404" t="s">
        <v>1170</v>
      </c>
      <c r="L293" s="243" t="s">
        <v>1359</v>
      </c>
      <c r="M293" s="243" t="s">
        <v>78</v>
      </c>
      <c r="N293" s="404" t="s">
        <v>88</v>
      </c>
      <c r="O293" s="404" t="s">
        <v>1140</v>
      </c>
      <c r="P293" s="404">
        <v>15</v>
      </c>
      <c r="Q293" s="404" t="s">
        <v>1144</v>
      </c>
      <c r="R293" s="438" t="s">
        <v>386</v>
      </c>
    </row>
    <row r="294" spans="9:18" ht="12.5" customHeight="1" x14ac:dyDescent="0.25">
      <c r="I294" s="403"/>
      <c r="J294" s="403"/>
      <c r="K294" s="404" t="s">
        <v>1170</v>
      </c>
      <c r="L294" s="243" t="s">
        <v>1357</v>
      </c>
      <c r="M294" s="243" t="s">
        <v>78</v>
      </c>
      <c r="N294" s="404" t="s">
        <v>89</v>
      </c>
      <c r="O294" s="404" t="s">
        <v>1140</v>
      </c>
      <c r="P294" s="404">
        <v>12</v>
      </c>
      <c r="Q294" s="404" t="s">
        <v>1144</v>
      </c>
      <c r="R294" s="438" t="s">
        <v>1182</v>
      </c>
    </row>
    <row r="295" spans="9:18" ht="12.5" customHeight="1" x14ac:dyDescent="0.25">
      <c r="I295" s="403"/>
      <c r="J295" s="403"/>
      <c r="K295" s="404" t="s">
        <v>1170</v>
      </c>
      <c r="L295" s="243" t="s">
        <v>1360</v>
      </c>
      <c r="M295" s="243" t="s">
        <v>78</v>
      </c>
      <c r="N295" s="404" t="s">
        <v>88</v>
      </c>
      <c r="O295" s="404" t="s">
        <v>1140</v>
      </c>
      <c r="P295" s="404">
        <v>19</v>
      </c>
      <c r="Q295" s="404" t="s">
        <v>1144</v>
      </c>
      <c r="R295" s="438" t="s">
        <v>1182</v>
      </c>
    </row>
    <row r="296" spans="9:18" ht="12.5" customHeight="1" x14ac:dyDescent="0.25">
      <c r="I296" s="403"/>
      <c r="J296" s="422"/>
      <c r="K296" s="404" t="s">
        <v>1170</v>
      </c>
      <c r="L296" s="243" t="s">
        <v>1361</v>
      </c>
      <c r="M296" s="243" t="s">
        <v>78</v>
      </c>
      <c r="N296" s="404" t="s">
        <v>89</v>
      </c>
      <c r="O296" s="404" t="s">
        <v>1140</v>
      </c>
      <c r="P296" s="404">
        <v>7</v>
      </c>
      <c r="Q296" s="404" t="s">
        <v>1144</v>
      </c>
      <c r="R296" s="438" t="s">
        <v>1184</v>
      </c>
    </row>
    <row r="297" spans="9:18" ht="12.5" customHeight="1" x14ac:dyDescent="0.25">
      <c r="I297" s="403"/>
      <c r="J297" s="422"/>
      <c r="K297" s="406" t="s">
        <v>1170</v>
      </c>
      <c r="L297" s="243" t="s">
        <v>1362</v>
      </c>
      <c r="M297" s="243" t="s">
        <v>78</v>
      </c>
      <c r="N297" s="406" t="s">
        <v>89</v>
      </c>
      <c r="O297" s="406" t="s">
        <v>1140</v>
      </c>
      <c r="P297" s="406">
        <v>5</v>
      </c>
      <c r="Q297" s="406" t="s">
        <v>1144</v>
      </c>
      <c r="R297" s="438" t="s">
        <v>1184</v>
      </c>
    </row>
    <row r="298" spans="9:18" ht="12.5" customHeight="1" x14ac:dyDescent="0.25">
      <c r="I298" s="403"/>
      <c r="J298" s="403"/>
      <c r="K298" s="404" t="s">
        <v>1170</v>
      </c>
      <c r="L298" s="243" t="s">
        <v>1363</v>
      </c>
      <c r="M298" s="243" t="s">
        <v>78</v>
      </c>
      <c r="N298" s="404" t="s">
        <v>88</v>
      </c>
      <c r="O298" s="404" t="s">
        <v>1140</v>
      </c>
      <c r="P298" s="404">
        <v>7</v>
      </c>
      <c r="Q298" s="404" t="s">
        <v>1144</v>
      </c>
      <c r="R298" s="420" t="s">
        <v>1184</v>
      </c>
    </row>
    <row r="299" spans="9:18" ht="12.5" customHeight="1" x14ac:dyDescent="0.25">
      <c r="I299" s="403"/>
      <c r="J299" s="403"/>
      <c r="K299" s="406" t="s">
        <v>1170</v>
      </c>
      <c r="L299" s="243" t="s">
        <v>1364</v>
      </c>
      <c r="M299" s="243" t="s">
        <v>78</v>
      </c>
      <c r="N299" s="406" t="s">
        <v>88</v>
      </c>
      <c r="O299" s="406" t="s">
        <v>1140</v>
      </c>
      <c r="P299" s="406">
        <v>6</v>
      </c>
      <c r="Q299" s="406" t="s">
        <v>1144</v>
      </c>
      <c r="R299" s="420" t="s">
        <v>1184</v>
      </c>
    </row>
    <row r="300" spans="9:18" ht="12.5" customHeight="1" x14ac:dyDescent="0.25">
      <c r="I300" s="403"/>
      <c r="J300" s="403"/>
      <c r="K300" s="406" t="s">
        <v>1170</v>
      </c>
      <c r="L300" s="243" t="s">
        <v>1364</v>
      </c>
      <c r="M300" s="243" t="s">
        <v>78</v>
      </c>
      <c r="N300" s="406" t="s">
        <v>88</v>
      </c>
      <c r="O300" s="406" t="s">
        <v>1140</v>
      </c>
      <c r="P300" s="406">
        <v>6</v>
      </c>
      <c r="Q300" s="406" t="s">
        <v>1144</v>
      </c>
      <c r="R300" s="420" t="s">
        <v>1184</v>
      </c>
    </row>
    <row r="301" spans="9:18" ht="12.5" customHeight="1" x14ac:dyDescent="0.25">
      <c r="I301" s="403"/>
      <c r="J301" s="403"/>
      <c r="K301" s="404" t="s">
        <v>1171</v>
      </c>
      <c r="L301" s="243" t="s">
        <v>1365</v>
      </c>
      <c r="M301" s="243" t="s">
        <v>90</v>
      </c>
      <c r="N301" s="404" t="s">
        <v>80</v>
      </c>
      <c r="O301" s="404" t="s">
        <v>1139</v>
      </c>
      <c r="P301" s="404">
        <v>5</v>
      </c>
      <c r="Q301" s="404" t="s">
        <v>1145</v>
      </c>
      <c r="R301" s="420" t="s">
        <v>364</v>
      </c>
    </row>
    <row r="302" spans="9:18" ht="12.5" customHeight="1" x14ac:dyDescent="0.25">
      <c r="I302" s="403"/>
      <c r="J302" s="403"/>
      <c r="K302" s="404" t="s">
        <v>1171</v>
      </c>
      <c r="L302" s="243" t="s">
        <v>1366</v>
      </c>
      <c r="M302" s="243" t="s">
        <v>94</v>
      </c>
      <c r="N302" s="404" t="s">
        <v>80</v>
      </c>
      <c r="O302" s="404" t="s">
        <v>1139</v>
      </c>
      <c r="P302" s="404">
        <v>1</v>
      </c>
      <c r="Q302" s="404" t="s">
        <v>1145</v>
      </c>
      <c r="R302" s="438" t="s">
        <v>364</v>
      </c>
    </row>
    <row r="303" spans="9:18" ht="12.5" customHeight="1" x14ac:dyDescent="0.25">
      <c r="I303" s="403"/>
      <c r="J303" s="403"/>
      <c r="K303" s="404" t="s">
        <v>1171</v>
      </c>
      <c r="L303" s="243" t="s">
        <v>1367</v>
      </c>
      <c r="M303" s="243" t="s">
        <v>94</v>
      </c>
      <c r="N303" s="404" t="s">
        <v>80</v>
      </c>
      <c r="O303" s="404" t="s">
        <v>1141</v>
      </c>
      <c r="P303" s="404">
        <v>1</v>
      </c>
      <c r="Q303" s="404" t="s">
        <v>1145</v>
      </c>
      <c r="R303" s="438" t="s">
        <v>364</v>
      </c>
    </row>
    <row r="304" spans="9:18" ht="12.5" customHeight="1" x14ac:dyDescent="0.25">
      <c r="I304" s="403"/>
      <c r="J304" s="403"/>
      <c r="K304" s="404" t="s">
        <v>1171</v>
      </c>
      <c r="L304" s="243" t="s">
        <v>1366</v>
      </c>
      <c r="M304" s="243" t="s">
        <v>94</v>
      </c>
      <c r="N304" s="404" t="s">
        <v>80</v>
      </c>
      <c r="O304" s="404" t="s">
        <v>1139</v>
      </c>
      <c r="P304" s="404">
        <v>1</v>
      </c>
      <c r="Q304" s="404" t="s">
        <v>1145</v>
      </c>
      <c r="R304" s="438" t="s">
        <v>364</v>
      </c>
    </row>
    <row r="305" spans="9:18" ht="12.5" customHeight="1" x14ac:dyDescent="0.25">
      <c r="I305" s="403"/>
      <c r="J305" s="403"/>
      <c r="K305" s="404" t="s">
        <v>1171</v>
      </c>
      <c r="L305" s="243" t="s">
        <v>1368</v>
      </c>
      <c r="M305" s="243" t="s">
        <v>90</v>
      </c>
      <c r="N305" s="404" t="s">
        <v>80</v>
      </c>
      <c r="O305" s="404" t="s">
        <v>1139</v>
      </c>
      <c r="P305" s="404">
        <v>1</v>
      </c>
      <c r="Q305" s="404" t="s">
        <v>1145</v>
      </c>
      <c r="R305" s="438" t="s">
        <v>364</v>
      </c>
    </row>
    <row r="306" spans="9:18" ht="12.5" customHeight="1" x14ac:dyDescent="0.25">
      <c r="I306" s="403"/>
      <c r="J306" s="403"/>
      <c r="K306" s="404" t="s">
        <v>1171</v>
      </c>
      <c r="L306" s="243" t="s">
        <v>1369</v>
      </c>
      <c r="M306" s="243" t="s">
        <v>94</v>
      </c>
      <c r="N306" s="404" t="s">
        <v>85</v>
      </c>
      <c r="O306" s="404" t="s">
        <v>1141</v>
      </c>
      <c r="P306" s="404">
        <v>1</v>
      </c>
      <c r="Q306" s="404" t="s">
        <v>1145</v>
      </c>
      <c r="R306" s="438" t="s">
        <v>946</v>
      </c>
    </row>
    <row r="307" spans="9:18" ht="12.5" customHeight="1" x14ac:dyDescent="0.25">
      <c r="I307" s="403"/>
      <c r="J307" s="403"/>
      <c r="K307" s="404" t="s">
        <v>1171</v>
      </c>
      <c r="L307" s="243" t="s">
        <v>1370</v>
      </c>
      <c r="M307" s="243" t="s">
        <v>90</v>
      </c>
      <c r="N307" s="404" t="s">
        <v>80</v>
      </c>
      <c r="O307" s="404" t="s">
        <v>1139</v>
      </c>
      <c r="P307" s="404">
        <v>4</v>
      </c>
      <c r="Q307" s="404" t="s">
        <v>1145</v>
      </c>
      <c r="R307" s="438" t="s">
        <v>364</v>
      </c>
    </row>
    <row r="308" spans="9:18" ht="12.5" customHeight="1" x14ac:dyDescent="0.25">
      <c r="I308" s="403"/>
      <c r="J308" s="403"/>
      <c r="K308" s="404" t="s">
        <v>1171</v>
      </c>
      <c r="L308" s="243" t="s">
        <v>1371</v>
      </c>
      <c r="M308" s="243" t="s">
        <v>78</v>
      </c>
      <c r="N308" s="404" t="s">
        <v>119</v>
      </c>
      <c r="O308" s="404" t="s">
        <v>1139</v>
      </c>
      <c r="P308" s="404">
        <v>1</v>
      </c>
      <c r="Q308" s="404" t="s">
        <v>1145</v>
      </c>
      <c r="R308" s="438" t="s">
        <v>364</v>
      </c>
    </row>
    <row r="309" spans="9:18" ht="12.5" customHeight="1" x14ac:dyDescent="0.25">
      <c r="I309" s="403"/>
      <c r="J309" s="403"/>
      <c r="K309" s="404" t="s">
        <v>1171</v>
      </c>
      <c r="L309" s="243" t="s">
        <v>1372</v>
      </c>
      <c r="M309" s="243" t="s">
        <v>90</v>
      </c>
      <c r="N309" s="404" t="s">
        <v>119</v>
      </c>
      <c r="O309" s="404" t="s">
        <v>1139</v>
      </c>
      <c r="P309" s="404">
        <v>2</v>
      </c>
      <c r="Q309" s="404" t="s">
        <v>1145</v>
      </c>
      <c r="R309" s="438" t="s">
        <v>364</v>
      </c>
    </row>
    <row r="310" spans="9:18" ht="12.5" customHeight="1" x14ac:dyDescent="0.25">
      <c r="I310" s="403"/>
      <c r="J310" s="403"/>
      <c r="K310" s="404" t="s">
        <v>1171</v>
      </c>
      <c r="L310" s="243" t="s">
        <v>1372</v>
      </c>
      <c r="M310" s="243" t="s">
        <v>90</v>
      </c>
      <c r="N310" s="404" t="s">
        <v>119</v>
      </c>
      <c r="O310" s="404" t="s">
        <v>1139</v>
      </c>
      <c r="P310" s="404">
        <v>2</v>
      </c>
      <c r="Q310" s="404" t="s">
        <v>1145</v>
      </c>
      <c r="R310" s="438" t="s">
        <v>364</v>
      </c>
    </row>
    <row r="311" spans="9:18" ht="12.5" customHeight="1" x14ac:dyDescent="0.25">
      <c r="I311" s="403"/>
      <c r="J311" s="403"/>
      <c r="K311" s="404" t="s">
        <v>1171</v>
      </c>
      <c r="L311" s="243" t="s">
        <v>1373</v>
      </c>
      <c r="M311" s="243" t="s">
        <v>94</v>
      </c>
      <c r="N311" s="404" t="s">
        <v>86</v>
      </c>
      <c r="O311" s="404" t="s">
        <v>1139</v>
      </c>
      <c r="P311" s="404">
        <v>4</v>
      </c>
      <c r="Q311" s="404" t="s">
        <v>1145</v>
      </c>
      <c r="R311" s="438" t="s">
        <v>946</v>
      </c>
    </row>
    <row r="312" spans="9:18" ht="12.5" customHeight="1" x14ac:dyDescent="0.25">
      <c r="I312" s="403"/>
      <c r="J312" s="403"/>
      <c r="K312" s="404" t="s">
        <v>1171</v>
      </c>
      <c r="L312" s="243" t="s">
        <v>1374</v>
      </c>
      <c r="M312" s="243" t="s">
        <v>90</v>
      </c>
      <c r="N312" s="404" t="s">
        <v>86</v>
      </c>
      <c r="O312" s="404" t="s">
        <v>1139</v>
      </c>
      <c r="P312" s="404">
        <v>3</v>
      </c>
      <c r="Q312" s="404" t="s">
        <v>1145</v>
      </c>
      <c r="R312" s="438" t="s">
        <v>946</v>
      </c>
    </row>
    <row r="313" spans="9:18" ht="12.5" customHeight="1" x14ac:dyDescent="0.25">
      <c r="I313" s="403"/>
      <c r="J313" s="403"/>
      <c r="K313" s="404" t="s">
        <v>1171</v>
      </c>
      <c r="L313" s="243" t="s">
        <v>1375</v>
      </c>
      <c r="M313" s="243" t="s">
        <v>90</v>
      </c>
      <c r="N313" s="404" t="s">
        <v>86</v>
      </c>
      <c r="O313" s="404" t="s">
        <v>1139</v>
      </c>
      <c r="P313" s="404">
        <v>7</v>
      </c>
      <c r="Q313" s="404" t="s">
        <v>1145</v>
      </c>
      <c r="R313" s="438" t="s">
        <v>946</v>
      </c>
    </row>
    <row r="314" spans="9:18" ht="12.5" customHeight="1" x14ac:dyDescent="0.25">
      <c r="I314" s="403"/>
      <c r="J314" s="403"/>
      <c r="K314" s="404" t="s">
        <v>1171</v>
      </c>
      <c r="L314" s="243" t="s">
        <v>1376</v>
      </c>
      <c r="M314" s="243" t="s">
        <v>94</v>
      </c>
      <c r="N314" s="404" t="s">
        <v>118</v>
      </c>
      <c r="O314" s="404" t="s">
        <v>1139</v>
      </c>
      <c r="P314" s="404">
        <v>2</v>
      </c>
      <c r="Q314" s="404" t="s">
        <v>1145</v>
      </c>
      <c r="R314" s="438" t="s">
        <v>364</v>
      </c>
    </row>
    <row r="315" spans="9:18" ht="12.5" customHeight="1" x14ac:dyDescent="0.25">
      <c r="I315" s="403"/>
      <c r="J315" s="403"/>
      <c r="K315" s="404" t="s">
        <v>1171</v>
      </c>
      <c r="L315" s="243" t="s">
        <v>1377</v>
      </c>
      <c r="M315" s="243" t="s">
        <v>90</v>
      </c>
      <c r="N315" s="404" t="s">
        <v>118</v>
      </c>
      <c r="O315" s="404" t="s">
        <v>1139</v>
      </c>
      <c r="P315" s="404">
        <v>2</v>
      </c>
      <c r="Q315" s="404" t="s">
        <v>1145</v>
      </c>
      <c r="R315" s="438" t="s">
        <v>364</v>
      </c>
    </row>
    <row r="316" spans="9:18" ht="12.5" customHeight="1" x14ac:dyDescent="0.25">
      <c r="I316" s="403"/>
      <c r="J316" s="403"/>
      <c r="K316" s="404" t="s">
        <v>1171</v>
      </c>
      <c r="L316" s="243" t="s">
        <v>1378</v>
      </c>
      <c r="M316" s="243" t="s">
        <v>94</v>
      </c>
      <c r="N316" s="404" t="s">
        <v>118</v>
      </c>
      <c r="O316" s="404" t="s">
        <v>1139</v>
      </c>
      <c r="P316" s="404">
        <v>1</v>
      </c>
      <c r="Q316" s="404" t="s">
        <v>1145</v>
      </c>
      <c r="R316" s="438" t="s">
        <v>364</v>
      </c>
    </row>
    <row r="317" spans="9:18" ht="12.5" customHeight="1" x14ac:dyDescent="0.25">
      <c r="I317" s="403"/>
      <c r="J317" s="403"/>
      <c r="K317" s="404" t="s">
        <v>1171</v>
      </c>
      <c r="L317" s="243" t="s">
        <v>1379</v>
      </c>
      <c r="M317" s="243" t="s">
        <v>90</v>
      </c>
      <c r="N317" s="404" t="s">
        <v>118</v>
      </c>
      <c r="O317" s="404" t="s">
        <v>1139</v>
      </c>
      <c r="P317" s="404">
        <v>4</v>
      </c>
      <c r="Q317" s="404" t="s">
        <v>1145</v>
      </c>
      <c r="R317" s="438" t="s">
        <v>364</v>
      </c>
    </row>
    <row r="318" spans="9:18" ht="12.5" customHeight="1" x14ac:dyDescent="0.25">
      <c r="I318" s="403"/>
      <c r="J318" s="403"/>
      <c r="K318" s="404" t="s">
        <v>1171</v>
      </c>
      <c r="L318" s="243" t="s">
        <v>1380</v>
      </c>
      <c r="M318" s="243" t="s">
        <v>90</v>
      </c>
      <c r="N318" s="404" t="s">
        <v>85</v>
      </c>
      <c r="O318" s="404" t="s">
        <v>1139</v>
      </c>
      <c r="P318" s="404">
        <v>5</v>
      </c>
      <c r="Q318" s="404" t="s">
        <v>1145</v>
      </c>
      <c r="R318" s="438" t="s">
        <v>946</v>
      </c>
    </row>
    <row r="319" spans="9:18" ht="12.5" customHeight="1" x14ac:dyDescent="0.25">
      <c r="I319" s="403"/>
      <c r="J319" s="403"/>
      <c r="K319" s="404" t="s">
        <v>1171</v>
      </c>
      <c r="L319" s="243" t="s">
        <v>1381</v>
      </c>
      <c r="M319" s="243" t="s">
        <v>92</v>
      </c>
      <c r="N319" s="404" t="s">
        <v>84</v>
      </c>
      <c r="O319" s="404" t="s">
        <v>1141</v>
      </c>
      <c r="P319" s="404">
        <v>1</v>
      </c>
      <c r="Q319" s="404" t="s">
        <v>1145</v>
      </c>
      <c r="R319" s="438" t="s">
        <v>946</v>
      </c>
    </row>
    <row r="320" spans="9:18" ht="12.5" customHeight="1" x14ac:dyDescent="0.25">
      <c r="I320" s="403"/>
      <c r="J320" s="403"/>
      <c r="K320" s="404" t="s">
        <v>1171</v>
      </c>
      <c r="L320" s="243" t="s">
        <v>1382</v>
      </c>
      <c r="M320" s="243" t="s">
        <v>90</v>
      </c>
      <c r="N320" s="404" t="s">
        <v>84</v>
      </c>
      <c r="O320" s="404" t="s">
        <v>1139</v>
      </c>
      <c r="P320" s="404">
        <v>3</v>
      </c>
      <c r="Q320" s="404" t="s">
        <v>1145</v>
      </c>
      <c r="R320" s="438" t="s">
        <v>946</v>
      </c>
    </row>
    <row r="321" spans="9:18" ht="12.5" customHeight="1" x14ac:dyDescent="0.25">
      <c r="I321" s="403"/>
      <c r="J321" s="403"/>
      <c r="K321" s="404" t="s">
        <v>1171</v>
      </c>
      <c r="L321" s="243" t="s">
        <v>1383</v>
      </c>
      <c r="M321" s="243" t="s">
        <v>90</v>
      </c>
      <c r="N321" s="404" t="s">
        <v>82</v>
      </c>
      <c r="O321" s="404" t="s">
        <v>1139</v>
      </c>
      <c r="P321" s="404">
        <v>2</v>
      </c>
      <c r="Q321" s="404" t="s">
        <v>1145</v>
      </c>
      <c r="R321" s="438" t="s">
        <v>946</v>
      </c>
    </row>
    <row r="322" spans="9:18" ht="12.5" customHeight="1" x14ac:dyDescent="0.25">
      <c r="I322" s="403"/>
      <c r="J322" s="403"/>
      <c r="K322" s="404" t="s">
        <v>1171</v>
      </c>
      <c r="L322" s="243" t="s">
        <v>1384</v>
      </c>
      <c r="M322" s="243" t="s">
        <v>90</v>
      </c>
      <c r="N322" s="404" t="s">
        <v>120</v>
      </c>
      <c r="O322" s="404" t="s">
        <v>1139</v>
      </c>
      <c r="P322" s="404">
        <v>1</v>
      </c>
      <c r="Q322" s="404" t="s">
        <v>1145</v>
      </c>
      <c r="R322" s="438" t="s">
        <v>946</v>
      </c>
    </row>
    <row r="323" spans="9:18" ht="12.5" customHeight="1" x14ac:dyDescent="0.25">
      <c r="I323" s="403"/>
      <c r="J323" s="403"/>
      <c r="K323" s="404" t="s">
        <v>1171</v>
      </c>
      <c r="L323" s="243" t="s">
        <v>1366</v>
      </c>
      <c r="M323" s="243" t="s">
        <v>94</v>
      </c>
      <c r="N323" s="404" t="s">
        <v>80</v>
      </c>
      <c r="O323" s="404" t="s">
        <v>1139</v>
      </c>
      <c r="P323" s="404">
        <v>1</v>
      </c>
      <c r="Q323" s="404" t="s">
        <v>1145</v>
      </c>
      <c r="R323" s="438" t="s">
        <v>1182</v>
      </c>
    </row>
    <row r="324" spans="9:18" ht="12.5" customHeight="1" x14ac:dyDescent="0.25">
      <c r="I324" s="403"/>
      <c r="J324" s="403"/>
      <c r="K324" s="404" t="s">
        <v>1171</v>
      </c>
      <c r="L324" s="243" t="s">
        <v>1367</v>
      </c>
      <c r="M324" s="243" t="s">
        <v>94</v>
      </c>
      <c r="N324" s="404" t="s">
        <v>80</v>
      </c>
      <c r="O324" s="404" t="s">
        <v>1141</v>
      </c>
      <c r="P324" s="404">
        <v>1</v>
      </c>
      <c r="Q324" s="404" t="s">
        <v>1145</v>
      </c>
      <c r="R324" s="438" t="s">
        <v>1182</v>
      </c>
    </row>
    <row r="325" spans="9:18" ht="12.5" customHeight="1" x14ac:dyDescent="0.25">
      <c r="I325" s="403"/>
      <c r="J325" s="403"/>
      <c r="K325" s="404" t="s">
        <v>1171</v>
      </c>
      <c r="L325" s="243" t="s">
        <v>1366</v>
      </c>
      <c r="M325" s="243" t="s">
        <v>94</v>
      </c>
      <c r="N325" s="404" t="s">
        <v>80</v>
      </c>
      <c r="O325" s="404" t="s">
        <v>1139</v>
      </c>
      <c r="P325" s="404">
        <v>1</v>
      </c>
      <c r="Q325" s="404" t="s">
        <v>1145</v>
      </c>
      <c r="R325" s="438" t="s">
        <v>1182</v>
      </c>
    </row>
    <row r="326" spans="9:18" ht="12.5" customHeight="1" x14ac:dyDescent="0.25">
      <c r="I326" s="403"/>
      <c r="J326" s="403"/>
      <c r="K326" s="404" t="s">
        <v>1171</v>
      </c>
      <c r="L326" s="243" t="s">
        <v>1368</v>
      </c>
      <c r="M326" s="243" t="s">
        <v>90</v>
      </c>
      <c r="N326" s="404" t="s">
        <v>80</v>
      </c>
      <c r="O326" s="404" t="s">
        <v>1139</v>
      </c>
      <c r="P326" s="404">
        <v>1</v>
      </c>
      <c r="Q326" s="404" t="s">
        <v>1145</v>
      </c>
      <c r="R326" s="438" t="s">
        <v>1182</v>
      </c>
    </row>
    <row r="327" spans="9:18" ht="12.5" customHeight="1" x14ac:dyDescent="0.25">
      <c r="I327" s="403"/>
      <c r="J327" s="403"/>
      <c r="K327" s="404" t="s">
        <v>1171</v>
      </c>
      <c r="L327" s="243" t="s">
        <v>1365</v>
      </c>
      <c r="M327" s="243" t="s">
        <v>90</v>
      </c>
      <c r="N327" s="404" t="s">
        <v>80</v>
      </c>
      <c r="O327" s="404" t="s">
        <v>1139</v>
      </c>
      <c r="P327" s="404">
        <v>5</v>
      </c>
      <c r="Q327" s="404" t="s">
        <v>1145</v>
      </c>
      <c r="R327" s="438" t="s">
        <v>1182</v>
      </c>
    </row>
    <row r="328" spans="9:18" ht="12.5" customHeight="1" x14ac:dyDescent="0.25">
      <c r="I328" s="403"/>
      <c r="J328" s="403"/>
      <c r="K328" s="404" t="s">
        <v>1171</v>
      </c>
      <c r="L328" s="243" t="s">
        <v>1369</v>
      </c>
      <c r="M328" s="243" t="s">
        <v>94</v>
      </c>
      <c r="N328" s="404" t="s">
        <v>85</v>
      </c>
      <c r="O328" s="404" t="s">
        <v>1141</v>
      </c>
      <c r="P328" s="404">
        <v>1</v>
      </c>
      <c r="Q328" s="404" t="s">
        <v>1145</v>
      </c>
      <c r="R328" s="438" t="s">
        <v>1182</v>
      </c>
    </row>
    <row r="329" spans="9:18" ht="12.5" customHeight="1" x14ac:dyDescent="0.25">
      <c r="I329" s="403"/>
      <c r="J329" s="403"/>
      <c r="K329" s="404" t="s">
        <v>1171</v>
      </c>
      <c r="L329" s="243" t="s">
        <v>1370</v>
      </c>
      <c r="M329" s="243" t="s">
        <v>90</v>
      </c>
      <c r="N329" s="404" t="s">
        <v>80</v>
      </c>
      <c r="O329" s="404" t="s">
        <v>1139</v>
      </c>
      <c r="P329" s="404">
        <v>4</v>
      </c>
      <c r="Q329" s="404" t="s">
        <v>1145</v>
      </c>
      <c r="R329" s="438" t="s">
        <v>1182</v>
      </c>
    </row>
    <row r="330" spans="9:18" ht="12.5" customHeight="1" x14ac:dyDescent="0.25">
      <c r="I330" s="403"/>
      <c r="J330" s="403"/>
      <c r="K330" s="404" t="s">
        <v>1171</v>
      </c>
      <c r="L330" s="243" t="s">
        <v>1371</v>
      </c>
      <c r="M330" s="243" t="s">
        <v>78</v>
      </c>
      <c r="N330" s="404" t="s">
        <v>119</v>
      </c>
      <c r="O330" s="404" t="s">
        <v>1139</v>
      </c>
      <c r="P330" s="404">
        <v>1</v>
      </c>
      <c r="Q330" s="404" t="s">
        <v>1145</v>
      </c>
      <c r="R330" s="438" t="s">
        <v>1182</v>
      </c>
    </row>
    <row r="331" spans="9:18" ht="12.5" customHeight="1" x14ac:dyDescent="0.25">
      <c r="I331" s="403"/>
      <c r="J331" s="403"/>
      <c r="K331" s="404" t="s">
        <v>1171</v>
      </c>
      <c r="L331" s="243" t="s">
        <v>1372</v>
      </c>
      <c r="M331" s="243" t="s">
        <v>90</v>
      </c>
      <c r="N331" s="404" t="s">
        <v>119</v>
      </c>
      <c r="O331" s="404" t="s">
        <v>1139</v>
      </c>
      <c r="P331" s="404">
        <v>2</v>
      </c>
      <c r="Q331" s="404" t="s">
        <v>1145</v>
      </c>
      <c r="R331" s="438" t="s">
        <v>1182</v>
      </c>
    </row>
    <row r="332" spans="9:18" ht="12.5" customHeight="1" x14ac:dyDescent="0.25">
      <c r="I332" s="403"/>
      <c r="J332" s="403"/>
      <c r="K332" s="404" t="s">
        <v>1171</v>
      </c>
      <c r="L332" s="243" t="s">
        <v>1372</v>
      </c>
      <c r="M332" s="243" t="s">
        <v>90</v>
      </c>
      <c r="N332" s="404" t="s">
        <v>119</v>
      </c>
      <c r="O332" s="404" t="s">
        <v>1139</v>
      </c>
      <c r="P332" s="404">
        <v>2</v>
      </c>
      <c r="Q332" s="404" t="s">
        <v>1145</v>
      </c>
      <c r="R332" s="438" t="s">
        <v>1182</v>
      </c>
    </row>
    <row r="333" spans="9:18" ht="12.5" customHeight="1" x14ac:dyDescent="0.25">
      <c r="I333" s="403"/>
      <c r="J333" s="403"/>
      <c r="K333" s="404" t="s">
        <v>1171</v>
      </c>
      <c r="L333" s="243" t="s">
        <v>1378</v>
      </c>
      <c r="M333" s="243" t="s">
        <v>94</v>
      </c>
      <c r="N333" s="404" t="s">
        <v>118</v>
      </c>
      <c r="O333" s="404" t="s">
        <v>1139</v>
      </c>
      <c r="P333" s="404">
        <v>1</v>
      </c>
      <c r="Q333" s="404" t="s">
        <v>1145</v>
      </c>
      <c r="R333" s="438" t="s">
        <v>1182</v>
      </c>
    </row>
    <row r="334" spans="9:18" ht="12.5" customHeight="1" x14ac:dyDescent="0.25">
      <c r="I334" s="403"/>
      <c r="J334" s="403"/>
      <c r="K334" s="404" t="s">
        <v>1171</v>
      </c>
      <c r="L334" s="243" t="s">
        <v>1373</v>
      </c>
      <c r="M334" s="243" t="s">
        <v>94</v>
      </c>
      <c r="N334" s="404" t="s">
        <v>86</v>
      </c>
      <c r="O334" s="404" t="s">
        <v>1139</v>
      </c>
      <c r="P334" s="404">
        <v>4</v>
      </c>
      <c r="Q334" s="404" t="s">
        <v>1145</v>
      </c>
      <c r="R334" s="438" t="s">
        <v>1182</v>
      </c>
    </row>
    <row r="335" spans="9:18" ht="12.5" customHeight="1" x14ac:dyDescent="0.25">
      <c r="I335" s="403"/>
      <c r="J335" s="403"/>
      <c r="K335" s="404" t="s">
        <v>1171</v>
      </c>
      <c r="L335" s="243" t="s">
        <v>1374</v>
      </c>
      <c r="M335" s="243" t="s">
        <v>90</v>
      </c>
      <c r="N335" s="404" t="s">
        <v>86</v>
      </c>
      <c r="O335" s="404" t="s">
        <v>1139</v>
      </c>
      <c r="P335" s="404">
        <v>3</v>
      </c>
      <c r="Q335" s="404" t="s">
        <v>1145</v>
      </c>
      <c r="R335" s="438" t="s">
        <v>1182</v>
      </c>
    </row>
    <row r="336" spans="9:18" ht="12.5" customHeight="1" x14ac:dyDescent="0.25">
      <c r="I336" s="403"/>
      <c r="J336" s="403"/>
      <c r="K336" s="404" t="s">
        <v>1171</v>
      </c>
      <c r="L336" s="243" t="s">
        <v>1375</v>
      </c>
      <c r="M336" s="243" t="s">
        <v>90</v>
      </c>
      <c r="N336" s="404" t="s">
        <v>86</v>
      </c>
      <c r="O336" s="404" t="s">
        <v>1139</v>
      </c>
      <c r="P336" s="404">
        <v>7</v>
      </c>
      <c r="Q336" s="404" t="s">
        <v>1145</v>
      </c>
      <c r="R336" s="438" t="s">
        <v>1182</v>
      </c>
    </row>
    <row r="337" spans="9:18" ht="12.5" customHeight="1" x14ac:dyDescent="0.25">
      <c r="I337" s="403"/>
      <c r="J337" s="403"/>
      <c r="K337" s="404" t="s">
        <v>1171</v>
      </c>
      <c r="L337" s="243" t="s">
        <v>1376</v>
      </c>
      <c r="M337" s="243" t="s">
        <v>94</v>
      </c>
      <c r="N337" s="404" t="s">
        <v>118</v>
      </c>
      <c r="O337" s="404" t="s">
        <v>1139</v>
      </c>
      <c r="P337" s="404">
        <v>2</v>
      </c>
      <c r="Q337" s="404" t="s">
        <v>1145</v>
      </c>
      <c r="R337" s="438" t="s">
        <v>1182</v>
      </c>
    </row>
    <row r="338" spans="9:18" ht="12.5" customHeight="1" x14ac:dyDescent="0.25">
      <c r="I338" s="403"/>
      <c r="J338" s="403"/>
      <c r="K338" s="404" t="s">
        <v>1171</v>
      </c>
      <c r="L338" s="243" t="s">
        <v>1379</v>
      </c>
      <c r="M338" s="243" t="s">
        <v>90</v>
      </c>
      <c r="N338" s="404" t="s">
        <v>118</v>
      </c>
      <c r="O338" s="404" t="s">
        <v>1139</v>
      </c>
      <c r="P338" s="404">
        <v>4</v>
      </c>
      <c r="Q338" s="404" t="s">
        <v>1145</v>
      </c>
      <c r="R338" s="438" t="s">
        <v>1182</v>
      </c>
    </row>
    <row r="339" spans="9:18" ht="12.5" customHeight="1" x14ac:dyDescent="0.25">
      <c r="I339" s="403"/>
      <c r="J339" s="403"/>
      <c r="K339" s="404" t="s">
        <v>1171</v>
      </c>
      <c r="L339" s="243" t="s">
        <v>1377</v>
      </c>
      <c r="M339" s="243" t="s">
        <v>90</v>
      </c>
      <c r="N339" s="404" t="s">
        <v>118</v>
      </c>
      <c r="O339" s="404" t="s">
        <v>1139</v>
      </c>
      <c r="P339" s="404">
        <v>2</v>
      </c>
      <c r="Q339" s="404" t="s">
        <v>1145</v>
      </c>
      <c r="R339" s="438" t="s">
        <v>1182</v>
      </c>
    </row>
    <row r="340" spans="9:18" ht="12.5" customHeight="1" x14ac:dyDescent="0.25">
      <c r="I340" s="403"/>
      <c r="J340" s="403"/>
      <c r="K340" s="404" t="s">
        <v>1171</v>
      </c>
      <c r="L340" s="243" t="s">
        <v>1380</v>
      </c>
      <c r="M340" s="243" t="s">
        <v>90</v>
      </c>
      <c r="N340" s="404" t="s">
        <v>85</v>
      </c>
      <c r="O340" s="404" t="s">
        <v>1139</v>
      </c>
      <c r="P340" s="404">
        <v>5</v>
      </c>
      <c r="Q340" s="404" t="s">
        <v>1145</v>
      </c>
      <c r="R340" s="438" t="s">
        <v>1182</v>
      </c>
    </row>
    <row r="341" spans="9:18" ht="12.5" customHeight="1" x14ac:dyDescent="0.25">
      <c r="I341" s="403"/>
      <c r="J341" s="403"/>
      <c r="K341" s="404" t="s">
        <v>1171</v>
      </c>
      <c r="L341" s="243" t="s">
        <v>1381</v>
      </c>
      <c r="M341" s="243" t="s">
        <v>92</v>
      </c>
      <c r="N341" s="404" t="s">
        <v>84</v>
      </c>
      <c r="O341" s="404" t="s">
        <v>1141</v>
      </c>
      <c r="P341" s="404">
        <v>1</v>
      </c>
      <c r="Q341" s="404" t="s">
        <v>1145</v>
      </c>
      <c r="R341" s="438" t="s">
        <v>1182</v>
      </c>
    </row>
    <row r="342" spans="9:18" ht="12.5" customHeight="1" x14ac:dyDescent="0.25">
      <c r="I342" s="403"/>
      <c r="J342" s="403"/>
      <c r="K342" s="404" t="s">
        <v>1171</v>
      </c>
      <c r="L342" s="243" t="s">
        <v>1382</v>
      </c>
      <c r="M342" s="243" t="s">
        <v>90</v>
      </c>
      <c r="N342" s="404" t="s">
        <v>84</v>
      </c>
      <c r="O342" s="404" t="s">
        <v>1139</v>
      </c>
      <c r="P342" s="404">
        <v>3</v>
      </c>
      <c r="Q342" s="404" t="s">
        <v>1145</v>
      </c>
      <c r="R342" s="438" t="s">
        <v>1182</v>
      </c>
    </row>
    <row r="343" spans="9:18" ht="12.5" customHeight="1" x14ac:dyDescent="0.25">
      <c r="I343" s="403"/>
      <c r="J343" s="403"/>
      <c r="K343" s="404" t="s">
        <v>1171</v>
      </c>
      <c r="L343" s="243" t="s">
        <v>1383</v>
      </c>
      <c r="M343" s="243" t="s">
        <v>90</v>
      </c>
      <c r="N343" s="404" t="s">
        <v>82</v>
      </c>
      <c r="O343" s="404" t="s">
        <v>1139</v>
      </c>
      <c r="P343" s="404">
        <v>2</v>
      </c>
      <c r="Q343" s="404" t="s">
        <v>1145</v>
      </c>
      <c r="R343" s="438" t="s">
        <v>1182</v>
      </c>
    </row>
    <row r="344" spans="9:18" ht="12.5" customHeight="1" x14ac:dyDescent="0.25">
      <c r="I344" s="403"/>
      <c r="J344" s="403"/>
      <c r="K344" s="404" t="s">
        <v>1171</v>
      </c>
      <c r="L344" s="243" t="s">
        <v>1384</v>
      </c>
      <c r="M344" s="243" t="s">
        <v>90</v>
      </c>
      <c r="N344" s="404" t="s">
        <v>120</v>
      </c>
      <c r="O344" s="404" t="s">
        <v>1139</v>
      </c>
      <c r="P344" s="404">
        <v>1</v>
      </c>
      <c r="Q344" s="404" t="s">
        <v>1145</v>
      </c>
      <c r="R344" s="438" t="s">
        <v>1182</v>
      </c>
    </row>
    <row r="345" spans="9:18" ht="12.5" customHeight="1" x14ac:dyDescent="0.25">
      <c r="I345" s="403"/>
      <c r="J345" s="403"/>
      <c r="K345" s="404" t="s">
        <v>1171</v>
      </c>
      <c r="L345" s="243" t="s">
        <v>1366</v>
      </c>
      <c r="M345" s="243" t="s">
        <v>94</v>
      </c>
      <c r="N345" s="404" t="s">
        <v>80</v>
      </c>
      <c r="O345" s="404" t="s">
        <v>1139</v>
      </c>
      <c r="P345" s="404">
        <v>1</v>
      </c>
      <c r="Q345" s="404" t="s">
        <v>1145</v>
      </c>
      <c r="R345" s="438" t="s">
        <v>1184</v>
      </c>
    </row>
    <row r="346" spans="9:18" ht="12.5" customHeight="1" x14ac:dyDescent="0.25">
      <c r="I346" s="403"/>
      <c r="J346" s="403"/>
      <c r="K346" s="404" t="s">
        <v>1171</v>
      </c>
      <c r="L346" s="243" t="s">
        <v>1367</v>
      </c>
      <c r="M346" s="243" t="s">
        <v>94</v>
      </c>
      <c r="N346" s="404" t="s">
        <v>80</v>
      </c>
      <c r="O346" s="404" t="s">
        <v>1141</v>
      </c>
      <c r="P346" s="404">
        <v>1</v>
      </c>
      <c r="Q346" s="404" t="s">
        <v>1145</v>
      </c>
      <c r="R346" s="438" t="s">
        <v>1184</v>
      </c>
    </row>
    <row r="347" spans="9:18" ht="12.5" customHeight="1" x14ac:dyDescent="0.25">
      <c r="I347" s="403"/>
      <c r="J347" s="403"/>
      <c r="K347" s="404" t="s">
        <v>1171</v>
      </c>
      <c r="L347" s="243" t="s">
        <v>1366</v>
      </c>
      <c r="M347" s="243" t="s">
        <v>94</v>
      </c>
      <c r="N347" s="404" t="s">
        <v>80</v>
      </c>
      <c r="O347" s="404" t="s">
        <v>1139</v>
      </c>
      <c r="P347" s="404">
        <v>1</v>
      </c>
      <c r="Q347" s="404" t="s">
        <v>1145</v>
      </c>
      <c r="R347" s="438" t="s">
        <v>1184</v>
      </c>
    </row>
    <row r="348" spans="9:18" ht="12.5" customHeight="1" x14ac:dyDescent="0.25">
      <c r="I348" s="403"/>
      <c r="J348" s="403"/>
      <c r="K348" s="404" t="s">
        <v>1171</v>
      </c>
      <c r="L348" s="243" t="s">
        <v>1368</v>
      </c>
      <c r="M348" s="243" t="s">
        <v>90</v>
      </c>
      <c r="N348" s="404" t="s">
        <v>80</v>
      </c>
      <c r="O348" s="404" t="s">
        <v>1139</v>
      </c>
      <c r="P348" s="404">
        <v>1</v>
      </c>
      <c r="Q348" s="404" t="s">
        <v>1145</v>
      </c>
      <c r="R348" s="438" t="s">
        <v>1184</v>
      </c>
    </row>
    <row r="349" spans="9:18" ht="12.5" customHeight="1" x14ac:dyDescent="0.25">
      <c r="I349" s="403"/>
      <c r="J349" s="403"/>
      <c r="K349" s="404" t="s">
        <v>1171</v>
      </c>
      <c r="L349" s="243" t="s">
        <v>1365</v>
      </c>
      <c r="M349" s="243" t="s">
        <v>90</v>
      </c>
      <c r="N349" s="404" t="s">
        <v>80</v>
      </c>
      <c r="O349" s="404" t="s">
        <v>1139</v>
      </c>
      <c r="P349" s="404">
        <v>5</v>
      </c>
      <c r="Q349" s="404" t="s">
        <v>1145</v>
      </c>
      <c r="R349" s="438" t="s">
        <v>1184</v>
      </c>
    </row>
    <row r="350" spans="9:18" ht="12.5" customHeight="1" x14ac:dyDescent="0.25">
      <c r="I350" s="403"/>
      <c r="J350" s="403"/>
      <c r="K350" s="404" t="s">
        <v>1171</v>
      </c>
      <c r="L350" s="243" t="s">
        <v>1369</v>
      </c>
      <c r="M350" s="243" t="s">
        <v>94</v>
      </c>
      <c r="N350" s="404" t="s">
        <v>85</v>
      </c>
      <c r="O350" s="404" t="s">
        <v>1141</v>
      </c>
      <c r="P350" s="404">
        <v>1</v>
      </c>
      <c r="Q350" s="404" t="s">
        <v>1145</v>
      </c>
      <c r="R350" s="438" t="s">
        <v>1184</v>
      </c>
    </row>
    <row r="351" spans="9:18" ht="12.5" customHeight="1" x14ac:dyDescent="0.25">
      <c r="I351" s="403"/>
      <c r="J351" s="403"/>
      <c r="K351" s="404" t="s">
        <v>1171</v>
      </c>
      <c r="L351" s="243" t="s">
        <v>1370</v>
      </c>
      <c r="M351" s="243" t="s">
        <v>90</v>
      </c>
      <c r="N351" s="404" t="s">
        <v>80</v>
      </c>
      <c r="O351" s="404" t="s">
        <v>1139</v>
      </c>
      <c r="P351" s="404">
        <v>4</v>
      </c>
      <c r="Q351" s="404" t="s">
        <v>1145</v>
      </c>
      <c r="R351" s="438" t="s">
        <v>1184</v>
      </c>
    </row>
    <row r="352" spans="9:18" ht="12.5" customHeight="1" x14ac:dyDescent="0.25">
      <c r="I352" s="403"/>
      <c r="J352" s="403"/>
      <c r="K352" s="404" t="s">
        <v>1171</v>
      </c>
      <c r="L352" s="243" t="s">
        <v>1371</v>
      </c>
      <c r="M352" s="243" t="s">
        <v>78</v>
      </c>
      <c r="N352" s="404" t="s">
        <v>119</v>
      </c>
      <c r="O352" s="404" t="s">
        <v>1139</v>
      </c>
      <c r="P352" s="404">
        <v>1</v>
      </c>
      <c r="Q352" s="404" t="s">
        <v>1145</v>
      </c>
      <c r="R352" s="438" t="s">
        <v>1184</v>
      </c>
    </row>
    <row r="353" spans="9:18" ht="12.5" customHeight="1" x14ac:dyDescent="0.25">
      <c r="I353" s="403"/>
      <c r="J353" s="403"/>
      <c r="K353" s="404" t="s">
        <v>1171</v>
      </c>
      <c r="L353" s="243" t="s">
        <v>1372</v>
      </c>
      <c r="M353" s="243" t="s">
        <v>90</v>
      </c>
      <c r="N353" s="404" t="s">
        <v>119</v>
      </c>
      <c r="O353" s="404" t="s">
        <v>1139</v>
      </c>
      <c r="P353" s="404">
        <v>2</v>
      </c>
      <c r="Q353" s="404" t="s">
        <v>1145</v>
      </c>
      <c r="R353" s="438" t="s">
        <v>1184</v>
      </c>
    </row>
    <row r="354" spans="9:18" ht="12.5" customHeight="1" x14ac:dyDescent="0.25">
      <c r="I354" s="403"/>
      <c r="J354" s="403"/>
      <c r="K354" s="404" t="s">
        <v>1171</v>
      </c>
      <c r="L354" s="243" t="s">
        <v>1372</v>
      </c>
      <c r="M354" s="243" t="s">
        <v>90</v>
      </c>
      <c r="N354" s="404" t="s">
        <v>119</v>
      </c>
      <c r="O354" s="404" t="s">
        <v>1139</v>
      </c>
      <c r="P354" s="404">
        <v>2</v>
      </c>
      <c r="Q354" s="404" t="s">
        <v>1145</v>
      </c>
      <c r="R354" s="438" t="s">
        <v>1184</v>
      </c>
    </row>
    <row r="355" spans="9:18" ht="12.5" customHeight="1" x14ac:dyDescent="0.25">
      <c r="I355" s="403"/>
      <c r="J355" s="403"/>
      <c r="K355" s="404" t="s">
        <v>1171</v>
      </c>
      <c r="L355" s="243" t="s">
        <v>1378</v>
      </c>
      <c r="M355" s="243" t="s">
        <v>94</v>
      </c>
      <c r="N355" s="404" t="s">
        <v>118</v>
      </c>
      <c r="O355" s="404" t="s">
        <v>1139</v>
      </c>
      <c r="P355" s="404">
        <v>1</v>
      </c>
      <c r="Q355" s="404" t="s">
        <v>1145</v>
      </c>
      <c r="R355" s="438" t="s">
        <v>1184</v>
      </c>
    </row>
    <row r="356" spans="9:18" ht="12.5" customHeight="1" x14ac:dyDescent="0.25">
      <c r="I356" s="403"/>
      <c r="J356" s="403"/>
      <c r="K356" s="404" t="s">
        <v>1171</v>
      </c>
      <c r="L356" s="243" t="s">
        <v>1373</v>
      </c>
      <c r="M356" s="243" t="s">
        <v>94</v>
      </c>
      <c r="N356" s="404" t="s">
        <v>86</v>
      </c>
      <c r="O356" s="404" t="s">
        <v>1139</v>
      </c>
      <c r="P356" s="404">
        <v>4</v>
      </c>
      <c r="Q356" s="404" t="s">
        <v>1145</v>
      </c>
      <c r="R356" s="438" t="s">
        <v>1184</v>
      </c>
    </row>
    <row r="357" spans="9:18" ht="12.5" customHeight="1" x14ac:dyDescent="0.25">
      <c r="I357" s="403"/>
      <c r="J357" s="403"/>
      <c r="K357" s="404" t="s">
        <v>1171</v>
      </c>
      <c r="L357" s="243" t="s">
        <v>1374</v>
      </c>
      <c r="M357" s="243" t="s">
        <v>90</v>
      </c>
      <c r="N357" s="404" t="s">
        <v>86</v>
      </c>
      <c r="O357" s="404" t="s">
        <v>1139</v>
      </c>
      <c r="P357" s="404">
        <v>3</v>
      </c>
      <c r="Q357" s="404" t="s">
        <v>1145</v>
      </c>
      <c r="R357" s="438" t="s">
        <v>1184</v>
      </c>
    </row>
    <row r="358" spans="9:18" ht="12.5" customHeight="1" x14ac:dyDescent="0.25">
      <c r="I358" s="403"/>
      <c r="J358" s="403"/>
      <c r="K358" s="404" t="s">
        <v>1171</v>
      </c>
      <c r="L358" s="243" t="s">
        <v>1375</v>
      </c>
      <c r="M358" s="243" t="s">
        <v>90</v>
      </c>
      <c r="N358" s="404" t="s">
        <v>86</v>
      </c>
      <c r="O358" s="404" t="s">
        <v>1139</v>
      </c>
      <c r="P358" s="404">
        <v>7</v>
      </c>
      <c r="Q358" s="404" t="s">
        <v>1145</v>
      </c>
      <c r="R358" s="438" t="s">
        <v>1184</v>
      </c>
    </row>
    <row r="359" spans="9:18" ht="12.5" customHeight="1" x14ac:dyDescent="0.25">
      <c r="I359" s="403"/>
      <c r="J359" s="403"/>
      <c r="K359" s="404" t="s">
        <v>1171</v>
      </c>
      <c r="L359" s="243" t="s">
        <v>1376</v>
      </c>
      <c r="M359" s="243" t="s">
        <v>94</v>
      </c>
      <c r="N359" s="404" t="s">
        <v>118</v>
      </c>
      <c r="O359" s="404" t="s">
        <v>1139</v>
      </c>
      <c r="P359" s="404">
        <v>2</v>
      </c>
      <c r="Q359" s="404" t="s">
        <v>1145</v>
      </c>
      <c r="R359" s="438" t="s">
        <v>1184</v>
      </c>
    </row>
    <row r="360" spans="9:18" ht="12.5" customHeight="1" x14ac:dyDescent="0.25">
      <c r="I360" s="403"/>
      <c r="J360" s="403"/>
      <c r="K360" s="404" t="s">
        <v>1171</v>
      </c>
      <c r="L360" s="243" t="s">
        <v>1379</v>
      </c>
      <c r="M360" s="243" t="s">
        <v>90</v>
      </c>
      <c r="N360" s="404" t="s">
        <v>118</v>
      </c>
      <c r="O360" s="404" t="s">
        <v>1139</v>
      </c>
      <c r="P360" s="404">
        <v>4</v>
      </c>
      <c r="Q360" s="404" t="s">
        <v>1145</v>
      </c>
      <c r="R360" s="438" t="s">
        <v>1184</v>
      </c>
    </row>
    <row r="361" spans="9:18" ht="12.5" customHeight="1" x14ac:dyDescent="0.25">
      <c r="I361" s="403"/>
      <c r="J361" s="403"/>
      <c r="K361" s="404" t="s">
        <v>1171</v>
      </c>
      <c r="L361" s="243" t="s">
        <v>1377</v>
      </c>
      <c r="M361" s="243" t="s">
        <v>90</v>
      </c>
      <c r="N361" s="404" t="s">
        <v>118</v>
      </c>
      <c r="O361" s="404" t="s">
        <v>1139</v>
      </c>
      <c r="P361" s="404">
        <v>2</v>
      </c>
      <c r="Q361" s="404" t="s">
        <v>1145</v>
      </c>
      <c r="R361" s="438" t="s">
        <v>1184</v>
      </c>
    </row>
    <row r="362" spans="9:18" ht="12.5" customHeight="1" x14ac:dyDescent="0.25">
      <c r="I362" s="403"/>
      <c r="J362" s="422"/>
      <c r="K362" s="404" t="s">
        <v>1171</v>
      </c>
      <c r="L362" s="243" t="s">
        <v>1380</v>
      </c>
      <c r="M362" s="243" t="s">
        <v>90</v>
      </c>
      <c r="N362" s="404" t="s">
        <v>85</v>
      </c>
      <c r="O362" s="404" t="s">
        <v>1139</v>
      </c>
      <c r="P362" s="404">
        <v>5</v>
      </c>
      <c r="Q362" s="404" t="s">
        <v>1145</v>
      </c>
      <c r="R362" s="438" t="s">
        <v>1184</v>
      </c>
    </row>
    <row r="363" spans="9:18" ht="12.5" customHeight="1" x14ac:dyDescent="0.25">
      <c r="I363" s="403"/>
      <c r="J363" s="422"/>
      <c r="K363" s="404" t="s">
        <v>1171</v>
      </c>
      <c r="L363" s="243" t="s">
        <v>1381</v>
      </c>
      <c r="M363" s="243" t="s">
        <v>92</v>
      </c>
      <c r="N363" s="404" t="s">
        <v>84</v>
      </c>
      <c r="O363" s="404" t="s">
        <v>1141</v>
      </c>
      <c r="P363" s="404">
        <v>1</v>
      </c>
      <c r="Q363" s="404" t="s">
        <v>1145</v>
      </c>
      <c r="R363" s="438" t="s">
        <v>1184</v>
      </c>
    </row>
    <row r="364" spans="9:18" ht="12.5" customHeight="1" x14ac:dyDescent="0.25">
      <c r="I364" s="403"/>
      <c r="J364" s="422"/>
      <c r="K364" s="404" t="s">
        <v>1171</v>
      </c>
      <c r="L364" s="243" t="s">
        <v>1382</v>
      </c>
      <c r="M364" s="243" t="s">
        <v>90</v>
      </c>
      <c r="N364" s="404" t="s">
        <v>84</v>
      </c>
      <c r="O364" s="404" t="s">
        <v>1139</v>
      </c>
      <c r="P364" s="404">
        <v>3</v>
      </c>
      <c r="Q364" s="404" t="s">
        <v>1145</v>
      </c>
      <c r="R364" s="438" t="s">
        <v>1184</v>
      </c>
    </row>
    <row r="365" spans="9:18" ht="12.5" customHeight="1" x14ac:dyDescent="0.25">
      <c r="I365" s="403"/>
      <c r="J365" s="422"/>
      <c r="K365" s="404" t="s">
        <v>1171</v>
      </c>
      <c r="L365" s="243" t="s">
        <v>1383</v>
      </c>
      <c r="M365" s="243" t="s">
        <v>90</v>
      </c>
      <c r="N365" s="404" t="s">
        <v>82</v>
      </c>
      <c r="O365" s="404" t="s">
        <v>1139</v>
      </c>
      <c r="P365" s="404">
        <v>2</v>
      </c>
      <c r="Q365" s="404" t="s">
        <v>1145</v>
      </c>
      <c r="R365" s="438" t="s">
        <v>1184</v>
      </c>
    </row>
    <row r="366" spans="9:18" ht="12.5" customHeight="1" x14ac:dyDescent="0.25">
      <c r="I366" s="403"/>
      <c r="J366" s="422"/>
      <c r="K366" s="404" t="s">
        <v>1171</v>
      </c>
      <c r="L366" s="243" t="s">
        <v>1384</v>
      </c>
      <c r="M366" s="243" t="s">
        <v>90</v>
      </c>
      <c r="N366" s="404" t="s">
        <v>120</v>
      </c>
      <c r="O366" s="404" t="s">
        <v>1139</v>
      </c>
      <c r="P366" s="404">
        <v>1</v>
      </c>
      <c r="Q366" s="404" t="s">
        <v>1145</v>
      </c>
      <c r="R366" s="438" t="s">
        <v>1184</v>
      </c>
    </row>
  </sheetData>
  <mergeCells count="1">
    <mergeCell ref="T2:U2"/>
  </mergeCells>
  <phoneticPr fontId="29" type="noConversion"/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96E47-3071-4AC9-B4F2-ACED16E5F51B}">
  <sheetPr codeName="Sheet3">
    <pageSetUpPr fitToPage="1"/>
  </sheetPr>
  <dimension ref="A1:BM31"/>
  <sheetViews>
    <sheetView workbookViewId="0">
      <pane xSplit="6" ySplit="4" topLeftCell="G5" activePane="bottomRight" state="frozen"/>
      <selection pane="topRight" activeCell="G1" sqref="G1"/>
      <selection pane="bottomLeft" activeCell="A5" sqref="A5"/>
      <selection pane="bottomRight" activeCell="G24" sqref="G24"/>
    </sheetView>
  </sheetViews>
  <sheetFormatPr defaultRowHeight="14.5" outlineLevelCol="1" x14ac:dyDescent="0.35"/>
  <cols>
    <col min="1" max="1" width="10.90625" style="2" bestFit="1" customWidth="1"/>
    <col min="2" max="2" width="6.6328125" style="2" customWidth="1"/>
    <col min="3" max="3" width="7.90625" style="2" bestFit="1" customWidth="1"/>
    <col min="4" max="4" width="4.453125" style="2" bestFit="1" customWidth="1"/>
    <col min="5" max="5" width="6.1796875" style="2" bestFit="1" customWidth="1"/>
    <col min="6" max="6" width="9.36328125" style="2" bestFit="1" customWidth="1"/>
    <col min="7" max="7" width="6.54296875" style="2" bestFit="1" customWidth="1"/>
    <col min="8" max="8" width="6.6328125" style="2" hidden="1" customWidth="1" outlineLevel="1"/>
    <col min="9" max="9" width="6.6328125" style="2" bestFit="1" customWidth="1" collapsed="1"/>
    <col min="10" max="10" width="6.6328125" style="2" hidden="1" customWidth="1" outlineLevel="1"/>
    <col min="11" max="11" width="6.54296875" style="2" bestFit="1" customWidth="1" collapsed="1"/>
    <col min="12" max="12" width="6.6328125" style="2" hidden="1" customWidth="1" outlineLevel="1"/>
    <col min="13" max="13" width="6.6328125" style="2" bestFit="1" customWidth="1" collapsed="1"/>
    <col min="14" max="14" width="6.6328125" style="2" hidden="1" customWidth="1" outlineLevel="1"/>
    <col min="15" max="15" width="6.54296875" style="2" bestFit="1" customWidth="1" collapsed="1"/>
    <col min="16" max="16" width="6.6328125" style="2" hidden="1" customWidth="1" outlineLevel="1"/>
    <col min="17" max="17" width="6.6328125" style="2" bestFit="1" customWidth="1" collapsed="1"/>
    <col min="18" max="18" width="6.6328125" style="2" hidden="1" customWidth="1" outlineLevel="1"/>
    <col min="19" max="19" width="6.54296875" style="2" bestFit="1" customWidth="1" collapsed="1"/>
    <col min="20" max="20" width="6.6328125" style="2" hidden="1" customWidth="1" outlineLevel="1"/>
    <col min="21" max="21" width="6.54296875" style="2" bestFit="1" customWidth="1" collapsed="1"/>
    <col min="22" max="22" width="6.6328125" style="2" hidden="1" customWidth="1" outlineLevel="1"/>
    <col min="23" max="23" width="6.54296875" style="2" bestFit="1" customWidth="1" collapsed="1"/>
    <col min="24" max="24" width="6.6328125" style="2" hidden="1" customWidth="1" outlineLevel="1"/>
    <col min="25" max="25" width="6.54296875" style="2" bestFit="1" customWidth="1" collapsed="1"/>
    <col min="26" max="26" width="6.6328125" style="2" hidden="1" customWidth="1" outlineLevel="1"/>
    <col min="27" max="27" width="6.6328125" style="2" bestFit="1" customWidth="1" collapsed="1"/>
    <col min="28" max="28" width="6.6328125" style="2" hidden="1" customWidth="1" outlineLevel="1"/>
    <col min="29" max="29" width="6.453125" style="2" bestFit="1" customWidth="1" collapsed="1"/>
    <col min="30" max="30" width="6.6328125" style="2" hidden="1" customWidth="1" outlineLevel="1"/>
    <col min="31" max="31" width="6.7265625" style="2" bestFit="1" customWidth="1" collapsed="1"/>
    <col min="32" max="32" width="6.6328125" style="2" hidden="1" customWidth="1" outlineLevel="1"/>
    <col min="33" max="33" width="6.453125" style="2" bestFit="1" customWidth="1" collapsed="1"/>
    <col min="34" max="34" width="6.6328125" style="2" hidden="1" customWidth="1" outlineLevel="1"/>
    <col min="35" max="35" width="6.7265625" style="2" bestFit="1" customWidth="1" collapsed="1"/>
    <col min="36" max="36" width="6.6328125" style="2" hidden="1" customWidth="1" outlineLevel="1"/>
    <col min="37" max="37" width="6.54296875" style="2" bestFit="1" customWidth="1" collapsed="1"/>
    <col min="38" max="38" width="8.7265625" style="2" hidden="1" customWidth="1" outlineLevel="1"/>
    <col min="39" max="39" width="8.81640625" style="2" bestFit="1" customWidth="1" collapsed="1"/>
    <col min="40" max="40" width="8.7265625" style="2" hidden="1" customWidth="1" outlineLevel="1"/>
    <col min="41" max="41" width="8.7265625" style="2" collapsed="1"/>
    <col min="42" max="42" width="8.7265625" style="2" hidden="1" customWidth="1" outlineLevel="1"/>
    <col min="43" max="43" width="8.81640625" style="2" bestFit="1" customWidth="1" collapsed="1"/>
    <col min="44" max="44" width="8.7265625" style="2" hidden="1" customWidth="1" outlineLevel="1"/>
    <col min="45" max="45" width="8.7265625" style="2" collapsed="1"/>
    <col min="46" max="46" width="8.7265625" style="2" hidden="1" customWidth="1" outlineLevel="1"/>
    <col min="47" max="47" width="8.81640625" style="2" bestFit="1" customWidth="1" collapsed="1"/>
    <col min="48" max="48" width="8.7265625" style="2" hidden="1" customWidth="1" outlineLevel="1"/>
    <col min="49" max="49" width="8.7265625" style="2" collapsed="1"/>
    <col min="50" max="50" width="8.7265625" style="2" hidden="1" customWidth="1" outlineLevel="1"/>
    <col min="51" max="51" width="8.81640625" style="2" bestFit="1" customWidth="1" collapsed="1"/>
    <col min="52" max="52" width="8.7265625" style="2" hidden="1" customWidth="1" outlineLevel="1"/>
    <col min="53" max="53" width="8.7265625" style="2" collapsed="1"/>
    <col min="54" max="54" width="8.7265625" style="2" hidden="1" customWidth="1" outlineLevel="1"/>
    <col min="55" max="55" width="8.81640625" style="2" bestFit="1" customWidth="1" collapsed="1"/>
    <col min="56" max="56" width="8.7265625" style="2" hidden="1" customWidth="1" outlineLevel="1"/>
    <col min="57" max="57" width="8.7265625" style="2" collapsed="1"/>
    <col min="58" max="58" width="8.7265625" style="2" hidden="1" customWidth="1" outlineLevel="1"/>
    <col min="59" max="59" width="8.81640625" style="2" bestFit="1" customWidth="1" collapsed="1"/>
    <col min="60" max="60" width="8.7265625" style="2" hidden="1" customWidth="1" outlineLevel="1"/>
    <col min="61" max="61" width="8.7265625" style="2" collapsed="1"/>
    <col min="62" max="62" width="8.7265625" style="2" hidden="1" customWidth="1" outlineLevel="1"/>
    <col min="63" max="63" width="8.7265625" style="2" collapsed="1"/>
    <col min="64" max="64" width="8.7265625" style="2" hidden="1" customWidth="1" outlineLevel="1"/>
    <col min="65" max="65" width="8.7265625" style="2" collapsed="1"/>
    <col min="66" max="16384" width="8.7265625" style="2"/>
  </cols>
  <sheetData>
    <row r="1" spans="1:64" ht="24" thickBot="1" x14ac:dyDescent="0.6">
      <c r="A1" s="633" t="s">
        <v>0</v>
      </c>
      <c r="B1" s="633"/>
      <c r="C1" s="633"/>
      <c r="D1" s="633"/>
      <c r="E1" s="633"/>
      <c r="F1" s="633"/>
      <c r="G1" s="633"/>
      <c r="H1" s="633"/>
      <c r="I1" s="633"/>
      <c r="J1" s="633"/>
      <c r="K1" s="633"/>
      <c r="L1" s="633"/>
      <c r="M1" s="633"/>
      <c r="N1" s="1"/>
      <c r="O1" s="1"/>
      <c r="P1" s="1"/>
      <c r="Q1" s="1"/>
      <c r="R1" s="1"/>
    </row>
    <row r="2" spans="1:64" ht="16" thickTop="1" x14ac:dyDescent="0.35">
      <c r="A2" s="634" t="s">
        <v>1</v>
      </c>
      <c r="B2" s="637" t="s">
        <v>2</v>
      </c>
      <c r="C2" s="640" t="s">
        <v>3</v>
      </c>
      <c r="D2" s="640" t="s">
        <v>4</v>
      </c>
      <c r="E2" s="643" t="s">
        <v>5</v>
      </c>
      <c r="F2" s="643" t="s">
        <v>6</v>
      </c>
      <c r="G2" s="647" t="s">
        <v>7</v>
      </c>
      <c r="H2" s="648"/>
      <c r="I2" s="648"/>
      <c r="J2" s="648"/>
      <c r="K2" s="648"/>
      <c r="L2" s="648"/>
      <c r="M2" s="648"/>
      <c r="N2" s="648"/>
      <c r="O2" s="648"/>
      <c r="P2" s="648"/>
      <c r="Q2" s="648"/>
      <c r="R2" s="649"/>
      <c r="S2" s="650" t="s">
        <v>8</v>
      </c>
      <c r="T2" s="650"/>
      <c r="U2" s="650"/>
      <c r="V2" s="650"/>
      <c r="W2" s="650"/>
      <c r="X2" s="650"/>
      <c r="Y2" s="650" t="s">
        <v>9</v>
      </c>
      <c r="Z2" s="650"/>
      <c r="AA2" s="650"/>
      <c r="AB2" s="650"/>
      <c r="AC2" s="650"/>
      <c r="AD2" s="650"/>
      <c r="AE2" s="650"/>
      <c r="AF2" s="650"/>
      <c r="AG2" s="650"/>
      <c r="AH2" s="650"/>
      <c r="AI2" s="650"/>
      <c r="AJ2" s="650"/>
    </row>
    <row r="3" spans="1:64" ht="15.5" x14ac:dyDescent="0.35">
      <c r="A3" s="635"/>
      <c r="B3" s="638"/>
      <c r="C3" s="641"/>
      <c r="D3" s="641"/>
      <c r="E3" s="644"/>
      <c r="F3" s="644"/>
      <c r="G3" s="654">
        <v>46181</v>
      </c>
      <c r="H3" s="655"/>
      <c r="I3" s="655"/>
      <c r="J3" s="655"/>
      <c r="K3" s="655">
        <f>G3+1</f>
        <v>46182</v>
      </c>
      <c r="L3" s="655"/>
      <c r="M3" s="655"/>
      <c r="N3" s="655"/>
      <c r="O3" s="655">
        <f>K3+1</f>
        <v>46183</v>
      </c>
      <c r="P3" s="655"/>
      <c r="Q3" s="655"/>
      <c r="R3" s="655"/>
      <c r="S3" s="655">
        <v>46181</v>
      </c>
      <c r="T3" s="655"/>
      <c r="U3" s="655">
        <f>S3+1</f>
        <v>46182</v>
      </c>
      <c r="V3" s="655"/>
      <c r="W3" s="655">
        <f>U3+1</f>
        <v>46183</v>
      </c>
      <c r="X3" s="655"/>
      <c r="Y3" s="655">
        <v>46182</v>
      </c>
      <c r="Z3" s="655"/>
      <c r="AA3" s="655"/>
      <c r="AB3" s="655"/>
      <c r="AC3" s="655">
        <f>Y3+1</f>
        <v>46183</v>
      </c>
      <c r="AD3" s="655"/>
      <c r="AE3" s="655"/>
      <c r="AF3" s="655"/>
      <c r="AG3" s="655">
        <f>AC3+1</f>
        <v>46184</v>
      </c>
      <c r="AH3" s="655"/>
      <c r="AI3" s="655"/>
      <c r="AJ3" s="655"/>
    </row>
    <row r="4" spans="1:64" ht="13" customHeight="1" x14ac:dyDescent="0.35">
      <c r="A4" s="636"/>
      <c r="B4" s="639"/>
      <c r="C4" s="642"/>
      <c r="D4" s="642"/>
      <c r="E4" s="645"/>
      <c r="F4" s="646"/>
      <c r="G4" s="3" t="s">
        <v>13</v>
      </c>
      <c r="H4" s="4" t="s">
        <v>14</v>
      </c>
      <c r="I4" s="3" t="s">
        <v>15</v>
      </c>
      <c r="J4" s="4" t="s">
        <v>14</v>
      </c>
      <c r="K4" s="3" t="s">
        <v>13</v>
      </c>
      <c r="L4" s="4" t="s">
        <v>14</v>
      </c>
      <c r="M4" s="3" t="s">
        <v>15</v>
      </c>
      <c r="N4" s="4" t="s">
        <v>14</v>
      </c>
      <c r="O4" s="3" t="s">
        <v>13</v>
      </c>
      <c r="P4" s="4" t="s">
        <v>14</v>
      </c>
      <c r="Q4" s="3" t="s">
        <v>15</v>
      </c>
      <c r="R4" s="4" t="s">
        <v>14</v>
      </c>
      <c r="S4" s="3" t="s">
        <v>13</v>
      </c>
      <c r="T4" s="4" t="s">
        <v>14</v>
      </c>
      <c r="U4" s="3" t="s">
        <v>13</v>
      </c>
      <c r="V4" s="4" t="s">
        <v>14</v>
      </c>
      <c r="W4" s="3" t="s">
        <v>13</v>
      </c>
      <c r="X4" s="4" t="s">
        <v>14</v>
      </c>
      <c r="Y4" s="3" t="s">
        <v>13</v>
      </c>
      <c r="Z4" s="4" t="s">
        <v>14</v>
      </c>
      <c r="AA4" s="3" t="s">
        <v>15</v>
      </c>
      <c r="AB4" s="4" t="s">
        <v>14</v>
      </c>
      <c r="AC4" s="3" t="s">
        <v>13</v>
      </c>
      <c r="AD4" s="4" t="s">
        <v>14</v>
      </c>
      <c r="AE4" s="3" t="s">
        <v>15</v>
      </c>
      <c r="AF4" s="4" t="s">
        <v>14</v>
      </c>
      <c r="AG4" s="3" t="s">
        <v>13</v>
      </c>
      <c r="AH4" s="4" t="s">
        <v>14</v>
      </c>
      <c r="AI4" s="3" t="s">
        <v>15</v>
      </c>
      <c r="AJ4" s="4" t="s">
        <v>14</v>
      </c>
    </row>
    <row r="5" spans="1:64" ht="29" x14ac:dyDescent="0.35">
      <c r="A5" s="6" t="s">
        <v>16</v>
      </c>
      <c r="B5" s="7" t="s">
        <v>17</v>
      </c>
      <c r="C5" s="8" t="s">
        <v>18</v>
      </c>
      <c r="D5" s="9">
        <v>7</v>
      </c>
      <c r="E5" s="10">
        <v>2</v>
      </c>
      <c r="F5" s="11">
        <f>D5-E5</f>
        <v>5</v>
      </c>
      <c r="G5" s="12">
        <v>2</v>
      </c>
      <c r="H5" s="13">
        <v>1</v>
      </c>
      <c r="I5" s="12">
        <v>1</v>
      </c>
      <c r="J5" s="13">
        <v>1</v>
      </c>
      <c r="K5" s="12">
        <v>1</v>
      </c>
      <c r="L5" s="13"/>
      <c r="M5" s="12">
        <v>1</v>
      </c>
      <c r="N5" s="13"/>
      <c r="O5" s="12"/>
      <c r="P5" s="13"/>
      <c r="Q5" s="12"/>
      <c r="R5" s="13"/>
      <c r="S5" s="12">
        <v>2</v>
      </c>
      <c r="T5" s="13"/>
      <c r="U5" s="12">
        <v>3</v>
      </c>
      <c r="V5" s="13"/>
      <c r="W5" s="12">
        <v>2</v>
      </c>
      <c r="X5" s="13"/>
      <c r="Y5" s="12"/>
      <c r="Z5" s="13"/>
      <c r="AA5" s="12"/>
      <c r="AB5" s="13"/>
      <c r="AC5" s="12"/>
      <c r="AD5" s="13"/>
      <c r="AE5" s="12"/>
      <c r="AF5" s="13"/>
      <c r="AG5" s="12"/>
      <c r="AH5" s="13"/>
      <c r="AI5" s="12">
        <v>7</v>
      </c>
      <c r="AJ5" s="13"/>
    </row>
    <row r="6" spans="1:64" ht="29" x14ac:dyDescent="0.35">
      <c r="A6" s="6" t="s">
        <v>19</v>
      </c>
      <c r="B6" s="7" t="s">
        <v>17</v>
      </c>
      <c r="C6" s="8" t="s">
        <v>20</v>
      </c>
      <c r="D6" s="9">
        <v>2</v>
      </c>
      <c r="E6" s="10"/>
      <c r="F6" s="11">
        <f t="shared" ref="F6:F11" si="0">D6-E6</f>
        <v>2</v>
      </c>
      <c r="G6" s="12"/>
      <c r="H6" s="13"/>
      <c r="I6" s="12"/>
      <c r="J6" s="13"/>
      <c r="K6" s="12">
        <v>1</v>
      </c>
      <c r="L6" s="13"/>
      <c r="M6" s="12">
        <v>1</v>
      </c>
      <c r="N6" s="13"/>
      <c r="O6" s="12"/>
      <c r="P6" s="13"/>
      <c r="Q6" s="12"/>
      <c r="R6" s="13"/>
      <c r="S6" s="12"/>
      <c r="T6" s="13"/>
      <c r="U6" s="12"/>
      <c r="V6" s="13"/>
      <c r="W6" s="12"/>
      <c r="X6" s="13"/>
      <c r="Y6" s="12"/>
      <c r="Z6" s="13"/>
      <c r="AA6" s="12"/>
      <c r="AB6" s="13"/>
      <c r="AC6" s="12"/>
      <c r="AD6" s="13"/>
      <c r="AE6" s="12"/>
      <c r="AF6" s="13"/>
      <c r="AG6" s="12">
        <v>2</v>
      </c>
      <c r="AH6" s="13"/>
      <c r="AI6" s="12"/>
      <c r="AJ6" s="13"/>
    </row>
    <row r="7" spans="1:64" ht="29" x14ac:dyDescent="0.35">
      <c r="A7" s="6" t="s">
        <v>16</v>
      </c>
      <c r="B7" s="7" t="s">
        <v>21</v>
      </c>
      <c r="C7" s="8" t="s">
        <v>18</v>
      </c>
      <c r="D7" s="9">
        <v>1</v>
      </c>
      <c r="E7" s="10"/>
      <c r="F7" s="11">
        <f t="shared" si="0"/>
        <v>1</v>
      </c>
      <c r="G7" s="12">
        <v>1</v>
      </c>
      <c r="H7" s="13"/>
      <c r="I7" s="12"/>
      <c r="J7" s="13">
        <v>1</v>
      </c>
      <c r="K7" s="12"/>
      <c r="L7" s="13"/>
      <c r="M7" s="12"/>
      <c r="N7" s="13"/>
      <c r="O7" s="12"/>
      <c r="P7" s="13"/>
      <c r="Q7" s="12"/>
      <c r="R7" s="13"/>
      <c r="S7" s="12">
        <v>1</v>
      </c>
      <c r="T7" s="13"/>
      <c r="U7" s="12"/>
      <c r="V7" s="13"/>
      <c r="W7" s="12"/>
      <c r="X7" s="13"/>
      <c r="Y7" s="12"/>
      <c r="Z7" s="13"/>
      <c r="AA7" s="12"/>
      <c r="AB7" s="13"/>
      <c r="AC7" s="12"/>
      <c r="AD7" s="13"/>
      <c r="AE7" s="12">
        <v>1</v>
      </c>
      <c r="AF7" s="13"/>
      <c r="AG7" s="12"/>
      <c r="AH7" s="13"/>
      <c r="AI7" s="12"/>
      <c r="AJ7" s="13"/>
    </row>
    <row r="8" spans="1:64" ht="29" x14ac:dyDescent="0.35">
      <c r="A8" s="6" t="s">
        <v>16</v>
      </c>
      <c r="B8" s="7" t="s">
        <v>22</v>
      </c>
      <c r="C8" s="8" t="s">
        <v>18</v>
      </c>
      <c r="D8" s="9">
        <v>5</v>
      </c>
      <c r="E8" s="10">
        <v>1</v>
      </c>
      <c r="F8" s="11">
        <f t="shared" si="0"/>
        <v>4</v>
      </c>
      <c r="G8" s="12"/>
      <c r="H8" s="13"/>
      <c r="I8" s="12">
        <v>1</v>
      </c>
      <c r="J8" s="13"/>
      <c r="K8" s="12">
        <v>2</v>
      </c>
      <c r="L8" s="13"/>
      <c r="M8" s="12">
        <v>1</v>
      </c>
      <c r="N8" s="13"/>
      <c r="O8" s="12"/>
      <c r="P8" s="13"/>
      <c r="Q8" s="12"/>
      <c r="R8" s="13"/>
      <c r="S8" s="12">
        <v>1</v>
      </c>
      <c r="T8" s="13"/>
      <c r="U8" s="12">
        <v>2</v>
      </c>
      <c r="V8" s="13"/>
      <c r="W8" s="12">
        <v>2</v>
      </c>
      <c r="X8" s="13"/>
      <c r="Y8" s="12"/>
      <c r="Z8" s="13"/>
      <c r="AA8" s="12"/>
      <c r="AB8" s="13"/>
      <c r="AC8" s="12"/>
      <c r="AD8" s="13"/>
      <c r="AE8" s="12">
        <v>3</v>
      </c>
      <c r="AF8" s="13"/>
      <c r="AG8" s="12">
        <v>2</v>
      </c>
      <c r="AH8" s="13"/>
      <c r="AI8" s="12"/>
      <c r="AJ8" s="13"/>
    </row>
    <row r="9" spans="1:64" ht="29" x14ac:dyDescent="0.35">
      <c r="A9" s="6" t="s">
        <v>16</v>
      </c>
      <c r="B9" s="7" t="s">
        <v>23</v>
      </c>
      <c r="C9" s="8" t="s">
        <v>18</v>
      </c>
      <c r="D9" s="9">
        <v>2</v>
      </c>
      <c r="E9" s="10">
        <v>2</v>
      </c>
      <c r="F9" s="11">
        <f t="shared" si="0"/>
        <v>0</v>
      </c>
      <c r="G9" s="12"/>
      <c r="H9" s="13"/>
      <c r="I9" s="12"/>
      <c r="J9" s="13"/>
      <c r="K9" s="12"/>
      <c r="L9" s="13"/>
      <c r="M9" s="12"/>
      <c r="N9" s="13"/>
      <c r="O9" s="12"/>
      <c r="P9" s="13"/>
      <c r="Q9" s="12"/>
      <c r="R9" s="13"/>
      <c r="S9" s="12">
        <v>2</v>
      </c>
      <c r="T9" s="13"/>
      <c r="U9" s="12"/>
      <c r="V9" s="13"/>
      <c r="W9" s="12"/>
      <c r="X9" s="13"/>
      <c r="Y9" s="12"/>
      <c r="Z9" s="13"/>
      <c r="AA9" s="12"/>
      <c r="AB9" s="13"/>
      <c r="AC9" s="12">
        <v>2</v>
      </c>
      <c r="AD9" s="13"/>
      <c r="AE9" s="12"/>
      <c r="AF9" s="13"/>
      <c r="AG9" s="12"/>
      <c r="AH9" s="13"/>
      <c r="AI9" s="12"/>
      <c r="AJ9" s="13"/>
    </row>
    <row r="10" spans="1:64" ht="29" x14ac:dyDescent="0.35">
      <c r="A10" s="6" t="s">
        <v>16</v>
      </c>
      <c r="B10" s="7" t="s">
        <v>24</v>
      </c>
      <c r="C10" s="8" t="s">
        <v>18</v>
      </c>
      <c r="D10" s="9">
        <v>12</v>
      </c>
      <c r="E10" s="10">
        <v>4</v>
      </c>
      <c r="F10" s="11">
        <f t="shared" si="0"/>
        <v>8</v>
      </c>
      <c r="G10" s="12">
        <v>2</v>
      </c>
      <c r="H10" s="13">
        <v>2</v>
      </c>
      <c r="I10" s="12">
        <v>2</v>
      </c>
      <c r="J10" s="13"/>
      <c r="K10" s="12">
        <v>2</v>
      </c>
      <c r="L10" s="13"/>
      <c r="M10" s="12">
        <v>2</v>
      </c>
      <c r="N10" s="13"/>
      <c r="O10" s="12"/>
      <c r="P10" s="13"/>
      <c r="Q10" s="12"/>
      <c r="R10" s="13"/>
      <c r="S10" s="12">
        <v>5</v>
      </c>
      <c r="T10" s="13"/>
      <c r="U10" s="12">
        <v>5</v>
      </c>
      <c r="V10" s="13"/>
      <c r="W10" s="12">
        <v>2</v>
      </c>
      <c r="X10" s="13"/>
      <c r="Y10" s="12">
        <v>2</v>
      </c>
      <c r="Z10" s="13"/>
      <c r="AA10" s="12">
        <v>2</v>
      </c>
      <c r="AB10" s="13"/>
      <c r="AC10" s="12">
        <v>2</v>
      </c>
      <c r="AD10" s="13"/>
      <c r="AE10" s="12">
        <v>2</v>
      </c>
      <c r="AF10" s="13"/>
      <c r="AG10" s="12">
        <v>2</v>
      </c>
      <c r="AH10" s="13"/>
      <c r="AI10" s="12">
        <v>2</v>
      </c>
      <c r="AJ10" s="13"/>
    </row>
    <row r="11" spans="1:64" ht="29.5" thickBot="1" x14ac:dyDescent="0.4">
      <c r="A11" s="14" t="s">
        <v>16</v>
      </c>
      <c r="B11" s="15" t="s">
        <v>25</v>
      </c>
      <c r="C11" s="16" t="s">
        <v>18</v>
      </c>
      <c r="D11" s="17">
        <v>4</v>
      </c>
      <c r="E11" s="18">
        <v>2</v>
      </c>
      <c r="F11" s="19">
        <f t="shared" si="0"/>
        <v>2</v>
      </c>
      <c r="G11" s="12">
        <v>1</v>
      </c>
      <c r="H11" s="13"/>
      <c r="I11" s="12">
        <v>1</v>
      </c>
      <c r="J11" s="13">
        <v>2</v>
      </c>
      <c r="K11" s="12"/>
      <c r="L11" s="13"/>
      <c r="M11" s="12"/>
      <c r="N11" s="13"/>
      <c r="O11" s="12"/>
      <c r="P11" s="13"/>
      <c r="Q11" s="12"/>
      <c r="R11" s="13"/>
      <c r="S11" s="12">
        <v>2</v>
      </c>
      <c r="T11" s="13">
        <v>2</v>
      </c>
      <c r="U11" s="12">
        <v>2</v>
      </c>
      <c r="V11" s="13"/>
      <c r="W11" s="12"/>
      <c r="X11" s="13"/>
      <c r="Y11" s="12">
        <v>2</v>
      </c>
      <c r="Z11" s="13"/>
      <c r="AA11" s="12">
        <v>2</v>
      </c>
      <c r="AB11" s="13"/>
      <c r="AC11" s="12"/>
      <c r="AD11" s="13"/>
      <c r="AE11" s="12"/>
      <c r="AF11" s="13"/>
      <c r="AG11" s="12"/>
      <c r="AH11" s="13"/>
      <c r="AI11" s="12"/>
      <c r="AJ11" s="13"/>
    </row>
    <row r="12" spans="1:64" s="20" customFormat="1" ht="15" thickTop="1" x14ac:dyDescent="0.35">
      <c r="H12" s="20">
        <f>SUM(H5:H11)</f>
        <v>3</v>
      </c>
      <c r="J12" s="20">
        <f>SUM(J5:J11)</f>
        <v>4</v>
      </c>
      <c r="L12" s="20">
        <f>SUM(L5:L11)</f>
        <v>0</v>
      </c>
      <c r="N12" s="20">
        <f>SUM(N5:N11)</f>
        <v>0</v>
      </c>
      <c r="P12" s="20">
        <f>SUM(P5:P11)</f>
        <v>0</v>
      </c>
      <c r="R12" s="20">
        <f>SUM(R5:R11)</f>
        <v>0</v>
      </c>
      <c r="T12" s="20">
        <f>SUM(T5:T11)</f>
        <v>2</v>
      </c>
      <c r="V12" s="20">
        <f>SUM(V5:V11)</f>
        <v>0</v>
      </c>
      <c r="X12" s="20">
        <f>SUM(X5:X11)</f>
        <v>0</v>
      </c>
      <c r="Z12" s="20">
        <f>SUM(Z5:Z11)</f>
        <v>0</v>
      </c>
      <c r="AB12" s="20">
        <f>SUM(AB5:AB11)</f>
        <v>0</v>
      </c>
      <c r="AD12" s="20">
        <f>SUM(AD5:AD11)</f>
        <v>0</v>
      </c>
      <c r="AF12" s="20">
        <f>SUM(AF5:AF11)</f>
        <v>0</v>
      </c>
      <c r="AH12" s="20">
        <f>SUM(AH5:AH11)</f>
        <v>0</v>
      </c>
      <c r="AJ12" s="20">
        <f>SUM(AJ5:AJ11)</f>
        <v>0</v>
      </c>
    </row>
    <row r="14" spans="1:64" s="21" customFormat="1" ht="73" hidden="1" thickTop="1" x14ac:dyDescent="0.35">
      <c r="G14" s="22" t="s">
        <v>7</v>
      </c>
      <c r="H14" s="23" t="s">
        <v>7</v>
      </c>
      <c r="I14" s="23" t="s">
        <v>7</v>
      </c>
      <c r="J14" s="23" t="s">
        <v>7</v>
      </c>
      <c r="K14" s="23" t="s">
        <v>7</v>
      </c>
      <c r="L14" s="23" t="s">
        <v>7</v>
      </c>
      <c r="M14" s="23" t="s">
        <v>7</v>
      </c>
      <c r="N14" s="23" t="s">
        <v>7</v>
      </c>
      <c r="O14" s="23" t="s">
        <v>7</v>
      </c>
      <c r="P14" s="23" t="s">
        <v>7</v>
      </c>
      <c r="Q14" s="23" t="s">
        <v>7</v>
      </c>
      <c r="R14" s="23" t="s">
        <v>7</v>
      </c>
      <c r="S14" s="24" t="s">
        <v>8</v>
      </c>
      <c r="T14" s="24" t="s">
        <v>8</v>
      </c>
      <c r="U14" s="24" t="s">
        <v>8</v>
      </c>
      <c r="V14" s="24" t="s">
        <v>8</v>
      </c>
      <c r="W14" s="24" t="s">
        <v>8</v>
      </c>
      <c r="X14" s="24" t="s">
        <v>8</v>
      </c>
      <c r="Y14" s="24" t="s">
        <v>9</v>
      </c>
      <c r="Z14" s="24" t="s">
        <v>9</v>
      </c>
      <c r="AA14" s="24" t="s">
        <v>9</v>
      </c>
      <c r="AB14" s="24" t="s">
        <v>9</v>
      </c>
      <c r="AC14" s="24" t="s">
        <v>9</v>
      </c>
      <c r="AD14" s="24" t="s">
        <v>9</v>
      </c>
      <c r="AE14" s="24" t="s">
        <v>9</v>
      </c>
      <c r="AF14" s="24" t="s">
        <v>9</v>
      </c>
      <c r="AG14" s="24" t="s">
        <v>9</v>
      </c>
      <c r="AH14" s="24" t="s">
        <v>9</v>
      </c>
      <c r="AI14" s="24" t="s">
        <v>9</v>
      </c>
      <c r="AJ14" s="24" t="s">
        <v>9</v>
      </c>
      <c r="AK14" s="25" t="s">
        <v>10</v>
      </c>
      <c r="AL14" s="26" t="s">
        <v>10</v>
      </c>
      <c r="AM14" s="26" t="s">
        <v>10</v>
      </c>
      <c r="AN14" s="26" t="s">
        <v>10</v>
      </c>
      <c r="AO14" s="26" t="s">
        <v>10</v>
      </c>
      <c r="AP14" s="26" t="s">
        <v>10</v>
      </c>
      <c r="AQ14" s="26" t="s">
        <v>10</v>
      </c>
      <c r="AR14" s="26" t="s">
        <v>10</v>
      </c>
      <c r="AS14" s="26" t="s">
        <v>10</v>
      </c>
      <c r="AT14" s="26" t="s">
        <v>10</v>
      </c>
      <c r="AU14" s="26" t="s">
        <v>10</v>
      </c>
      <c r="AV14" s="27" t="s">
        <v>10</v>
      </c>
      <c r="AW14" s="24" t="s">
        <v>11</v>
      </c>
      <c r="AX14" s="24" t="s">
        <v>11</v>
      </c>
      <c r="AY14" s="24" t="s">
        <v>11</v>
      </c>
      <c r="AZ14" s="24" t="s">
        <v>11</v>
      </c>
      <c r="BA14" s="24" t="s">
        <v>11</v>
      </c>
      <c r="BB14" s="24" t="s">
        <v>11</v>
      </c>
      <c r="BC14" s="24" t="s">
        <v>11</v>
      </c>
      <c r="BD14" s="24" t="s">
        <v>11</v>
      </c>
      <c r="BE14" s="24" t="s">
        <v>11</v>
      </c>
      <c r="BF14" s="24" t="s">
        <v>11</v>
      </c>
      <c r="BG14" s="24" t="s">
        <v>11</v>
      </c>
      <c r="BH14" s="24" t="s">
        <v>11</v>
      </c>
      <c r="BI14" s="24" t="s">
        <v>12</v>
      </c>
      <c r="BJ14" s="24" t="s">
        <v>12</v>
      </c>
      <c r="BK14" s="24" t="s">
        <v>12</v>
      </c>
      <c r="BL14" s="24" t="s">
        <v>12</v>
      </c>
    </row>
    <row r="15" spans="1:64" ht="15.5" hidden="1" x14ac:dyDescent="0.35">
      <c r="G15" s="28">
        <v>46181</v>
      </c>
      <c r="H15" s="29">
        <v>46181</v>
      </c>
      <c r="I15" s="29">
        <v>46181</v>
      </c>
      <c r="J15" s="29">
        <v>46181</v>
      </c>
      <c r="K15" s="29">
        <v>46182</v>
      </c>
      <c r="L15" s="29">
        <v>46182</v>
      </c>
      <c r="M15" s="29">
        <v>46182</v>
      </c>
      <c r="N15" s="29">
        <v>46182</v>
      </c>
      <c r="O15" s="29">
        <v>46182</v>
      </c>
      <c r="P15" s="29">
        <v>46182</v>
      </c>
      <c r="Q15" s="29">
        <v>46182</v>
      </c>
      <c r="R15" s="29">
        <v>46182</v>
      </c>
      <c r="S15" s="29">
        <v>46181</v>
      </c>
      <c r="T15" s="29">
        <v>46181</v>
      </c>
      <c r="U15" s="29">
        <v>46182</v>
      </c>
      <c r="V15" s="29">
        <v>46182</v>
      </c>
      <c r="W15" s="29">
        <v>46183</v>
      </c>
      <c r="X15" s="29">
        <v>46183</v>
      </c>
      <c r="Y15" s="29">
        <v>46182</v>
      </c>
      <c r="Z15" s="29">
        <v>46182</v>
      </c>
      <c r="AA15" s="29">
        <v>46182</v>
      </c>
      <c r="AB15" s="29">
        <v>46182</v>
      </c>
      <c r="AC15" s="29">
        <v>46183</v>
      </c>
      <c r="AD15" s="29">
        <v>46183</v>
      </c>
      <c r="AE15" s="29">
        <v>46183</v>
      </c>
      <c r="AF15" s="29">
        <v>46183</v>
      </c>
      <c r="AG15" s="29">
        <v>46184</v>
      </c>
      <c r="AH15" s="29">
        <v>46184</v>
      </c>
      <c r="AI15" s="29">
        <v>46184</v>
      </c>
      <c r="AJ15" s="29">
        <v>46184</v>
      </c>
      <c r="AK15" s="29">
        <v>46183</v>
      </c>
      <c r="AL15" s="29">
        <v>46183</v>
      </c>
      <c r="AM15" s="29">
        <v>46183</v>
      </c>
      <c r="AN15" s="29">
        <v>46183</v>
      </c>
      <c r="AO15" s="29">
        <v>46184</v>
      </c>
      <c r="AP15" s="29">
        <v>46184</v>
      </c>
      <c r="AQ15" s="29">
        <v>46184</v>
      </c>
      <c r="AR15" s="29">
        <v>46184</v>
      </c>
      <c r="AS15" s="29">
        <v>46185</v>
      </c>
      <c r="AT15" s="29">
        <v>46185</v>
      </c>
      <c r="AU15" s="29">
        <v>46185</v>
      </c>
      <c r="AV15" s="29">
        <v>46185</v>
      </c>
      <c r="AW15" s="29">
        <v>46184</v>
      </c>
      <c r="AX15" s="29">
        <v>46184</v>
      </c>
      <c r="AY15" s="29">
        <v>46184</v>
      </c>
      <c r="AZ15" s="29">
        <v>46184</v>
      </c>
      <c r="BA15" s="29">
        <v>46185</v>
      </c>
      <c r="BB15" s="29">
        <v>46185</v>
      </c>
      <c r="BC15" s="29">
        <v>46185</v>
      </c>
      <c r="BD15" s="29">
        <v>46185</v>
      </c>
      <c r="BE15" s="29">
        <v>46188</v>
      </c>
      <c r="BF15" s="29">
        <v>46188</v>
      </c>
      <c r="BG15" s="29">
        <v>46188</v>
      </c>
      <c r="BH15" s="29">
        <v>46188</v>
      </c>
      <c r="BI15" s="29">
        <v>46185</v>
      </c>
      <c r="BJ15" s="29">
        <v>46185</v>
      </c>
      <c r="BK15" s="29">
        <v>46190</v>
      </c>
      <c r="BL15" s="29">
        <v>46190</v>
      </c>
    </row>
    <row r="20" spans="1:32" ht="15" thickBot="1" x14ac:dyDescent="0.4"/>
    <row r="21" spans="1:32" ht="15" thickTop="1" x14ac:dyDescent="0.35">
      <c r="A21" s="634" t="s">
        <v>1</v>
      </c>
      <c r="B21" s="637" t="s">
        <v>2</v>
      </c>
      <c r="C21" s="640" t="s">
        <v>3</v>
      </c>
      <c r="D21" s="640" t="s">
        <v>4</v>
      </c>
      <c r="E21" s="651" t="s">
        <v>10</v>
      </c>
      <c r="F21" s="652"/>
      <c r="G21" s="652"/>
      <c r="H21" s="652"/>
      <c r="I21" s="652"/>
      <c r="J21" s="652"/>
      <c r="K21" s="652"/>
      <c r="L21" s="652"/>
      <c r="M21" s="652"/>
      <c r="N21" s="652"/>
      <c r="O21" s="652"/>
      <c r="P21" s="653"/>
      <c r="Q21" s="650" t="s">
        <v>11</v>
      </c>
      <c r="R21" s="650"/>
      <c r="S21" s="650"/>
      <c r="T21" s="650"/>
      <c r="U21" s="650"/>
      <c r="V21" s="650"/>
      <c r="W21" s="650"/>
      <c r="X21" s="650"/>
      <c r="Y21" s="650"/>
      <c r="Z21" s="650"/>
      <c r="AA21" s="650"/>
      <c r="AB21" s="650"/>
      <c r="AC21" s="650" t="s">
        <v>12</v>
      </c>
      <c r="AD21" s="650"/>
      <c r="AE21" s="650"/>
      <c r="AF21" s="650"/>
    </row>
    <row r="22" spans="1:32" ht="15.5" x14ac:dyDescent="0.35">
      <c r="A22" s="635"/>
      <c r="B22" s="638"/>
      <c r="C22" s="641"/>
      <c r="D22" s="641"/>
      <c r="E22" s="655">
        <v>46183</v>
      </c>
      <c r="F22" s="655"/>
      <c r="G22" s="655"/>
      <c r="H22" s="655"/>
      <c r="I22" s="655">
        <f>E22+1</f>
        <v>46184</v>
      </c>
      <c r="J22" s="655"/>
      <c r="K22" s="655"/>
      <c r="L22" s="655"/>
      <c r="M22" s="655">
        <f>I22+1</f>
        <v>46185</v>
      </c>
      <c r="N22" s="655"/>
      <c r="O22" s="655"/>
      <c r="P22" s="655"/>
      <c r="Q22" s="655">
        <v>46184</v>
      </c>
      <c r="R22" s="655"/>
      <c r="S22" s="655"/>
      <c r="T22" s="655"/>
      <c r="U22" s="655">
        <f>Q22+1</f>
        <v>46185</v>
      </c>
      <c r="V22" s="655"/>
      <c r="W22" s="655"/>
      <c r="X22" s="655"/>
      <c r="Y22" s="655">
        <v>46188</v>
      </c>
      <c r="Z22" s="655"/>
      <c r="AA22" s="655"/>
      <c r="AB22" s="655"/>
      <c r="AC22" s="655">
        <v>46185</v>
      </c>
      <c r="AD22" s="655"/>
      <c r="AE22" s="655">
        <v>46190</v>
      </c>
      <c r="AF22" s="655"/>
    </row>
    <row r="23" spans="1:32" ht="15.5" x14ac:dyDescent="0.35">
      <c r="A23" s="636"/>
      <c r="B23" s="639"/>
      <c r="C23" s="642"/>
      <c r="D23" s="642"/>
      <c r="E23" s="3" t="s">
        <v>13</v>
      </c>
      <c r="F23" s="4" t="s">
        <v>14</v>
      </c>
      <c r="G23" s="3" t="s">
        <v>15</v>
      </c>
      <c r="H23" s="4" t="s">
        <v>14</v>
      </c>
      <c r="I23" s="3" t="s">
        <v>13</v>
      </c>
      <c r="J23" s="4" t="s">
        <v>14</v>
      </c>
      <c r="K23" s="3" t="s">
        <v>15</v>
      </c>
      <c r="L23" s="4" t="s">
        <v>14</v>
      </c>
      <c r="M23" s="3" t="s">
        <v>13</v>
      </c>
      <c r="N23" s="4" t="s">
        <v>14</v>
      </c>
      <c r="O23" s="3" t="s">
        <v>15</v>
      </c>
      <c r="P23" s="4" t="s">
        <v>14</v>
      </c>
      <c r="Q23" s="3" t="s">
        <v>13</v>
      </c>
      <c r="R23" s="4" t="s">
        <v>14</v>
      </c>
      <c r="S23" s="3" t="s">
        <v>15</v>
      </c>
      <c r="T23" s="4" t="s">
        <v>14</v>
      </c>
      <c r="U23" s="3" t="s">
        <v>13</v>
      </c>
      <c r="V23" s="4" t="s">
        <v>14</v>
      </c>
      <c r="W23" s="3" t="s">
        <v>15</v>
      </c>
      <c r="X23" s="4" t="s">
        <v>14</v>
      </c>
      <c r="Y23" s="3" t="s">
        <v>13</v>
      </c>
      <c r="Z23" s="4" t="s">
        <v>14</v>
      </c>
      <c r="AA23" s="3" t="s">
        <v>15</v>
      </c>
      <c r="AB23" s="4" t="s">
        <v>14</v>
      </c>
      <c r="AC23" s="3" t="s">
        <v>13</v>
      </c>
      <c r="AD23" s="4" t="s">
        <v>14</v>
      </c>
      <c r="AE23" s="5" t="s">
        <v>13</v>
      </c>
      <c r="AF23" s="4" t="s">
        <v>14</v>
      </c>
    </row>
    <row r="24" spans="1:32" ht="29" x14ac:dyDescent="0.35">
      <c r="A24" s="6" t="s">
        <v>16</v>
      </c>
      <c r="B24" s="7" t="s">
        <v>17</v>
      </c>
      <c r="C24" s="8" t="s">
        <v>18</v>
      </c>
      <c r="D24" s="9">
        <v>7</v>
      </c>
      <c r="E24" s="12"/>
      <c r="F24" s="13"/>
      <c r="G24" s="12"/>
      <c r="H24" s="13"/>
      <c r="I24" s="12"/>
      <c r="J24" s="13"/>
      <c r="K24" s="12"/>
      <c r="L24" s="13"/>
      <c r="M24" s="12"/>
      <c r="N24" s="13"/>
      <c r="O24" s="12">
        <v>7</v>
      </c>
      <c r="P24" s="13"/>
      <c r="Q24" s="12"/>
      <c r="R24" s="13"/>
      <c r="S24" s="12"/>
      <c r="T24" s="13"/>
      <c r="U24" s="12"/>
      <c r="V24" s="13"/>
      <c r="W24" s="12"/>
      <c r="X24" s="13"/>
      <c r="Y24" s="12"/>
      <c r="Z24" s="13"/>
      <c r="AA24" s="12">
        <v>7</v>
      </c>
      <c r="AB24" s="13"/>
      <c r="AC24" s="12"/>
      <c r="AD24" s="13"/>
      <c r="AE24" s="12">
        <v>7</v>
      </c>
      <c r="AF24" s="13"/>
    </row>
    <row r="25" spans="1:32" ht="29" x14ac:dyDescent="0.35">
      <c r="A25" s="6" t="s">
        <v>19</v>
      </c>
      <c r="B25" s="7" t="s">
        <v>17</v>
      </c>
      <c r="C25" s="8" t="s">
        <v>20</v>
      </c>
      <c r="D25" s="9">
        <v>2</v>
      </c>
      <c r="E25" s="12"/>
      <c r="F25" s="13"/>
      <c r="G25" s="12"/>
      <c r="H25" s="13"/>
      <c r="I25" s="12"/>
      <c r="J25" s="13"/>
      <c r="K25" s="12"/>
      <c r="L25" s="13"/>
      <c r="M25" s="12">
        <v>2</v>
      </c>
      <c r="N25" s="13"/>
      <c r="O25" s="12"/>
      <c r="P25" s="13"/>
      <c r="Q25" s="12"/>
      <c r="R25" s="13"/>
      <c r="S25" s="12"/>
      <c r="T25" s="13"/>
      <c r="U25" s="12"/>
      <c r="V25" s="13"/>
      <c r="W25" s="12"/>
      <c r="X25" s="13"/>
      <c r="Y25" s="12">
        <v>2</v>
      </c>
      <c r="Z25" s="13"/>
      <c r="AA25" s="12"/>
      <c r="AB25" s="13"/>
      <c r="AC25" s="12"/>
      <c r="AD25" s="13"/>
      <c r="AE25" s="12">
        <v>2</v>
      </c>
      <c r="AF25" s="13"/>
    </row>
    <row r="26" spans="1:32" ht="29" x14ac:dyDescent="0.35">
      <c r="A26" s="6" t="s">
        <v>16</v>
      </c>
      <c r="B26" s="7" t="s">
        <v>21</v>
      </c>
      <c r="C26" s="8" t="s">
        <v>18</v>
      </c>
      <c r="D26" s="9">
        <v>1</v>
      </c>
      <c r="E26" s="12"/>
      <c r="F26" s="13"/>
      <c r="G26" s="12"/>
      <c r="H26" s="13"/>
      <c r="I26" s="12"/>
      <c r="J26" s="13"/>
      <c r="K26" s="12">
        <v>1</v>
      </c>
      <c r="L26" s="13"/>
      <c r="M26" s="12"/>
      <c r="N26" s="13"/>
      <c r="O26" s="12"/>
      <c r="P26" s="13"/>
      <c r="Q26" s="12"/>
      <c r="R26" s="13"/>
      <c r="S26" s="12"/>
      <c r="T26" s="13"/>
      <c r="U26" s="12"/>
      <c r="V26" s="13"/>
      <c r="W26" s="12">
        <v>1</v>
      </c>
      <c r="X26" s="13"/>
      <c r="Y26" s="12"/>
      <c r="Z26" s="13"/>
      <c r="AA26" s="12"/>
      <c r="AB26" s="13"/>
      <c r="AC26" s="12"/>
      <c r="AD26" s="13"/>
      <c r="AE26" s="12">
        <v>1</v>
      </c>
      <c r="AF26" s="13"/>
    </row>
    <row r="27" spans="1:32" ht="29" x14ac:dyDescent="0.35">
      <c r="A27" s="6" t="s">
        <v>16</v>
      </c>
      <c r="B27" s="7" t="s">
        <v>22</v>
      </c>
      <c r="C27" s="8" t="s">
        <v>18</v>
      </c>
      <c r="D27" s="9">
        <v>5</v>
      </c>
      <c r="E27" s="12"/>
      <c r="F27" s="13"/>
      <c r="G27" s="12"/>
      <c r="H27" s="13"/>
      <c r="I27" s="12"/>
      <c r="J27" s="13"/>
      <c r="K27" s="12">
        <v>3</v>
      </c>
      <c r="L27" s="13"/>
      <c r="M27" s="12">
        <v>2</v>
      </c>
      <c r="N27" s="13"/>
      <c r="O27" s="12"/>
      <c r="P27" s="13"/>
      <c r="Q27" s="12"/>
      <c r="R27" s="13"/>
      <c r="S27" s="12"/>
      <c r="T27" s="13"/>
      <c r="U27" s="12"/>
      <c r="V27" s="13"/>
      <c r="W27" s="12">
        <v>3</v>
      </c>
      <c r="X27" s="13"/>
      <c r="Y27" s="12">
        <v>2</v>
      </c>
      <c r="Z27" s="13"/>
      <c r="AA27" s="12"/>
      <c r="AB27" s="13"/>
      <c r="AC27" s="12"/>
      <c r="AD27" s="13"/>
      <c r="AE27" s="12">
        <v>5</v>
      </c>
      <c r="AF27" s="13"/>
    </row>
    <row r="28" spans="1:32" ht="29" x14ac:dyDescent="0.35">
      <c r="A28" s="6" t="s">
        <v>16</v>
      </c>
      <c r="B28" s="7" t="s">
        <v>23</v>
      </c>
      <c r="C28" s="8" t="s">
        <v>18</v>
      </c>
      <c r="D28" s="9">
        <v>2</v>
      </c>
      <c r="E28" s="12"/>
      <c r="F28" s="13"/>
      <c r="G28" s="12"/>
      <c r="H28" s="13"/>
      <c r="I28" s="12">
        <v>2</v>
      </c>
      <c r="J28" s="13"/>
      <c r="K28" s="12"/>
      <c r="L28" s="13"/>
      <c r="M28" s="12"/>
      <c r="N28" s="13"/>
      <c r="O28" s="12"/>
      <c r="P28" s="13"/>
      <c r="Q28" s="12"/>
      <c r="R28" s="13"/>
      <c r="S28" s="12"/>
      <c r="T28" s="13"/>
      <c r="U28" s="12">
        <v>2</v>
      </c>
      <c r="V28" s="13"/>
      <c r="W28" s="12"/>
      <c r="X28" s="13"/>
      <c r="Y28" s="12"/>
      <c r="Z28" s="13"/>
      <c r="AA28" s="12"/>
      <c r="AB28" s="13"/>
      <c r="AC28" s="12"/>
      <c r="AD28" s="13"/>
      <c r="AE28" s="12">
        <v>2</v>
      </c>
      <c r="AF28" s="13"/>
    </row>
    <row r="29" spans="1:32" ht="29" x14ac:dyDescent="0.35">
      <c r="A29" s="6" t="s">
        <v>16</v>
      </c>
      <c r="B29" s="7" t="s">
        <v>24</v>
      </c>
      <c r="C29" s="8" t="s">
        <v>18</v>
      </c>
      <c r="D29" s="9">
        <v>12</v>
      </c>
      <c r="E29" s="12">
        <v>2</v>
      </c>
      <c r="F29" s="13"/>
      <c r="G29" s="12">
        <v>2</v>
      </c>
      <c r="H29" s="13"/>
      <c r="I29" s="12">
        <v>2</v>
      </c>
      <c r="J29" s="13"/>
      <c r="K29" s="12">
        <v>2</v>
      </c>
      <c r="L29" s="13"/>
      <c r="M29" s="12">
        <v>2</v>
      </c>
      <c r="N29" s="13"/>
      <c r="O29" s="12">
        <v>2</v>
      </c>
      <c r="P29" s="13"/>
      <c r="Q29" s="12">
        <v>2</v>
      </c>
      <c r="R29" s="13"/>
      <c r="S29" s="12">
        <v>2</v>
      </c>
      <c r="T29" s="13"/>
      <c r="U29" s="12">
        <v>2</v>
      </c>
      <c r="V29" s="13"/>
      <c r="W29" s="12">
        <v>2</v>
      </c>
      <c r="X29" s="13"/>
      <c r="Y29" s="12">
        <v>2</v>
      </c>
      <c r="Z29" s="13"/>
      <c r="AA29" s="12">
        <v>2</v>
      </c>
      <c r="AB29" s="13"/>
      <c r="AC29" s="12"/>
      <c r="AD29" s="13"/>
      <c r="AE29" s="12">
        <v>12</v>
      </c>
      <c r="AF29" s="13"/>
    </row>
    <row r="30" spans="1:32" ht="29.5" thickBot="1" x14ac:dyDescent="0.4">
      <c r="A30" s="14" t="s">
        <v>16</v>
      </c>
      <c r="B30" s="15" t="s">
        <v>25</v>
      </c>
      <c r="C30" s="16" t="s">
        <v>18</v>
      </c>
      <c r="D30" s="17">
        <v>4</v>
      </c>
      <c r="E30" s="12">
        <v>2</v>
      </c>
      <c r="F30" s="13"/>
      <c r="G30" s="12">
        <v>2</v>
      </c>
      <c r="H30" s="13"/>
      <c r="I30" s="12"/>
      <c r="J30" s="13"/>
      <c r="K30" s="12"/>
      <c r="L30" s="13"/>
      <c r="M30" s="12"/>
      <c r="N30" s="13"/>
      <c r="O30" s="12"/>
      <c r="P30" s="13"/>
      <c r="Q30" s="12">
        <v>2</v>
      </c>
      <c r="R30" s="13"/>
      <c r="S30" s="12">
        <v>2</v>
      </c>
      <c r="T30" s="13"/>
      <c r="U30" s="12"/>
      <c r="V30" s="13"/>
      <c r="W30" s="12"/>
      <c r="X30" s="13"/>
      <c r="Y30" s="12"/>
      <c r="Z30" s="13"/>
      <c r="AA30" s="12"/>
      <c r="AB30" s="13"/>
      <c r="AC30" s="12">
        <v>4</v>
      </c>
      <c r="AD30" s="13"/>
      <c r="AE30" s="12"/>
      <c r="AF30" s="13"/>
    </row>
    <row r="31" spans="1:32" ht="15" thickTop="1" x14ac:dyDescent="0.35">
      <c r="E31" s="20"/>
      <c r="F31" s="20">
        <f>SUM(F24:F30)</f>
        <v>0</v>
      </c>
      <c r="G31" s="20"/>
      <c r="H31" s="20">
        <f>SUM(H24:H30)</f>
        <v>0</v>
      </c>
      <c r="I31" s="20"/>
      <c r="J31" s="20">
        <f>SUM(J24:J30)</f>
        <v>0</v>
      </c>
      <c r="K31" s="20"/>
      <c r="L31" s="20">
        <f>SUM(L24:L30)</f>
        <v>0</v>
      </c>
      <c r="M31" s="20"/>
      <c r="N31" s="20">
        <f>SUM(N24:N30)</f>
        <v>0</v>
      </c>
      <c r="O31" s="20"/>
      <c r="P31" s="20">
        <f>SUM(P24:P30)</f>
        <v>0</v>
      </c>
      <c r="Q31" s="20"/>
      <c r="R31" s="20">
        <f>SUM(R24:R30)</f>
        <v>0</v>
      </c>
      <c r="S31" s="20"/>
      <c r="T31" s="20">
        <f>SUM(T24:T30)</f>
        <v>0</v>
      </c>
      <c r="U31" s="20"/>
      <c r="V31" s="20">
        <f>SUM(V24:V30)</f>
        <v>0</v>
      </c>
      <c r="W31" s="20"/>
      <c r="X31" s="20">
        <f>SUM(X24:X30)</f>
        <v>0</v>
      </c>
      <c r="Y31" s="20"/>
      <c r="Z31" s="20">
        <f>SUM(Z24:Z30)</f>
        <v>0</v>
      </c>
      <c r="AA31" s="20"/>
      <c r="AB31" s="20">
        <f>SUM(AB24:AB30)</f>
        <v>0</v>
      </c>
      <c r="AC31" s="20"/>
      <c r="AD31" s="20">
        <f>SUM(AD24:AD30)</f>
        <v>0</v>
      </c>
      <c r="AE31" s="20"/>
      <c r="AF31" s="20">
        <f>SUM(AF24:AF30)</f>
        <v>0</v>
      </c>
    </row>
  </sheetData>
  <mergeCells count="34">
    <mergeCell ref="AC22:AD22"/>
    <mergeCell ref="AE22:AF22"/>
    <mergeCell ref="A21:A23"/>
    <mergeCell ref="B21:B23"/>
    <mergeCell ref="C21:C23"/>
    <mergeCell ref="D21:D23"/>
    <mergeCell ref="M22:P22"/>
    <mergeCell ref="E22:H22"/>
    <mergeCell ref="I22:L22"/>
    <mergeCell ref="Q22:T22"/>
    <mergeCell ref="U22:X22"/>
    <mergeCell ref="Y22:AB22"/>
    <mergeCell ref="S2:X2"/>
    <mergeCell ref="Y2:AJ2"/>
    <mergeCell ref="E21:P21"/>
    <mergeCell ref="Q21:AB21"/>
    <mergeCell ref="AC21:AF21"/>
    <mergeCell ref="G3:J3"/>
    <mergeCell ref="K3:N3"/>
    <mergeCell ref="O3:R3"/>
    <mergeCell ref="S3:T3"/>
    <mergeCell ref="U3:V3"/>
    <mergeCell ref="W3:X3"/>
    <mergeCell ref="Y3:AB3"/>
    <mergeCell ref="AC3:AF3"/>
    <mergeCell ref="AG3:AJ3"/>
    <mergeCell ref="A1:M1"/>
    <mergeCell ref="A2:A4"/>
    <mergeCell ref="B2:B4"/>
    <mergeCell ref="C2:C4"/>
    <mergeCell ref="D2:D4"/>
    <mergeCell ref="E2:E4"/>
    <mergeCell ref="F2:F4"/>
    <mergeCell ref="G2:R2"/>
  </mergeCells>
  <pageMargins left="0.7" right="0.7" top="0.75" bottom="0.75" header="0.3" footer="0.3"/>
  <pageSetup paperSize="8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EE065-666A-4863-88C5-3A3D51509B10}">
  <sheetPr codeName="Sheet10">
    <tabColor theme="9" tint="-0.249977111117893"/>
  </sheetPr>
  <dimension ref="A1:AB96"/>
  <sheetViews>
    <sheetView view="pageBreakPreview" zoomScale="60" zoomScaleNormal="100" workbookViewId="0"/>
  </sheetViews>
  <sheetFormatPr defaultRowHeight="12.5" x14ac:dyDescent="0.25"/>
  <cols>
    <col min="1" max="1" width="18.7265625" bestFit="1" customWidth="1"/>
    <col min="2" max="2" width="24.1796875" bestFit="1" customWidth="1"/>
    <col min="3" max="3" width="10.81640625" customWidth="1"/>
    <col min="4" max="4" width="13.08984375" customWidth="1"/>
    <col min="5" max="8" width="25.6328125" customWidth="1"/>
    <col min="9" max="28" width="3" bestFit="1" customWidth="1"/>
  </cols>
  <sheetData>
    <row r="1" spans="1:28" ht="13" x14ac:dyDescent="0.3">
      <c r="A1" s="522" t="s">
        <v>1517</v>
      </c>
      <c r="B1" s="521"/>
    </row>
    <row r="2" spans="1:28" ht="21.5" thickBot="1" x14ac:dyDescent="0.3">
      <c r="A2" s="245" t="s">
        <v>77</v>
      </c>
      <c r="B2" s="246" t="s">
        <v>112</v>
      </c>
      <c r="C2" s="247" t="s">
        <v>4</v>
      </c>
      <c r="D2" s="247" t="s">
        <v>617</v>
      </c>
      <c r="E2" s="247" t="s">
        <v>941</v>
      </c>
      <c r="F2" s="247" t="s">
        <v>942</v>
      </c>
      <c r="G2" s="247" t="s">
        <v>945</v>
      </c>
      <c r="H2" s="248" t="s">
        <v>619</v>
      </c>
    </row>
    <row r="3" spans="1:28" s="243" customFormat="1" ht="19" thickTop="1" x14ac:dyDescent="0.25">
      <c r="A3" s="249" t="s">
        <v>879</v>
      </c>
      <c r="B3" s="250" t="s">
        <v>889</v>
      </c>
      <c r="C3" s="251">
        <v>2</v>
      </c>
      <c r="D3" s="264" t="s">
        <v>382</v>
      </c>
      <c r="E3" s="271" t="s">
        <v>979</v>
      </c>
      <c r="F3" s="272" t="s">
        <v>982</v>
      </c>
      <c r="G3" s="272" t="s">
        <v>944</v>
      </c>
      <c r="H3" s="280" t="s">
        <v>980</v>
      </c>
      <c r="I3" s="243" t="s">
        <v>949</v>
      </c>
      <c r="J3" s="243" t="s">
        <v>950</v>
      </c>
      <c r="K3" s="243" t="s">
        <v>951</v>
      </c>
      <c r="L3" s="243" t="s">
        <v>952</v>
      </c>
      <c r="M3" s="234" t="s">
        <v>953</v>
      </c>
      <c r="N3" s="294" t="s">
        <v>954</v>
      </c>
      <c r="O3" s="243" t="s">
        <v>955</v>
      </c>
      <c r="P3" s="243" t="s">
        <v>956</v>
      </c>
      <c r="Q3" s="243" t="s">
        <v>957</v>
      </c>
      <c r="R3" s="243" t="s">
        <v>958</v>
      </c>
      <c r="S3" s="243" t="s">
        <v>959</v>
      </c>
      <c r="T3" s="243" t="s">
        <v>960</v>
      </c>
      <c r="U3" s="243" t="s">
        <v>961</v>
      </c>
      <c r="V3" s="243" t="s">
        <v>962</v>
      </c>
      <c r="W3" s="243" t="s">
        <v>963</v>
      </c>
      <c r="X3" s="243" t="s">
        <v>964</v>
      </c>
      <c r="Y3" s="243" t="s">
        <v>965</v>
      </c>
      <c r="Z3" s="243" t="s">
        <v>966</v>
      </c>
      <c r="AA3" s="243" t="s">
        <v>967</v>
      </c>
      <c r="AB3" s="243" t="s">
        <v>968</v>
      </c>
    </row>
    <row r="4" spans="1:28" s="243" customFormat="1" ht="25.5" customHeight="1" x14ac:dyDescent="0.25">
      <c r="A4" s="252" t="s">
        <v>879</v>
      </c>
      <c r="B4" s="253" t="s">
        <v>890</v>
      </c>
      <c r="C4" s="254">
        <v>4</v>
      </c>
      <c r="D4" s="265" t="s">
        <v>946</v>
      </c>
      <c r="E4" s="273" t="s">
        <v>969</v>
      </c>
      <c r="F4" s="273" t="s">
        <v>972</v>
      </c>
      <c r="G4" s="288" t="s">
        <v>944</v>
      </c>
      <c r="H4" s="274" t="s">
        <v>983</v>
      </c>
    </row>
    <row r="5" spans="1:28" s="243" customFormat="1" ht="25.5" customHeight="1" x14ac:dyDescent="0.25">
      <c r="A5" s="252" t="s">
        <v>879</v>
      </c>
      <c r="B5" s="253" t="s">
        <v>891</v>
      </c>
      <c r="C5" s="254">
        <v>2</v>
      </c>
      <c r="D5" s="265" t="s">
        <v>946</v>
      </c>
      <c r="E5" s="274"/>
      <c r="F5" s="273" t="s">
        <v>973</v>
      </c>
      <c r="G5" s="288" t="s">
        <v>944</v>
      </c>
      <c r="H5" s="274" t="s">
        <v>978</v>
      </c>
    </row>
    <row r="6" spans="1:28" s="243" customFormat="1" ht="25.5" customHeight="1" x14ac:dyDescent="0.25">
      <c r="A6" s="252" t="s">
        <v>879</v>
      </c>
      <c r="B6" s="253" t="s">
        <v>892</v>
      </c>
      <c r="C6" s="254">
        <v>10</v>
      </c>
      <c r="D6" s="265" t="s">
        <v>946</v>
      </c>
      <c r="E6" s="273"/>
      <c r="F6" s="273" t="s">
        <v>984</v>
      </c>
      <c r="G6" s="288" t="s">
        <v>944</v>
      </c>
      <c r="H6" s="274" t="s">
        <v>971</v>
      </c>
    </row>
    <row r="7" spans="1:28" s="243" customFormat="1" ht="25.5" customHeight="1" x14ac:dyDescent="0.25">
      <c r="A7" s="252" t="s">
        <v>879</v>
      </c>
      <c r="B7" s="253" t="s">
        <v>893</v>
      </c>
      <c r="C7" s="254">
        <v>14</v>
      </c>
      <c r="D7" s="265" t="s">
        <v>946</v>
      </c>
      <c r="E7" s="273"/>
      <c r="F7" s="273"/>
      <c r="G7" s="288" t="s">
        <v>944</v>
      </c>
      <c r="H7" s="274" t="s">
        <v>977</v>
      </c>
    </row>
    <row r="8" spans="1:28" s="243" customFormat="1" ht="25.5" customHeight="1" x14ac:dyDescent="0.25">
      <c r="A8" s="252" t="s">
        <v>879</v>
      </c>
      <c r="B8" s="253" t="s">
        <v>894</v>
      </c>
      <c r="C8" s="254">
        <v>19</v>
      </c>
      <c r="D8" s="265" t="s">
        <v>386</v>
      </c>
      <c r="E8" s="273"/>
      <c r="F8" s="273"/>
      <c r="G8" s="288" t="s">
        <v>944</v>
      </c>
      <c r="H8" s="274" t="s">
        <v>976</v>
      </c>
    </row>
    <row r="9" spans="1:28" s="243" customFormat="1" ht="25.5" customHeight="1" x14ac:dyDescent="0.25">
      <c r="A9" s="252" t="s">
        <v>879</v>
      </c>
      <c r="B9" s="253" t="s">
        <v>895</v>
      </c>
      <c r="C9" s="254">
        <v>12</v>
      </c>
      <c r="D9" s="265" t="s">
        <v>946</v>
      </c>
      <c r="E9" s="273"/>
      <c r="F9" s="273"/>
      <c r="G9" s="288" t="s">
        <v>944</v>
      </c>
      <c r="H9" s="274" t="s">
        <v>975</v>
      </c>
    </row>
    <row r="10" spans="1:28" s="243" customFormat="1" ht="25.5" customHeight="1" x14ac:dyDescent="0.25">
      <c r="A10" s="252" t="s">
        <v>879</v>
      </c>
      <c r="B10" s="253" t="s">
        <v>896</v>
      </c>
      <c r="C10" s="254">
        <v>6</v>
      </c>
      <c r="D10" s="265" t="s">
        <v>946</v>
      </c>
      <c r="E10" s="273"/>
      <c r="F10" s="273"/>
      <c r="G10" s="288" t="s">
        <v>944</v>
      </c>
      <c r="H10" s="274" t="s">
        <v>970</v>
      </c>
    </row>
    <row r="11" spans="1:28" s="243" customFormat="1" ht="25.5" customHeight="1" x14ac:dyDescent="0.25">
      <c r="A11" s="252" t="s">
        <v>879</v>
      </c>
      <c r="B11" s="253" t="s">
        <v>897</v>
      </c>
      <c r="C11" s="254">
        <v>8</v>
      </c>
      <c r="D11" s="265" t="s">
        <v>946</v>
      </c>
      <c r="E11" s="273"/>
      <c r="F11" s="273"/>
      <c r="G11" s="288" t="s">
        <v>944</v>
      </c>
      <c r="H11" s="274" t="s">
        <v>974</v>
      </c>
    </row>
    <row r="12" spans="1:28" s="243" customFormat="1" ht="25.5" customHeight="1" x14ac:dyDescent="0.25">
      <c r="A12" s="252" t="s">
        <v>879</v>
      </c>
      <c r="B12" s="253" t="s">
        <v>898</v>
      </c>
      <c r="C12" s="254">
        <v>1</v>
      </c>
      <c r="D12" s="265" t="s">
        <v>946</v>
      </c>
      <c r="E12" s="273"/>
      <c r="F12" s="273"/>
      <c r="G12" s="288" t="s">
        <v>944</v>
      </c>
      <c r="H12" s="274" t="s">
        <v>981</v>
      </c>
    </row>
    <row r="13" spans="1:28" s="243" customFormat="1" ht="25.5" customHeight="1" x14ac:dyDescent="0.25">
      <c r="A13" s="252" t="s">
        <v>879</v>
      </c>
      <c r="B13" s="253" t="s">
        <v>899</v>
      </c>
      <c r="C13" s="254">
        <v>3</v>
      </c>
      <c r="D13" s="265" t="s">
        <v>946</v>
      </c>
      <c r="E13" s="273"/>
      <c r="F13" s="273"/>
      <c r="G13" s="288" t="s">
        <v>944</v>
      </c>
      <c r="H13" s="274"/>
    </row>
    <row r="14" spans="1:28" s="243" customFormat="1" ht="25.5" customHeight="1" x14ac:dyDescent="0.25">
      <c r="A14" s="252" t="s">
        <v>879</v>
      </c>
      <c r="B14" s="253" t="s">
        <v>900</v>
      </c>
      <c r="C14" s="254">
        <v>2</v>
      </c>
      <c r="D14" s="265" t="s">
        <v>946</v>
      </c>
      <c r="E14" s="273"/>
      <c r="F14" s="273"/>
      <c r="G14" s="288" t="s">
        <v>944</v>
      </c>
      <c r="H14" s="274"/>
    </row>
    <row r="15" spans="1:28" s="243" customFormat="1" ht="25.5" customHeight="1" x14ac:dyDescent="0.25">
      <c r="A15" s="252" t="s">
        <v>879</v>
      </c>
      <c r="B15" s="253" t="s">
        <v>901</v>
      </c>
      <c r="C15" s="254">
        <v>2</v>
      </c>
      <c r="D15" s="265" t="s">
        <v>946</v>
      </c>
      <c r="E15" s="273"/>
      <c r="F15" s="273"/>
      <c r="G15" s="288" t="s">
        <v>944</v>
      </c>
      <c r="H15" s="274"/>
    </row>
    <row r="16" spans="1:28" s="243" customFormat="1" ht="25.5" customHeight="1" x14ac:dyDescent="0.25">
      <c r="A16" s="252" t="s">
        <v>879</v>
      </c>
      <c r="B16" s="253" t="s">
        <v>902</v>
      </c>
      <c r="C16" s="254">
        <v>1</v>
      </c>
      <c r="D16" s="265" t="s">
        <v>946</v>
      </c>
      <c r="E16" s="273"/>
      <c r="F16" s="273"/>
      <c r="G16" s="288" t="s">
        <v>944</v>
      </c>
      <c r="H16" s="274"/>
    </row>
    <row r="17" spans="1:8" s="243" customFormat="1" ht="25.5" customHeight="1" x14ac:dyDescent="0.25">
      <c r="A17" s="252" t="s">
        <v>879</v>
      </c>
      <c r="B17" s="253" t="s">
        <v>903</v>
      </c>
      <c r="C17" s="254">
        <v>1</v>
      </c>
      <c r="D17" s="265" t="s">
        <v>946</v>
      </c>
      <c r="E17" s="273"/>
      <c r="F17" s="273"/>
      <c r="G17" s="288" t="s">
        <v>944</v>
      </c>
      <c r="H17" s="274"/>
    </row>
    <row r="18" spans="1:8" s="243" customFormat="1" ht="25.5" customHeight="1" thickBot="1" x14ac:dyDescent="0.3">
      <c r="A18" s="255" t="s">
        <v>879</v>
      </c>
      <c r="B18" s="256" t="s">
        <v>904</v>
      </c>
      <c r="C18" s="257">
        <v>1</v>
      </c>
      <c r="D18" s="266" t="s">
        <v>946</v>
      </c>
      <c r="E18" s="275"/>
      <c r="F18" s="275"/>
      <c r="G18" s="289" t="s">
        <v>944</v>
      </c>
      <c r="H18" s="281"/>
    </row>
    <row r="19" spans="1:8" s="243" customFormat="1" ht="25.5" customHeight="1" thickTop="1" thickBot="1" x14ac:dyDescent="0.3">
      <c r="A19" s="244"/>
      <c r="B19" s="261" t="s">
        <v>943</v>
      </c>
      <c r="C19" s="262">
        <f>SUBTOTAL(9,C3:C18)</f>
        <v>88</v>
      </c>
      <c r="D19" s="267"/>
      <c r="E19" s="276"/>
      <c r="F19" s="276"/>
      <c r="G19" s="290"/>
      <c r="H19" s="282"/>
    </row>
    <row r="20" spans="1:8" s="243" customFormat="1" ht="25.5" customHeight="1" thickTop="1" x14ac:dyDescent="0.25">
      <c r="A20" s="249" t="s">
        <v>880</v>
      </c>
      <c r="B20" s="250" t="s">
        <v>905</v>
      </c>
      <c r="C20" s="251">
        <v>1</v>
      </c>
      <c r="D20" s="268" t="s">
        <v>364</v>
      </c>
      <c r="E20" s="277"/>
      <c r="F20" s="277"/>
      <c r="G20" s="291" t="s">
        <v>944</v>
      </c>
      <c r="H20" s="283"/>
    </row>
    <row r="21" spans="1:8" s="243" customFormat="1" ht="25.5" customHeight="1" x14ac:dyDescent="0.25">
      <c r="A21" s="252" t="s">
        <v>880</v>
      </c>
      <c r="B21" s="253" t="s">
        <v>906</v>
      </c>
      <c r="C21" s="254">
        <v>4</v>
      </c>
      <c r="D21" s="267" t="s">
        <v>364</v>
      </c>
      <c r="E21" s="276"/>
      <c r="F21" s="276"/>
      <c r="G21" s="290" t="s">
        <v>944</v>
      </c>
      <c r="H21" s="284"/>
    </row>
    <row r="22" spans="1:8" s="243" customFormat="1" ht="25.5" customHeight="1" x14ac:dyDescent="0.25">
      <c r="A22" s="252" t="s">
        <v>880</v>
      </c>
      <c r="B22" s="253" t="s">
        <v>907</v>
      </c>
      <c r="C22" s="254">
        <v>2</v>
      </c>
      <c r="D22" s="267" t="s">
        <v>364</v>
      </c>
      <c r="E22" s="276"/>
      <c r="F22" s="276"/>
      <c r="G22" s="290" t="s">
        <v>944</v>
      </c>
      <c r="H22" s="284"/>
    </row>
    <row r="23" spans="1:8" s="243" customFormat="1" ht="25.5" customHeight="1" x14ac:dyDescent="0.25">
      <c r="A23" s="252" t="s">
        <v>880</v>
      </c>
      <c r="B23" s="253" t="s">
        <v>908</v>
      </c>
      <c r="C23" s="254">
        <v>4</v>
      </c>
      <c r="D23" s="267" t="s">
        <v>364</v>
      </c>
      <c r="E23" s="276"/>
      <c r="F23" s="276"/>
      <c r="G23" s="290" t="s">
        <v>944</v>
      </c>
      <c r="H23" s="284"/>
    </row>
    <row r="24" spans="1:8" s="243" customFormat="1" ht="25.5" customHeight="1" x14ac:dyDescent="0.25">
      <c r="A24" s="252" t="s">
        <v>880</v>
      </c>
      <c r="B24" s="253" t="s">
        <v>909</v>
      </c>
      <c r="C24" s="254">
        <v>1</v>
      </c>
      <c r="D24" s="267" t="s">
        <v>382</v>
      </c>
      <c r="E24" s="276"/>
      <c r="F24" s="276"/>
      <c r="G24" s="290" t="s">
        <v>944</v>
      </c>
      <c r="H24" s="284"/>
    </row>
    <row r="25" spans="1:8" s="243" customFormat="1" ht="25.5" customHeight="1" x14ac:dyDescent="0.25">
      <c r="A25" s="252" t="s">
        <v>880</v>
      </c>
      <c r="B25" s="253" t="s">
        <v>910</v>
      </c>
      <c r="C25" s="254">
        <v>2</v>
      </c>
      <c r="D25" s="267" t="s">
        <v>364</v>
      </c>
      <c r="E25" s="276"/>
      <c r="F25" s="276"/>
      <c r="G25" s="290" t="s">
        <v>944</v>
      </c>
      <c r="H25" s="284"/>
    </row>
    <row r="26" spans="1:8" s="243" customFormat="1" ht="25.5" customHeight="1" x14ac:dyDescent="0.25">
      <c r="A26" s="252" t="s">
        <v>880</v>
      </c>
      <c r="B26" s="253" t="s">
        <v>908</v>
      </c>
      <c r="C26" s="254">
        <v>2</v>
      </c>
      <c r="D26" s="267" t="s">
        <v>364</v>
      </c>
      <c r="E26" s="276"/>
      <c r="F26" s="276"/>
      <c r="G26" s="290" t="s">
        <v>944</v>
      </c>
      <c r="H26" s="284"/>
    </row>
    <row r="27" spans="1:8" s="243" customFormat="1" ht="25.5" customHeight="1" x14ac:dyDescent="0.25">
      <c r="A27" s="252" t="s">
        <v>880</v>
      </c>
      <c r="B27" s="253" t="s">
        <v>907</v>
      </c>
      <c r="C27" s="254">
        <v>1</v>
      </c>
      <c r="D27" s="267" t="s">
        <v>364</v>
      </c>
      <c r="E27" s="276"/>
      <c r="F27" s="276"/>
      <c r="G27" s="290" t="s">
        <v>944</v>
      </c>
      <c r="H27" s="284"/>
    </row>
    <row r="28" spans="1:8" s="243" customFormat="1" ht="25.5" customHeight="1" x14ac:dyDescent="0.25">
      <c r="A28" s="252" t="s">
        <v>880</v>
      </c>
      <c r="B28" s="253" t="s">
        <v>911</v>
      </c>
      <c r="C28" s="254">
        <v>4</v>
      </c>
      <c r="D28" s="267" t="s">
        <v>946</v>
      </c>
      <c r="E28" s="276"/>
      <c r="F28" s="276"/>
      <c r="G28" s="290" t="s">
        <v>944</v>
      </c>
      <c r="H28" s="284"/>
    </row>
    <row r="29" spans="1:8" s="243" customFormat="1" ht="25.5" customHeight="1" x14ac:dyDescent="0.25">
      <c r="A29" s="252" t="s">
        <v>880</v>
      </c>
      <c r="B29" s="253" t="s">
        <v>898</v>
      </c>
      <c r="C29" s="254">
        <v>10</v>
      </c>
      <c r="D29" s="267" t="s">
        <v>946</v>
      </c>
      <c r="E29" s="276"/>
      <c r="F29" s="276"/>
      <c r="G29" s="290" t="s">
        <v>944</v>
      </c>
      <c r="H29" s="284"/>
    </row>
    <row r="30" spans="1:8" s="243" customFormat="1" ht="25.5" customHeight="1" x14ac:dyDescent="0.25">
      <c r="A30" s="252" t="s">
        <v>880</v>
      </c>
      <c r="B30" s="253" t="s">
        <v>912</v>
      </c>
      <c r="C30" s="254">
        <v>5</v>
      </c>
      <c r="D30" s="267" t="s">
        <v>946</v>
      </c>
      <c r="E30" s="276"/>
      <c r="F30" s="276"/>
      <c r="G30" s="290" t="s">
        <v>944</v>
      </c>
      <c r="H30" s="284"/>
    </row>
    <row r="31" spans="1:8" s="243" customFormat="1" ht="25.5" customHeight="1" x14ac:dyDescent="0.25">
      <c r="A31" s="252" t="s">
        <v>880</v>
      </c>
      <c r="B31" s="253" t="s">
        <v>913</v>
      </c>
      <c r="C31" s="254">
        <v>1</v>
      </c>
      <c r="D31" s="267" t="s">
        <v>364</v>
      </c>
      <c r="E31" s="276"/>
      <c r="F31" s="276"/>
      <c r="G31" s="290" t="s">
        <v>944</v>
      </c>
      <c r="H31" s="284"/>
    </row>
    <row r="32" spans="1:8" s="243" customFormat="1" ht="25.5" customHeight="1" x14ac:dyDescent="0.25">
      <c r="A32" s="252" t="s">
        <v>880</v>
      </c>
      <c r="B32" s="253" t="s">
        <v>910</v>
      </c>
      <c r="C32" s="254">
        <v>2</v>
      </c>
      <c r="D32" s="267" t="s">
        <v>364</v>
      </c>
      <c r="E32" s="276"/>
      <c r="F32" s="276"/>
      <c r="G32" s="290" t="s">
        <v>944</v>
      </c>
      <c r="H32" s="284"/>
    </row>
    <row r="33" spans="1:8" s="243" customFormat="1" ht="25.5" customHeight="1" x14ac:dyDescent="0.25">
      <c r="A33" s="252" t="s">
        <v>880</v>
      </c>
      <c r="B33" s="253" t="s">
        <v>914</v>
      </c>
      <c r="C33" s="254">
        <v>1</v>
      </c>
      <c r="D33" s="267" t="s">
        <v>946</v>
      </c>
      <c r="E33" s="276"/>
      <c r="F33" s="276"/>
      <c r="G33" s="290" t="s">
        <v>944</v>
      </c>
      <c r="H33" s="284"/>
    </row>
    <row r="34" spans="1:8" s="243" customFormat="1" ht="25.5" customHeight="1" x14ac:dyDescent="0.25">
      <c r="A34" s="252" t="s">
        <v>880</v>
      </c>
      <c r="B34" s="253" t="s">
        <v>915</v>
      </c>
      <c r="C34" s="254">
        <v>3</v>
      </c>
      <c r="D34" s="267" t="s">
        <v>946</v>
      </c>
      <c r="E34" s="276"/>
      <c r="F34" s="276"/>
      <c r="G34" s="290" t="s">
        <v>944</v>
      </c>
      <c r="H34" s="284"/>
    </row>
    <row r="35" spans="1:8" s="243" customFormat="1" ht="25.5" customHeight="1" x14ac:dyDescent="0.25">
      <c r="A35" s="252" t="s">
        <v>880</v>
      </c>
      <c r="B35" s="253" t="s">
        <v>916</v>
      </c>
      <c r="C35" s="254">
        <v>1</v>
      </c>
      <c r="D35" s="267" t="s">
        <v>946</v>
      </c>
      <c r="E35" s="276"/>
      <c r="F35" s="276"/>
      <c r="G35" s="290" t="s">
        <v>944</v>
      </c>
      <c r="H35" s="284"/>
    </row>
    <row r="36" spans="1:8" s="243" customFormat="1" ht="25.5" customHeight="1" x14ac:dyDescent="0.25">
      <c r="A36" s="252" t="s">
        <v>880</v>
      </c>
      <c r="B36" s="253" t="s">
        <v>917</v>
      </c>
      <c r="C36" s="254">
        <v>1</v>
      </c>
      <c r="D36" s="267" t="s">
        <v>946</v>
      </c>
      <c r="E36" s="276"/>
      <c r="F36" s="276"/>
      <c r="G36" s="290" t="s">
        <v>944</v>
      </c>
      <c r="H36" s="284"/>
    </row>
    <row r="37" spans="1:8" s="243" customFormat="1" ht="25.5" customHeight="1" x14ac:dyDescent="0.25">
      <c r="A37" s="252" t="s">
        <v>880</v>
      </c>
      <c r="B37" s="253" t="s">
        <v>918</v>
      </c>
      <c r="C37" s="254">
        <v>1</v>
      </c>
      <c r="D37" s="267" t="s">
        <v>946</v>
      </c>
      <c r="E37" s="276"/>
      <c r="F37" s="276"/>
      <c r="G37" s="290" t="s">
        <v>944</v>
      </c>
      <c r="H37" s="284"/>
    </row>
    <row r="38" spans="1:8" s="243" customFormat="1" ht="25.5" customHeight="1" x14ac:dyDescent="0.25">
      <c r="A38" s="252" t="s">
        <v>880</v>
      </c>
      <c r="B38" s="253" t="s">
        <v>919</v>
      </c>
      <c r="C38" s="254">
        <v>4</v>
      </c>
      <c r="D38" s="267" t="s">
        <v>382</v>
      </c>
      <c r="E38" s="276"/>
      <c r="F38" s="276"/>
      <c r="G38" s="290" t="s">
        <v>944</v>
      </c>
      <c r="H38" s="284"/>
    </row>
    <row r="39" spans="1:8" s="243" customFormat="1" ht="25.5" customHeight="1" x14ac:dyDescent="0.25">
      <c r="A39" s="252" t="s">
        <v>880</v>
      </c>
      <c r="B39" s="253" t="s">
        <v>920</v>
      </c>
      <c r="C39" s="254">
        <v>1</v>
      </c>
      <c r="D39" s="267" t="s">
        <v>364</v>
      </c>
      <c r="E39" s="276"/>
      <c r="F39" s="276"/>
      <c r="G39" s="290" t="s">
        <v>944</v>
      </c>
      <c r="H39" s="284"/>
    </row>
    <row r="40" spans="1:8" s="243" customFormat="1" ht="25.5" customHeight="1" x14ac:dyDescent="0.25">
      <c r="A40" s="252" t="s">
        <v>880</v>
      </c>
      <c r="B40" s="253" t="s">
        <v>896</v>
      </c>
      <c r="C40" s="254">
        <v>2</v>
      </c>
      <c r="D40" s="267" t="s">
        <v>946</v>
      </c>
      <c r="E40" s="276"/>
      <c r="F40" s="276"/>
      <c r="G40" s="290" t="s">
        <v>944</v>
      </c>
      <c r="H40" s="284"/>
    </row>
    <row r="41" spans="1:8" s="243" customFormat="1" ht="25.5" customHeight="1" x14ac:dyDescent="0.25">
      <c r="A41" s="252" t="s">
        <v>880</v>
      </c>
      <c r="B41" s="253" t="s">
        <v>921</v>
      </c>
      <c r="C41" s="254">
        <v>1</v>
      </c>
      <c r="D41" s="267" t="s">
        <v>946</v>
      </c>
      <c r="E41" s="276"/>
      <c r="F41" s="276"/>
      <c r="G41" s="290" t="s">
        <v>944</v>
      </c>
      <c r="H41" s="284"/>
    </row>
    <row r="42" spans="1:8" s="243" customFormat="1" ht="25.5" customHeight="1" x14ac:dyDescent="0.25">
      <c r="A42" s="252" t="s">
        <v>880</v>
      </c>
      <c r="B42" s="253" t="s">
        <v>905</v>
      </c>
      <c r="C42" s="254">
        <v>1</v>
      </c>
      <c r="D42" s="267" t="s">
        <v>364</v>
      </c>
      <c r="E42" s="276"/>
      <c r="F42" s="276"/>
      <c r="G42" s="290" t="s">
        <v>944</v>
      </c>
      <c r="H42" s="284"/>
    </row>
    <row r="43" spans="1:8" s="243" customFormat="1" ht="25.5" customHeight="1" x14ac:dyDescent="0.25">
      <c r="A43" s="252" t="s">
        <v>880</v>
      </c>
      <c r="B43" s="253" t="s">
        <v>906</v>
      </c>
      <c r="C43" s="254">
        <v>6</v>
      </c>
      <c r="D43" s="267" t="s">
        <v>364</v>
      </c>
      <c r="E43" s="276"/>
      <c r="F43" s="276"/>
      <c r="G43" s="290" t="s">
        <v>944</v>
      </c>
      <c r="H43" s="284"/>
    </row>
    <row r="44" spans="1:8" s="243" customFormat="1" ht="25.5" customHeight="1" thickBot="1" x14ac:dyDescent="0.3">
      <c r="A44" s="255" t="s">
        <v>880</v>
      </c>
      <c r="B44" s="256" t="s">
        <v>897</v>
      </c>
      <c r="C44" s="257">
        <v>3</v>
      </c>
      <c r="D44" s="269" t="s">
        <v>946</v>
      </c>
      <c r="E44" s="278"/>
      <c r="F44" s="278"/>
      <c r="G44" s="292" t="s">
        <v>944</v>
      </c>
      <c r="H44" s="285"/>
    </row>
    <row r="45" spans="1:8" s="243" customFormat="1" ht="25.5" customHeight="1" thickTop="1" thickBot="1" x14ac:dyDescent="0.3">
      <c r="A45" s="252"/>
      <c r="B45" s="261" t="s">
        <v>943</v>
      </c>
      <c r="C45" s="262">
        <f>SUBTOTAL(9,C20:C44)</f>
        <v>64</v>
      </c>
      <c r="D45" s="269"/>
      <c r="E45" s="278"/>
      <c r="F45" s="278"/>
      <c r="G45" s="292"/>
      <c r="H45" s="286"/>
    </row>
    <row r="46" spans="1:8" s="243" customFormat="1" ht="25.5" customHeight="1" thickTop="1" x14ac:dyDescent="0.25">
      <c r="A46" s="249" t="s">
        <v>881</v>
      </c>
      <c r="B46" s="250" t="s">
        <v>890</v>
      </c>
      <c r="C46" s="251">
        <v>1</v>
      </c>
      <c r="D46" s="268" t="s">
        <v>946</v>
      </c>
      <c r="E46" s="277"/>
      <c r="F46" s="277"/>
      <c r="G46" s="291" t="s">
        <v>944</v>
      </c>
      <c r="H46" s="283"/>
    </row>
    <row r="47" spans="1:8" s="243" customFormat="1" ht="25.5" customHeight="1" x14ac:dyDescent="0.25">
      <c r="A47" s="252" t="s">
        <v>881</v>
      </c>
      <c r="B47" s="253" t="s">
        <v>922</v>
      </c>
      <c r="C47" s="254">
        <v>1</v>
      </c>
      <c r="D47" s="267" t="s">
        <v>382</v>
      </c>
      <c r="E47" s="276"/>
      <c r="F47" s="276"/>
      <c r="G47" s="290" t="s">
        <v>944</v>
      </c>
      <c r="H47" s="284"/>
    </row>
    <row r="48" spans="1:8" s="243" customFormat="1" ht="25.5" customHeight="1" x14ac:dyDescent="0.25">
      <c r="A48" s="252" t="s">
        <v>881</v>
      </c>
      <c r="B48" s="253" t="s">
        <v>921</v>
      </c>
      <c r="C48" s="254">
        <v>1</v>
      </c>
      <c r="D48" s="267" t="s">
        <v>946</v>
      </c>
      <c r="E48" s="276"/>
      <c r="F48" s="276"/>
      <c r="G48" s="290" t="s">
        <v>944</v>
      </c>
      <c r="H48" s="284"/>
    </row>
    <row r="49" spans="1:8" s="243" customFormat="1" ht="25.5" customHeight="1" thickBot="1" x14ac:dyDescent="0.3">
      <c r="A49" s="255" t="s">
        <v>881</v>
      </c>
      <c r="B49" s="256" t="s">
        <v>921</v>
      </c>
      <c r="C49" s="257">
        <v>1</v>
      </c>
      <c r="D49" s="269" t="s">
        <v>946</v>
      </c>
      <c r="E49" s="278"/>
      <c r="F49" s="278"/>
      <c r="G49" s="292" t="s">
        <v>944</v>
      </c>
      <c r="H49" s="285"/>
    </row>
    <row r="50" spans="1:8" s="243" customFormat="1" ht="25.5" customHeight="1" thickTop="1" thickBot="1" x14ac:dyDescent="0.3">
      <c r="A50" s="252"/>
      <c r="B50" s="261" t="s">
        <v>943</v>
      </c>
      <c r="C50" s="262">
        <f>SUBTOTAL(9,C46:C49)</f>
        <v>4</v>
      </c>
      <c r="D50" s="267"/>
      <c r="E50" s="276"/>
      <c r="F50" s="276"/>
      <c r="G50" s="290"/>
      <c r="H50" s="282"/>
    </row>
    <row r="51" spans="1:8" s="243" customFormat="1" ht="25.5" customHeight="1" thickTop="1" x14ac:dyDescent="0.25">
      <c r="A51" s="249" t="s">
        <v>882</v>
      </c>
      <c r="B51" s="250" t="s">
        <v>902</v>
      </c>
      <c r="C51" s="251">
        <v>9</v>
      </c>
      <c r="D51" s="268" t="s">
        <v>946</v>
      </c>
      <c r="E51" s="277"/>
      <c r="F51" s="277"/>
      <c r="G51" s="291" t="s">
        <v>944</v>
      </c>
      <c r="H51" s="283"/>
    </row>
    <row r="52" spans="1:8" s="243" customFormat="1" ht="25.5" customHeight="1" x14ac:dyDescent="0.25">
      <c r="A52" s="252" t="s">
        <v>882</v>
      </c>
      <c r="B52" s="253" t="s">
        <v>901</v>
      </c>
      <c r="C52" s="254">
        <v>4</v>
      </c>
      <c r="D52" s="267" t="s">
        <v>946</v>
      </c>
      <c r="E52" s="276"/>
      <c r="F52" s="276"/>
      <c r="G52" s="290" t="s">
        <v>944</v>
      </c>
      <c r="H52" s="284"/>
    </row>
    <row r="53" spans="1:8" s="243" customFormat="1" ht="25.5" customHeight="1" x14ac:dyDescent="0.25">
      <c r="A53" s="252" t="s">
        <v>882</v>
      </c>
      <c r="B53" s="253" t="s">
        <v>905</v>
      </c>
      <c r="C53" s="254">
        <v>2</v>
      </c>
      <c r="D53" s="267" t="s">
        <v>364</v>
      </c>
      <c r="E53" s="276"/>
      <c r="F53" s="276"/>
      <c r="G53" s="290" t="s">
        <v>944</v>
      </c>
      <c r="H53" s="284"/>
    </row>
    <row r="54" spans="1:8" s="243" customFormat="1" ht="25.5" customHeight="1" x14ac:dyDescent="0.25">
      <c r="A54" s="252" t="s">
        <v>882</v>
      </c>
      <c r="B54" s="253" t="s">
        <v>912</v>
      </c>
      <c r="C54" s="254">
        <v>2</v>
      </c>
      <c r="D54" s="267" t="s">
        <v>946</v>
      </c>
      <c r="E54" s="276"/>
      <c r="F54" s="276"/>
      <c r="G54" s="290" t="s">
        <v>944</v>
      </c>
      <c r="H54" s="284"/>
    </row>
    <row r="55" spans="1:8" s="243" customFormat="1" ht="25.5" customHeight="1" x14ac:dyDescent="0.25">
      <c r="A55" s="252" t="s">
        <v>882</v>
      </c>
      <c r="B55" s="253" t="s">
        <v>897</v>
      </c>
      <c r="C55" s="254">
        <v>23</v>
      </c>
      <c r="D55" s="267" t="s">
        <v>946</v>
      </c>
      <c r="E55" s="276"/>
      <c r="F55" s="276"/>
      <c r="G55" s="290" t="s">
        <v>944</v>
      </c>
      <c r="H55" s="284"/>
    </row>
    <row r="56" spans="1:8" s="243" customFormat="1" ht="25.5" customHeight="1" x14ac:dyDescent="0.25">
      <c r="A56" s="252" t="s">
        <v>882</v>
      </c>
      <c r="B56" s="253" t="s">
        <v>896</v>
      </c>
      <c r="C56" s="254">
        <v>20</v>
      </c>
      <c r="D56" s="267" t="s">
        <v>946</v>
      </c>
      <c r="E56" s="276"/>
      <c r="F56" s="276"/>
      <c r="G56" s="290" t="s">
        <v>944</v>
      </c>
      <c r="H56" s="284"/>
    </row>
    <row r="57" spans="1:8" s="243" customFormat="1" ht="25.5" customHeight="1" x14ac:dyDescent="0.25">
      <c r="A57" s="252" t="s">
        <v>882</v>
      </c>
      <c r="B57" s="253" t="s">
        <v>906</v>
      </c>
      <c r="C57" s="254">
        <v>6</v>
      </c>
      <c r="D57" s="267" t="s">
        <v>364</v>
      </c>
      <c r="E57" s="276"/>
      <c r="F57" s="276"/>
      <c r="G57" s="290" t="s">
        <v>944</v>
      </c>
      <c r="H57" s="284"/>
    </row>
    <row r="58" spans="1:8" s="243" customFormat="1" ht="25.5" customHeight="1" x14ac:dyDescent="0.25">
      <c r="A58" s="252" t="s">
        <v>882</v>
      </c>
      <c r="B58" s="253" t="s">
        <v>923</v>
      </c>
      <c r="C58" s="254">
        <v>1</v>
      </c>
      <c r="D58" s="267" t="s">
        <v>946</v>
      </c>
      <c r="E58" s="276"/>
      <c r="F58" s="276"/>
      <c r="G58" s="290" t="s">
        <v>944</v>
      </c>
      <c r="H58" s="284"/>
    </row>
    <row r="59" spans="1:8" s="243" customFormat="1" ht="25.5" customHeight="1" x14ac:dyDescent="0.25">
      <c r="A59" s="252" t="s">
        <v>882</v>
      </c>
      <c r="B59" s="253" t="s">
        <v>899</v>
      </c>
      <c r="C59" s="254">
        <v>1</v>
      </c>
      <c r="D59" s="267" t="s">
        <v>946</v>
      </c>
      <c r="E59" s="276"/>
      <c r="F59" s="276"/>
      <c r="G59" s="290" t="s">
        <v>944</v>
      </c>
      <c r="H59" s="284"/>
    </row>
    <row r="60" spans="1:8" s="243" customFormat="1" ht="25.5" customHeight="1" x14ac:dyDescent="0.25">
      <c r="A60" s="252" t="s">
        <v>882</v>
      </c>
      <c r="B60" s="253" t="s">
        <v>924</v>
      </c>
      <c r="C60" s="254">
        <v>1</v>
      </c>
      <c r="D60" s="267" t="s">
        <v>386</v>
      </c>
      <c r="E60" s="276"/>
      <c r="F60" s="276"/>
      <c r="G60" s="290" t="s">
        <v>944</v>
      </c>
      <c r="H60" s="284"/>
    </row>
    <row r="61" spans="1:8" s="243" customFormat="1" ht="25.5" customHeight="1" x14ac:dyDescent="0.25">
      <c r="A61" s="252" t="s">
        <v>882</v>
      </c>
      <c r="B61" s="253" t="s">
        <v>925</v>
      </c>
      <c r="C61" s="254">
        <v>2</v>
      </c>
      <c r="D61" s="267" t="s">
        <v>386</v>
      </c>
      <c r="E61" s="276"/>
      <c r="F61" s="276"/>
      <c r="G61" s="290" t="s">
        <v>944</v>
      </c>
      <c r="H61" s="284"/>
    </row>
    <row r="62" spans="1:8" s="243" customFormat="1" ht="25.5" customHeight="1" x14ac:dyDescent="0.25">
      <c r="A62" s="252" t="s">
        <v>882</v>
      </c>
      <c r="B62" s="253" t="s">
        <v>926</v>
      </c>
      <c r="C62" s="254">
        <v>2</v>
      </c>
      <c r="D62" s="267" t="s">
        <v>386</v>
      </c>
      <c r="E62" s="276"/>
      <c r="F62" s="276"/>
      <c r="G62" s="290" t="s">
        <v>944</v>
      </c>
      <c r="H62" s="284"/>
    </row>
    <row r="63" spans="1:8" s="243" customFormat="1" ht="25.5" customHeight="1" x14ac:dyDescent="0.25">
      <c r="A63" s="252" t="s">
        <v>882</v>
      </c>
      <c r="B63" s="253" t="s">
        <v>898</v>
      </c>
      <c r="C63" s="254">
        <v>1</v>
      </c>
      <c r="D63" s="267" t="s">
        <v>946</v>
      </c>
      <c r="E63" s="276"/>
      <c r="F63" s="276"/>
      <c r="G63" s="290" t="s">
        <v>944</v>
      </c>
      <c r="H63" s="284"/>
    </row>
    <row r="64" spans="1:8" s="243" customFormat="1" ht="25.5" customHeight="1" thickBot="1" x14ac:dyDescent="0.3">
      <c r="A64" s="255" t="s">
        <v>882</v>
      </c>
      <c r="B64" s="256" t="s">
        <v>927</v>
      </c>
      <c r="C64" s="257">
        <v>2</v>
      </c>
      <c r="D64" s="269" t="s">
        <v>946</v>
      </c>
      <c r="E64" s="278"/>
      <c r="F64" s="278"/>
      <c r="G64" s="292" t="s">
        <v>944</v>
      </c>
      <c r="H64" s="285"/>
    </row>
    <row r="65" spans="1:8" s="243" customFormat="1" ht="25.5" customHeight="1" thickTop="1" thickBot="1" x14ac:dyDescent="0.3">
      <c r="A65" s="255"/>
      <c r="B65" s="261" t="s">
        <v>943</v>
      </c>
      <c r="C65" s="262">
        <f>SUBTOTAL(9,C51:C64)</f>
        <v>76</v>
      </c>
      <c r="D65" s="269"/>
      <c r="E65" s="278"/>
      <c r="F65" s="278"/>
      <c r="G65" s="292"/>
      <c r="H65" s="286"/>
    </row>
    <row r="66" spans="1:8" s="243" customFormat="1" ht="25.5" customHeight="1" thickTop="1" thickBot="1" x14ac:dyDescent="0.3">
      <c r="A66" s="258" t="s">
        <v>883</v>
      </c>
      <c r="B66" s="259" t="s">
        <v>928</v>
      </c>
      <c r="C66" s="260">
        <v>2</v>
      </c>
      <c r="D66" s="270" t="s">
        <v>947</v>
      </c>
      <c r="E66" s="279" t="s">
        <v>948</v>
      </c>
      <c r="F66" s="279"/>
      <c r="G66" s="293" t="s">
        <v>944</v>
      </c>
      <c r="H66" s="287"/>
    </row>
    <row r="67" spans="1:8" s="243" customFormat="1" ht="25.5" customHeight="1" thickTop="1" x14ac:dyDescent="0.25">
      <c r="A67" s="249" t="s">
        <v>884</v>
      </c>
      <c r="B67" s="250" t="s">
        <v>908</v>
      </c>
      <c r="C67" s="251">
        <v>1</v>
      </c>
      <c r="D67" s="268" t="s">
        <v>364</v>
      </c>
      <c r="E67" s="277"/>
      <c r="F67" s="277"/>
      <c r="G67" s="291" t="s">
        <v>944</v>
      </c>
      <c r="H67" s="283"/>
    </row>
    <row r="68" spans="1:8" s="243" customFormat="1" ht="25.5" customHeight="1" x14ac:dyDescent="0.25">
      <c r="A68" s="252" t="s">
        <v>884</v>
      </c>
      <c r="B68" s="253" t="s">
        <v>906</v>
      </c>
      <c r="C68" s="254">
        <v>1</v>
      </c>
      <c r="D68" s="267" t="s">
        <v>364</v>
      </c>
      <c r="E68" s="276"/>
      <c r="F68" s="276"/>
      <c r="G68" s="290" t="s">
        <v>944</v>
      </c>
      <c r="H68" s="284"/>
    </row>
    <row r="69" spans="1:8" s="243" customFormat="1" ht="25.5" customHeight="1" x14ac:dyDescent="0.25">
      <c r="A69" s="252" t="s">
        <v>884</v>
      </c>
      <c r="B69" s="253" t="s">
        <v>897</v>
      </c>
      <c r="C69" s="254">
        <v>1</v>
      </c>
      <c r="D69" s="267" t="s">
        <v>946</v>
      </c>
      <c r="E69" s="276"/>
      <c r="F69" s="276"/>
      <c r="G69" s="290" t="s">
        <v>944</v>
      </c>
      <c r="H69" s="284"/>
    </row>
    <row r="70" spans="1:8" s="243" customFormat="1" ht="25.5" customHeight="1" x14ac:dyDescent="0.25">
      <c r="A70" s="252" t="s">
        <v>884</v>
      </c>
      <c r="B70" s="253" t="s">
        <v>897</v>
      </c>
      <c r="C70" s="254">
        <v>1</v>
      </c>
      <c r="D70" s="267" t="s">
        <v>946</v>
      </c>
      <c r="E70" s="276"/>
      <c r="F70" s="276"/>
      <c r="G70" s="290" t="s">
        <v>944</v>
      </c>
      <c r="H70" s="284"/>
    </row>
    <row r="71" spans="1:8" s="243" customFormat="1" ht="25.5" customHeight="1" x14ac:dyDescent="0.25">
      <c r="A71" s="252" t="s">
        <v>884</v>
      </c>
      <c r="B71" s="253" t="s">
        <v>898</v>
      </c>
      <c r="C71" s="254">
        <v>4</v>
      </c>
      <c r="D71" s="267" t="s">
        <v>946</v>
      </c>
      <c r="E71" s="276"/>
      <c r="F71" s="276"/>
      <c r="G71" s="290" t="s">
        <v>944</v>
      </c>
      <c r="H71" s="284"/>
    </row>
    <row r="72" spans="1:8" s="243" customFormat="1" ht="25.5" customHeight="1" x14ac:dyDescent="0.25">
      <c r="A72" s="252" t="s">
        <v>884</v>
      </c>
      <c r="B72" s="253" t="s">
        <v>896</v>
      </c>
      <c r="C72" s="254">
        <v>2</v>
      </c>
      <c r="D72" s="267" t="s">
        <v>946</v>
      </c>
      <c r="E72" s="276"/>
      <c r="F72" s="276"/>
      <c r="G72" s="290" t="s">
        <v>944</v>
      </c>
      <c r="H72" s="284"/>
    </row>
    <row r="73" spans="1:8" s="243" customFormat="1" ht="25.5" customHeight="1" x14ac:dyDescent="0.25">
      <c r="A73" s="252" t="s">
        <v>884</v>
      </c>
      <c r="B73" s="253" t="s">
        <v>921</v>
      </c>
      <c r="C73" s="254">
        <v>1</v>
      </c>
      <c r="D73" s="267" t="s">
        <v>946</v>
      </c>
      <c r="E73" s="276"/>
      <c r="F73" s="276"/>
      <c r="G73" s="290" t="s">
        <v>944</v>
      </c>
      <c r="H73" s="284"/>
    </row>
    <row r="74" spans="1:8" s="243" customFormat="1" ht="25.5" customHeight="1" x14ac:dyDescent="0.25">
      <c r="A74" s="252" t="s">
        <v>884</v>
      </c>
      <c r="B74" s="253" t="s">
        <v>929</v>
      </c>
      <c r="C74" s="254">
        <v>2</v>
      </c>
      <c r="D74" s="267" t="s">
        <v>386</v>
      </c>
      <c r="E74" s="276"/>
      <c r="F74" s="276"/>
      <c r="G74" s="290" t="s">
        <v>944</v>
      </c>
      <c r="H74" s="284"/>
    </row>
    <row r="75" spans="1:8" s="243" customFormat="1" ht="25.5" customHeight="1" x14ac:dyDescent="0.25">
      <c r="A75" s="252" t="s">
        <v>884</v>
      </c>
      <c r="B75" s="253" t="s">
        <v>893</v>
      </c>
      <c r="C75" s="254">
        <v>3</v>
      </c>
      <c r="D75" s="267" t="s">
        <v>946</v>
      </c>
      <c r="E75" s="276"/>
      <c r="F75" s="276"/>
      <c r="G75" s="290" t="s">
        <v>944</v>
      </c>
      <c r="H75" s="284"/>
    </row>
    <row r="76" spans="1:8" s="243" customFormat="1" ht="25.5" customHeight="1" x14ac:dyDescent="0.25">
      <c r="A76" s="252" t="s">
        <v>884</v>
      </c>
      <c r="B76" s="253" t="s">
        <v>895</v>
      </c>
      <c r="C76" s="254">
        <v>2</v>
      </c>
      <c r="D76" s="267" t="s">
        <v>386</v>
      </c>
      <c r="E76" s="276"/>
      <c r="F76" s="276"/>
      <c r="G76" s="290" t="s">
        <v>944</v>
      </c>
      <c r="H76" s="284"/>
    </row>
    <row r="77" spans="1:8" s="243" customFormat="1" ht="25.5" customHeight="1" x14ac:dyDescent="0.25">
      <c r="A77" s="252" t="s">
        <v>884</v>
      </c>
      <c r="B77" s="253" t="s">
        <v>895</v>
      </c>
      <c r="C77" s="254">
        <v>3</v>
      </c>
      <c r="D77" s="267" t="s">
        <v>386</v>
      </c>
      <c r="E77" s="276"/>
      <c r="F77" s="276"/>
      <c r="G77" s="290" t="s">
        <v>944</v>
      </c>
      <c r="H77" s="284"/>
    </row>
    <row r="78" spans="1:8" s="243" customFormat="1" ht="25.5" customHeight="1" x14ac:dyDescent="0.25">
      <c r="A78" s="252" t="s">
        <v>884</v>
      </c>
      <c r="B78" s="253" t="s">
        <v>930</v>
      </c>
      <c r="C78" s="254">
        <v>2</v>
      </c>
      <c r="D78" s="267" t="s">
        <v>946</v>
      </c>
      <c r="E78" s="276"/>
      <c r="F78" s="276"/>
      <c r="G78" s="290" t="s">
        <v>944</v>
      </c>
      <c r="H78" s="284"/>
    </row>
    <row r="79" spans="1:8" s="243" customFormat="1" ht="25.5" customHeight="1" thickBot="1" x14ac:dyDescent="0.3">
      <c r="A79" s="255" t="s">
        <v>884</v>
      </c>
      <c r="B79" s="256" t="s">
        <v>931</v>
      </c>
      <c r="C79" s="257">
        <v>2</v>
      </c>
      <c r="D79" s="269" t="s">
        <v>946</v>
      </c>
      <c r="E79" s="278"/>
      <c r="F79" s="278"/>
      <c r="G79" s="292" t="s">
        <v>944</v>
      </c>
      <c r="H79" s="285"/>
    </row>
    <row r="80" spans="1:8" s="243" customFormat="1" ht="25.5" customHeight="1" thickTop="1" thickBot="1" x14ac:dyDescent="0.3">
      <c r="A80" s="252"/>
      <c r="B80" s="261" t="s">
        <v>943</v>
      </c>
      <c r="C80" s="262">
        <f>SUBTOTAL(9,C67:C79)</f>
        <v>25</v>
      </c>
      <c r="D80" s="267"/>
      <c r="E80" s="276"/>
      <c r="F80" s="276"/>
      <c r="G80" s="290"/>
      <c r="H80" s="282"/>
    </row>
    <row r="81" spans="1:8" s="243" customFormat="1" ht="25.5" customHeight="1" thickTop="1" x14ac:dyDescent="0.25">
      <c r="A81" s="249" t="s">
        <v>885</v>
      </c>
      <c r="B81" s="250" t="s">
        <v>932</v>
      </c>
      <c r="C81" s="251">
        <v>4</v>
      </c>
      <c r="D81" s="268" t="s">
        <v>946</v>
      </c>
      <c r="E81" s="277"/>
      <c r="F81" s="277"/>
      <c r="G81" s="291" t="s">
        <v>944</v>
      </c>
      <c r="H81" s="283"/>
    </row>
    <row r="82" spans="1:8" s="243" customFormat="1" ht="25.5" customHeight="1" x14ac:dyDescent="0.25">
      <c r="A82" s="252" t="s">
        <v>885</v>
      </c>
      <c r="B82" s="253" t="s">
        <v>890</v>
      </c>
      <c r="C82" s="254">
        <v>4</v>
      </c>
      <c r="D82" s="267" t="s">
        <v>946</v>
      </c>
      <c r="E82" s="276"/>
      <c r="F82" s="276"/>
      <c r="G82" s="290" t="s">
        <v>944</v>
      </c>
      <c r="H82" s="284"/>
    </row>
    <row r="83" spans="1:8" s="243" customFormat="1" ht="25.5" customHeight="1" thickBot="1" x14ac:dyDescent="0.3">
      <c r="A83" s="255" t="s">
        <v>885</v>
      </c>
      <c r="B83" s="256" t="s">
        <v>891</v>
      </c>
      <c r="C83" s="257">
        <v>3</v>
      </c>
      <c r="D83" s="269" t="s">
        <v>946</v>
      </c>
      <c r="E83" s="278"/>
      <c r="F83" s="278"/>
      <c r="G83" s="292" t="s">
        <v>944</v>
      </c>
      <c r="H83" s="285"/>
    </row>
    <row r="84" spans="1:8" s="243" customFormat="1" ht="25.5" customHeight="1" thickTop="1" thickBot="1" x14ac:dyDescent="0.3">
      <c r="A84" s="252"/>
      <c r="B84" s="261" t="s">
        <v>943</v>
      </c>
      <c r="C84" s="262">
        <f>SUBTOTAL(9,C81:C83)</f>
        <v>11</v>
      </c>
      <c r="D84" s="267"/>
      <c r="E84" s="276"/>
      <c r="F84" s="276"/>
      <c r="G84" s="290"/>
      <c r="H84" s="282"/>
    </row>
    <row r="85" spans="1:8" s="243" customFormat="1" ht="25.5" customHeight="1" thickTop="1" x14ac:dyDescent="0.25">
      <c r="A85" s="249" t="s">
        <v>886</v>
      </c>
      <c r="B85" s="250" t="s">
        <v>933</v>
      </c>
      <c r="C85" s="251">
        <v>3</v>
      </c>
      <c r="D85" s="268" t="s">
        <v>946</v>
      </c>
      <c r="E85" s="277"/>
      <c r="F85" s="277"/>
      <c r="G85" s="291" t="s">
        <v>944</v>
      </c>
      <c r="H85" s="283"/>
    </row>
    <row r="86" spans="1:8" s="243" customFormat="1" ht="25.5" customHeight="1" x14ac:dyDescent="0.25">
      <c r="A86" s="252" t="s">
        <v>886</v>
      </c>
      <c r="B86" s="253" t="s">
        <v>934</v>
      </c>
      <c r="C86" s="254">
        <v>2</v>
      </c>
      <c r="D86" s="267" t="s">
        <v>947</v>
      </c>
      <c r="E86" s="276" t="s">
        <v>948</v>
      </c>
      <c r="F86" s="276"/>
      <c r="G86" s="290" t="s">
        <v>944</v>
      </c>
      <c r="H86" s="284"/>
    </row>
    <row r="87" spans="1:8" s="243" customFormat="1" ht="25.5" customHeight="1" thickBot="1" x14ac:dyDescent="0.3">
      <c r="A87" s="255" t="s">
        <v>886</v>
      </c>
      <c r="B87" s="256" t="s">
        <v>935</v>
      </c>
      <c r="C87" s="257">
        <v>3</v>
      </c>
      <c r="D87" s="269" t="s">
        <v>947</v>
      </c>
      <c r="E87" s="278" t="s">
        <v>948</v>
      </c>
      <c r="F87" s="278"/>
      <c r="G87" s="292" t="s">
        <v>944</v>
      </c>
      <c r="H87" s="285"/>
    </row>
    <row r="88" spans="1:8" s="243" customFormat="1" ht="25.5" customHeight="1" thickTop="1" thickBot="1" x14ac:dyDescent="0.3">
      <c r="A88" s="252"/>
      <c r="B88" s="261" t="s">
        <v>943</v>
      </c>
      <c r="C88" s="262">
        <f>SUBTOTAL(9,C85:C87)</f>
        <v>8</v>
      </c>
      <c r="D88" s="267"/>
      <c r="E88" s="276"/>
      <c r="F88" s="276"/>
      <c r="G88" s="290"/>
      <c r="H88" s="282"/>
    </row>
    <row r="89" spans="1:8" ht="25.5" customHeight="1" thickTop="1" x14ac:dyDescent="0.25">
      <c r="A89" s="249" t="s">
        <v>887</v>
      </c>
      <c r="B89" s="250" t="s">
        <v>936</v>
      </c>
      <c r="C89" s="251">
        <v>5</v>
      </c>
      <c r="D89" s="268" t="s">
        <v>947</v>
      </c>
      <c r="E89" s="277" t="s">
        <v>948</v>
      </c>
      <c r="F89" s="277"/>
      <c r="G89" s="291" t="s">
        <v>944</v>
      </c>
      <c r="H89" s="283"/>
    </row>
    <row r="90" spans="1:8" ht="25.5" customHeight="1" x14ac:dyDescent="0.25">
      <c r="A90" s="252" t="s">
        <v>887</v>
      </c>
      <c r="B90" s="253" t="s">
        <v>937</v>
      </c>
      <c r="C90" s="254">
        <v>1</v>
      </c>
      <c r="D90" s="267" t="s">
        <v>947</v>
      </c>
      <c r="E90" s="276" t="s">
        <v>948</v>
      </c>
      <c r="F90" s="276"/>
      <c r="G90" s="290" t="s">
        <v>944</v>
      </c>
      <c r="H90" s="284"/>
    </row>
    <row r="91" spans="1:8" ht="25.5" customHeight="1" thickBot="1" x14ac:dyDescent="0.3">
      <c r="A91" s="255" t="s">
        <v>887</v>
      </c>
      <c r="B91" s="256" t="s">
        <v>938</v>
      </c>
      <c r="C91" s="257">
        <v>1</v>
      </c>
      <c r="D91" s="269" t="s">
        <v>947</v>
      </c>
      <c r="E91" s="278" t="s">
        <v>948</v>
      </c>
      <c r="F91" s="278"/>
      <c r="G91" s="292" t="s">
        <v>944</v>
      </c>
      <c r="H91" s="285"/>
    </row>
    <row r="92" spans="1:8" ht="25.5" customHeight="1" thickTop="1" thickBot="1" x14ac:dyDescent="0.3">
      <c r="A92" s="252"/>
      <c r="B92" s="261" t="s">
        <v>943</v>
      </c>
      <c r="C92" s="262">
        <f>SUBTOTAL(9,C89:C91)</f>
        <v>7</v>
      </c>
      <c r="D92" s="267"/>
      <c r="E92" s="276"/>
      <c r="F92" s="276"/>
      <c r="G92" s="290"/>
      <c r="H92" s="282"/>
    </row>
    <row r="93" spans="1:8" ht="25.5" customHeight="1" thickTop="1" x14ac:dyDescent="0.25">
      <c r="A93" s="249" t="s">
        <v>888</v>
      </c>
      <c r="B93" s="250" t="s">
        <v>939</v>
      </c>
      <c r="C93" s="251">
        <v>1</v>
      </c>
      <c r="D93" s="268" t="s">
        <v>947</v>
      </c>
      <c r="E93" s="277" t="s">
        <v>948</v>
      </c>
      <c r="F93" s="277"/>
      <c r="G93" s="291" t="s">
        <v>944</v>
      </c>
      <c r="H93" s="283"/>
    </row>
    <row r="94" spans="1:8" ht="25.5" customHeight="1" x14ac:dyDescent="0.25">
      <c r="A94" s="252" t="s">
        <v>888</v>
      </c>
      <c r="B94" s="253" t="s">
        <v>940</v>
      </c>
      <c r="C94" s="254">
        <v>2</v>
      </c>
      <c r="D94" s="267" t="s">
        <v>947</v>
      </c>
      <c r="E94" s="276" t="s">
        <v>948</v>
      </c>
      <c r="F94" s="276"/>
      <c r="G94" s="290" t="s">
        <v>944</v>
      </c>
      <c r="H94" s="284"/>
    </row>
    <row r="95" spans="1:8" ht="25.5" customHeight="1" x14ac:dyDescent="0.25">
      <c r="A95" s="252"/>
      <c r="B95" s="261" t="s">
        <v>943</v>
      </c>
      <c r="C95" s="262">
        <f>SUBTOTAL(9,C93:C94)</f>
        <v>3</v>
      </c>
      <c r="D95" s="267"/>
      <c r="E95" s="276"/>
      <c r="F95" s="276"/>
      <c r="G95" s="290"/>
      <c r="H95" s="282"/>
    </row>
    <row r="96" spans="1:8" ht="25.5" customHeight="1" x14ac:dyDescent="0.25">
      <c r="A96" s="252"/>
      <c r="B96" s="379" t="s">
        <v>1095</v>
      </c>
      <c r="C96" s="380">
        <f>SUBTOTAL(9,C3:C91)</f>
        <v>285</v>
      </c>
      <c r="D96" s="267"/>
      <c r="E96" s="276"/>
      <c r="F96" s="276"/>
      <c r="G96" s="290"/>
      <c r="H96" s="284"/>
    </row>
  </sheetData>
  <phoneticPr fontId="29" type="noConversion"/>
  <hyperlinks>
    <hyperlink ref="A1" location="Dashboard!A1" display="⬅ Kembali ke Dashboard" xr:uid="{5A6F6836-6F9B-403F-A434-90959AA4C04E}"/>
  </hyperlinks>
  <printOptions horizontalCentered="1"/>
  <pageMargins left="0.25" right="0.25" top="0.75" bottom="0.75" header="0.3" footer="0.3"/>
  <pageSetup paperSize="8" scale="150" fitToHeight="0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5409E-C188-4724-B57C-A4DC032D9639}">
  <sheetPr codeName="Sheet6">
    <tabColor rgb="FFFF0000"/>
    <pageSetUpPr fitToPage="1"/>
  </sheetPr>
  <dimension ref="A5:AA87"/>
  <sheetViews>
    <sheetView zoomScale="70" zoomScaleNormal="70" workbookViewId="0">
      <selection activeCell="L8" sqref="L8"/>
    </sheetView>
  </sheetViews>
  <sheetFormatPr defaultRowHeight="12.5" x14ac:dyDescent="0.25"/>
  <cols>
    <col min="1" max="1" width="7.6328125" customWidth="1"/>
    <col min="2" max="2" width="5.453125" bestFit="1" customWidth="1"/>
    <col min="3" max="3" width="4" bestFit="1" customWidth="1"/>
    <col min="4" max="4" width="13.26953125" bestFit="1" customWidth="1"/>
    <col min="5" max="5" width="8.54296875" customWidth="1"/>
    <col min="6" max="6" width="0.81640625" customWidth="1"/>
    <col min="7" max="7" width="11.90625" customWidth="1"/>
    <col min="8" max="8" width="9.36328125" customWidth="1"/>
    <col min="9" max="9" width="5.26953125" customWidth="1"/>
    <col min="10" max="10" width="0.81640625" customWidth="1"/>
    <col min="11" max="11" width="21.1796875" customWidth="1"/>
    <col min="12" max="12" width="9.81640625" customWidth="1"/>
    <col min="13" max="13" width="10.6328125" customWidth="1"/>
    <col min="14" max="14" width="13.26953125" customWidth="1"/>
    <col min="15" max="15" width="7" customWidth="1"/>
    <col min="16" max="16" width="14.08984375" customWidth="1"/>
    <col min="17" max="17" width="47.90625" customWidth="1"/>
    <col min="18" max="18" width="0.81640625" customWidth="1"/>
    <col min="19" max="19" width="33.7265625" customWidth="1"/>
    <col min="20" max="20" width="13.26953125" customWidth="1"/>
    <col min="21" max="21" width="4.453125" customWidth="1"/>
    <col min="22" max="22" width="14.453125" customWidth="1"/>
    <col min="23" max="23" width="0.81640625" customWidth="1"/>
    <col min="24" max="24" width="21.54296875" customWidth="1"/>
    <col min="25" max="25" width="13.26953125" customWidth="1"/>
    <col min="26" max="26" width="14.81640625" customWidth="1"/>
    <col min="27" max="27" width="11.36328125" customWidth="1"/>
  </cols>
  <sheetData>
    <row r="5" spans="1:27" ht="15.5" x14ac:dyDescent="0.35">
      <c r="A5" s="118" t="s">
        <v>340</v>
      </c>
      <c r="G5" s="118" t="s">
        <v>341</v>
      </c>
      <c r="H5" s="118"/>
      <c r="I5" s="118"/>
      <c r="J5" s="118"/>
      <c r="K5" s="118" t="s">
        <v>725</v>
      </c>
      <c r="S5" s="118" t="s">
        <v>829</v>
      </c>
      <c r="X5" s="118" t="s">
        <v>861</v>
      </c>
    </row>
    <row r="6" spans="1:27" s="211" customFormat="1" ht="16" thickBot="1" x14ac:dyDescent="0.4">
      <c r="A6" s="117" t="s">
        <v>275</v>
      </c>
      <c r="B6" s="117" t="s">
        <v>276</v>
      </c>
      <c r="C6" s="117" t="s">
        <v>73</v>
      </c>
      <c r="D6" s="117" t="s">
        <v>277</v>
      </c>
      <c r="E6" s="117" t="s">
        <v>274</v>
      </c>
      <c r="G6" s="117" t="s">
        <v>2</v>
      </c>
      <c r="H6" s="117" t="s">
        <v>284</v>
      </c>
      <c r="I6" s="117" t="s">
        <v>4</v>
      </c>
      <c r="K6" s="117" t="s">
        <v>620</v>
      </c>
      <c r="L6" s="117" t="s">
        <v>621</v>
      </c>
      <c r="M6" s="117" t="s">
        <v>622</v>
      </c>
      <c r="N6" s="117" t="s">
        <v>623</v>
      </c>
      <c r="O6" s="117" t="s">
        <v>4</v>
      </c>
      <c r="P6" s="117" t="s">
        <v>41</v>
      </c>
      <c r="Q6" s="117" t="s">
        <v>624</v>
      </c>
      <c r="S6" s="117" t="s">
        <v>726</v>
      </c>
      <c r="T6" s="117" t="s">
        <v>622</v>
      </c>
      <c r="U6" s="117" t="s">
        <v>4</v>
      </c>
      <c r="V6" s="117" t="s">
        <v>727</v>
      </c>
      <c r="X6" s="117" t="s">
        <v>1</v>
      </c>
      <c r="Y6" s="117" t="s">
        <v>833</v>
      </c>
      <c r="Z6" s="117" t="s">
        <v>834</v>
      </c>
      <c r="AA6" s="117" t="s">
        <v>41</v>
      </c>
    </row>
    <row r="7" spans="1:27" s="183" customFormat="1" ht="11.5" thickTop="1" thickBot="1" x14ac:dyDescent="0.3">
      <c r="A7" s="181"/>
      <c r="B7" s="181"/>
      <c r="C7" s="181"/>
      <c r="D7" s="182"/>
      <c r="E7" s="182"/>
      <c r="G7" s="184"/>
      <c r="H7" s="184"/>
      <c r="I7" s="184"/>
      <c r="K7" s="185"/>
      <c r="L7" s="185"/>
      <c r="M7" s="185"/>
      <c r="N7" s="185"/>
      <c r="O7" s="185"/>
      <c r="P7" s="186"/>
      <c r="Q7" s="187"/>
      <c r="S7" s="188"/>
      <c r="T7" s="188"/>
      <c r="U7" s="188"/>
      <c r="V7" s="189"/>
      <c r="X7" s="190"/>
      <c r="Y7" s="191"/>
      <c r="Z7" s="191"/>
      <c r="AA7" s="191"/>
    </row>
    <row r="8" spans="1:27" s="183" customFormat="1" ht="11" thickTop="1" x14ac:dyDescent="0.25">
      <c r="A8" s="181">
        <v>48</v>
      </c>
      <c r="B8" s="181">
        <v>150</v>
      </c>
      <c r="C8" s="181">
        <v>2</v>
      </c>
      <c r="D8" s="182"/>
      <c r="E8" s="182" t="s">
        <v>278</v>
      </c>
      <c r="G8" s="192" t="s">
        <v>285</v>
      </c>
      <c r="H8" s="192" t="s">
        <v>286</v>
      </c>
      <c r="I8" s="192" t="s">
        <v>287</v>
      </c>
      <c r="K8" s="131" t="s">
        <v>625</v>
      </c>
      <c r="L8" s="123" t="s">
        <v>626</v>
      </c>
      <c r="M8" s="179" t="s">
        <v>627</v>
      </c>
      <c r="N8" s="123" t="s">
        <v>628</v>
      </c>
      <c r="O8" s="193">
        <v>1</v>
      </c>
      <c r="P8" s="124" t="s">
        <v>629</v>
      </c>
      <c r="Q8" s="194" t="s">
        <v>630</v>
      </c>
      <c r="S8" s="195" t="s">
        <v>728</v>
      </c>
      <c r="T8" s="196" t="s">
        <v>729</v>
      </c>
      <c r="U8" s="197" t="s">
        <v>730</v>
      </c>
      <c r="V8" s="198" t="s">
        <v>667</v>
      </c>
      <c r="X8" s="182" t="s">
        <v>835</v>
      </c>
      <c r="Y8" s="192" t="s">
        <v>836</v>
      </c>
      <c r="Z8" s="192" t="s">
        <v>837</v>
      </c>
      <c r="AA8" s="180" t="s">
        <v>736</v>
      </c>
    </row>
    <row r="9" spans="1:27" s="183" customFormat="1" ht="10.5" x14ac:dyDescent="0.25">
      <c r="A9" s="181">
        <v>42</v>
      </c>
      <c r="B9" s="181">
        <v>150</v>
      </c>
      <c r="C9" s="181">
        <v>2</v>
      </c>
      <c r="D9" s="182" t="s">
        <v>279</v>
      </c>
      <c r="E9" s="182" t="s">
        <v>278</v>
      </c>
      <c r="G9" s="192" t="s">
        <v>288</v>
      </c>
      <c r="H9" s="192" t="s">
        <v>289</v>
      </c>
      <c r="I9" s="192" t="s">
        <v>290</v>
      </c>
      <c r="K9" s="132" t="s">
        <v>631</v>
      </c>
      <c r="L9" s="125" t="s">
        <v>118</v>
      </c>
      <c r="M9" s="180" t="s">
        <v>632</v>
      </c>
      <c r="N9" s="125" t="s">
        <v>628</v>
      </c>
      <c r="O9" s="199">
        <v>1</v>
      </c>
      <c r="P9" s="126" t="s">
        <v>629</v>
      </c>
      <c r="Q9" s="200" t="s">
        <v>630</v>
      </c>
      <c r="S9" s="201" t="s">
        <v>731</v>
      </c>
      <c r="T9" s="202" t="s">
        <v>732</v>
      </c>
      <c r="U9" s="203" t="s">
        <v>730</v>
      </c>
      <c r="V9" s="197" t="s">
        <v>667</v>
      </c>
      <c r="X9" s="182" t="s">
        <v>838</v>
      </c>
      <c r="Y9" s="192" t="s">
        <v>839</v>
      </c>
      <c r="Z9" s="192" t="s">
        <v>840</v>
      </c>
      <c r="AA9" s="180" t="s">
        <v>736</v>
      </c>
    </row>
    <row r="10" spans="1:27" s="183" customFormat="1" ht="10.5" x14ac:dyDescent="0.25">
      <c r="A10" s="181">
        <v>32</v>
      </c>
      <c r="B10" s="181">
        <v>150</v>
      </c>
      <c r="C10" s="181">
        <v>2</v>
      </c>
      <c r="D10" s="182" t="s">
        <v>280</v>
      </c>
      <c r="E10" s="182" t="s">
        <v>278</v>
      </c>
      <c r="G10" s="192" t="s">
        <v>291</v>
      </c>
      <c r="H10" s="192" t="s">
        <v>292</v>
      </c>
      <c r="I10" s="192" t="s">
        <v>293</v>
      </c>
      <c r="K10" s="132" t="s">
        <v>631</v>
      </c>
      <c r="L10" s="125" t="s">
        <v>633</v>
      </c>
      <c r="M10" s="180" t="s">
        <v>632</v>
      </c>
      <c r="N10" s="125" t="s">
        <v>628</v>
      </c>
      <c r="O10" s="199">
        <v>1</v>
      </c>
      <c r="P10" s="126" t="s">
        <v>629</v>
      </c>
      <c r="Q10" s="200" t="s">
        <v>630</v>
      </c>
      <c r="S10" s="201" t="s">
        <v>733</v>
      </c>
      <c r="T10" s="202" t="s">
        <v>734</v>
      </c>
      <c r="U10" s="203" t="s">
        <v>735</v>
      </c>
      <c r="V10" s="202" t="s">
        <v>736</v>
      </c>
      <c r="X10" s="182" t="s">
        <v>841</v>
      </c>
      <c r="Y10" s="192" t="s">
        <v>839</v>
      </c>
      <c r="Z10" s="192" t="s">
        <v>735</v>
      </c>
      <c r="AA10" s="180" t="s">
        <v>736</v>
      </c>
    </row>
    <row r="11" spans="1:27" s="183" customFormat="1" ht="10.5" x14ac:dyDescent="0.25">
      <c r="A11" s="181">
        <v>32</v>
      </c>
      <c r="B11" s="181">
        <v>150</v>
      </c>
      <c r="C11" s="181">
        <v>2</v>
      </c>
      <c r="D11" s="182" t="s">
        <v>281</v>
      </c>
      <c r="E11" s="182" t="s">
        <v>278</v>
      </c>
      <c r="G11" s="192" t="s">
        <v>294</v>
      </c>
      <c r="H11" s="192" t="s">
        <v>295</v>
      </c>
      <c r="I11" s="192" t="s">
        <v>296</v>
      </c>
      <c r="K11" s="132" t="s">
        <v>634</v>
      </c>
      <c r="L11" s="125">
        <v>32</v>
      </c>
      <c r="M11" s="180" t="s">
        <v>635</v>
      </c>
      <c r="N11" s="125" t="s">
        <v>628</v>
      </c>
      <c r="O11" s="199">
        <v>1</v>
      </c>
      <c r="P11" s="126" t="s">
        <v>629</v>
      </c>
      <c r="Q11" s="200" t="s">
        <v>630</v>
      </c>
      <c r="S11" s="201" t="s">
        <v>737</v>
      </c>
      <c r="T11" s="202" t="s">
        <v>729</v>
      </c>
      <c r="U11" s="203" t="s">
        <v>730</v>
      </c>
      <c r="V11" s="203" t="s">
        <v>738</v>
      </c>
      <c r="X11" s="182" t="s">
        <v>842</v>
      </c>
      <c r="Y11" s="192" t="s">
        <v>839</v>
      </c>
      <c r="Z11" s="192" t="s">
        <v>843</v>
      </c>
      <c r="AA11" s="180" t="s">
        <v>736</v>
      </c>
    </row>
    <row r="12" spans="1:27" s="183" customFormat="1" ht="10.5" x14ac:dyDescent="0.25">
      <c r="A12" s="181">
        <v>28</v>
      </c>
      <c r="B12" s="181">
        <v>150</v>
      </c>
      <c r="C12" s="181">
        <v>2</v>
      </c>
      <c r="D12" s="182"/>
      <c r="E12" s="182" t="s">
        <v>278</v>
      </c>
      <c r="G12" s="192" t="s">
        <v>288</v>
      </c>
      <c r="H12" s="192" t="s">
        <v>297</v>
      </c>
      <c r="I12" s="192" t="s">
        <v>298</v>
      </c>
      <c r="K12" s="132" t="s">
        <v>636</v>
      </c>
      <c r="L12" s="125" t="s">
        <v>637</v>
      </c>
      <c r="M12" s="180" t="s">
        <v>635</v>
      </c>
      <c r="N12" s="125" t="s">
        <v>628</v>
      </c>
      <c r="O12" s="199">
        <v>1</v>
      </c>
      <c r="P12" s="126" t="s">
        <v>629</v>
      </c>
      <c r="Q12" s="200" t="s">
        <v>630</v>
      </c>
      <c r="S12" s="201" t="s">
        <v>739</v>
      </c>
      <c r="T12" s="202" t="s">
        <v>729</v>
      </c>
      <c r="U12" s="203" t="s">
        <v>740</v>
      </c>
      <c r="V12" s="202" t="s">
        <v>736</v>
      </c>
      <c r="X12" s="182" t="s">
        <v>844</v>
      </c>
      <c r="Y12" s="192" t="s">
        <v>839</v>
      </c>
      <c r="Z12" s="192" t="s">
        <v>740</v>
      </c>
      <c r="AA12" s="180" t="s">
        <v>736</v>
      </c>
    </row>
    <row r="13" spans="1:27" s="183" customFormat="1" ht="10.5" x14ac:dyDescent="0.25">
      <c r="A13" s="181">
        <v>30</v>
      </c>
      <c r="B13" s="181">
        <v>150</v>
      </c>
      <c r="C13" s="181">
        <v>2</v>
      </c>
      <c r="D13" s="182"/>
      <c r="E13" s="182" t="s">
        <v>278</v>
      </c>
      <c r="G13" s="192" t="s">
        <v>299</v>
      </c>
      <c r="H13" s="192" t="s">
        <v>300</v>
      </c>
      <c r="I13" s="192" t="s">
        <v>301</v>
      </c>
      <c r="K13" s="132" t="s">
        <v>638</v>
      </c>
      <c r="L13" s="125" t="s">
        <v>637</v>
      </c>
      <c r="M13" s="180" t="s">
        <v>635</v>
      </c>
      <c r="N13" s="125" t="s">
        <v>628</v>
      </c>
      <c r="O13" s="199">
        <v>1</v>
      </c>
      <c r="P13" s="126" t="s">
        <v>629</v>
      </c>
      <c r="Q13" s="200" t="s">
        <v>630</v>
      </c>
      <c r="S13" s="201" t="s">
        <v>741</v>
      </c>
      <c r="T13" s="202" t="s">
        <v>729</v>
      </c>
      <c r="U13" s="203" t="s">
        <v>742</v>
      </c>
      <c r="V13" s="202" t="s">
        <v>736</v>
      </c>
      <c r="X13" s="182" t="s">
        <v>845</v>
      </c>
      <c r="Y13" s="192" t="s">
        <v>839</v>
      </c>
      <c r="Z13" s="192" t="s">
        <v>839</v>
      </c>
      <c r="AA13" s="180" t="s">
        <v>736</v>
      </c>
    </row>
    <row r="14" spans="1:27" s="183" customFormat="1" ht="10.5" x14ac:dyDescent="0.25">
      <c r="A14" s="181">
        <v>24</v>
      </c>
      <c r="B14" s="181">
        <v>300</v>
      </c>
      <c r="C14" s="181">
        <v>4</v>
      </c>
      <c r="D14" s="182"/>
      <c r="E14" s="182" t="s">
        <v>278</v>
      </c>
      <c r="G14" s="192" t="s">
        <v>299</v>
      </c>
      <c r="H14" s="192" t="s">
        <v>302</v>
      </c>
      <c r="I14" s="192" t="s">
        <v>303</v>
      </c>
      <c r="K14" s="132" t="s">
        <v>639</v>
      </c>
      <c r="L14" s="125" t="s">
        <v>640</v>
      </c>
      <c r="M14" s="180" t="s">
        <v>641</v>
      </c>
      <c r="N14" s="125" t="s">
        <v>628</v>
      </c>
      <c r="O14" s="199">
        <v>1</v>
      </c>
      <c r="P14" s="126" t="s">
        <v>629</v>
      </c>
      <c r="Q14" s="200" t="s">
        <v>630</v>
      </c>
      <c r="S14" s="201" t="s">
        <v>743</v>
      </c>
      <c r="T14" s="202" t="s">
        <v>729</v>
      </c>
      <c r="U14" s="203" t="s">
        <v>730</v>
      </c>
      <c r="V14" s="197" t="s">
        <v>667</v>
      </c>
      <c r="X14" s="182" t="s">
        <v>846</v>
      </c>
      <c r="Y14" s="192" t="s">
        <v>839</v>
      </c>
      <c r="Z14" s="192" t="s">
        <v>847</v>
      </c>
      <c r="AA14" s="180" t="s">
        <v>736</v>
      </c>
    </row>
    <row r="15" spans="1:27" s="183" customFormat="1" ht="10.5" x14ac:dyDescent="0.25">
      <c r="A15" s="181">
        <v>24</v>
      </c>
      <c r="B15" s="181">
        <v>150</v>
      </c>
      <c r="C15" s="181">
        <v>4</v>
      </c>
      <c r="D15" s="182"/>
      <c r="E15" s="182" t="s">
        <v>278</v>
      </c>
      <c r="G15" s="192" t="s">
        <v>304</v>
      </c>
      <c r="H15" s="192" t="s">
        <v>305</v>
      </c>
      <c r="I15" s="192" t="s">
        <v>287</v>
      </c>
      <c r="K15" s="132" t="s">
        <v>639</v>
      </c>
      <c r="L15" s="125" t="s">
        <v>642</v>
      </c>
      <c r="M15" s="180" t="s">
        <v>641</v>
      </c>
      <c r="N15" s="125" t="s">
        <v>628</v>
      </c>
      <c r="O15" s="199">
        <v>1</v>
      </c>
      <c r="P15" s="126" t="s">
        <v>629</v>
      </c>
      <c r="Q15" s="200" t="s">
        <v>630</v>
      </c>
      <c r="S15" s="201" t="s">
        <v>744</v>
      </c>
      <c r="T15" s="202" t="s">
        <v>734</v>
      </c>
      <c r="U15" s="203" t="s">
        <v>730</v>
      </c>
      <c r="V15" s="197" t="s">
        <v>667</v>
      </c>
      <c r="X15" s="182" t="s">
        <v>848</v>
      </c>
      <c r="Y15" s="192" t="s">
        <v>836</v>
      </c>
      <c r="Z15" s="192" t="s">
        <v>843</v>
      </c>
      <c r="AA15" s="180" t="s">
        <v>736</v>
      </c>
    </row>
    <row r="16" spans="1:27" s="183" customFormat="1" ht="10.5" x14ac:dyDescent="0.25">
      <c r="A16" s="181">
        <v>20</v>
      </c>
      <c r="B16" s="181">
        <v>600</v>
      </c>
      <c r="C16" s="181">
        <v>2</v>
      </c>
      <c r="D16" s="182"/>
      <c r="E16" s="182" t="s">
        <v>278</v>
      </c>
      <c r="G16" s="192" t="s">
        <v>304</v>
      </c>
      <c r="H16" s="192" t="s">
        <v>306</v>
      </c>
      <c r="I16" s="192" t="s">
        <v>307</v>
      </c>
      <c r="K16" s="132" t="s">
        <v>639</v>
      </c>
      <c r="L16" s="125" t="s">
        <v>643</v>
      </c>
      <c r="M16" s="180" t="s">
        <v>644</v>
      </c>
      <c r="N16" s="125" t="s">
        <v>628</v>
      </c>
      <c r="O16" s="199">
        <v>1</v>
      </c>
      <c r="P16" s="126" t="s">
        <v>629</v>
      </c>
      <c r="Q16" s="200" t="s">
        <v>630</v>
      </c>
      <c r="S16" s="201" t="s">
        <v>745</v>
      </c>
      <c r="T16" s="202" t="s">
        <v>734</v>
      </c>
      <c r="U16" s="203" t="s">
        <v>746</v>
      </c>
      <c r="V16" s="202" t="s">
        <v>736</v>
      </c>
      <c r="X16" s="182" t="s">
        <v>849</v>
      </c>
      <c r="Y16" s="192" t="s">
        <v>836</v>
      </c>
      <c r="Z16" s="192" t="s">
        <v>850</v>
      </c>
      <c r="AA16" s="180" t="s">
        <v>736</v>
      </c>
    </row>
    <row r="17" spans="1:27" s="183" customFormat="1" ht="10.5" x14ac:dyDescent="0.25">
      <c r="A17" s="181">
        <v>20</v>
      </c>
      <c r="B17" s="181">
        <v>300</v>
      </c>
      <c r="C17" s="181">
        <v>4</v>
      </c>
      <c r="D17" s="182"/>
      <c r="E17" s="182" t="s">
        <v>278</v>
      </c>
      <c r="G17" s="192" t="s">
        <v>308</v>
      </c>
      <c r="H17" s="192" t="s">
        <v>309</v>
      </c>
      <c r="I17" s="192" t="s">
        <v>293</v>
      </c>
      <c r="K17" s="132" t="s">
        <v>645</v>
      </c>
      <c r="L17" s="127" t="s">
        <v>646</v>
      </c>
      <c r="M17" s="180" t="s">
        <v>647</v>
      </c>
      <c r="N17" s="125" t="s">
        <v>628</v>
      </c>
      <c r="O17" s="199">
        <v>1</v>
      </c>
      <c r="P17" s="126" t="s">
        <v>629</v>
      </c>
      <c r="Q17" s="200" t="s">
        <v>630</v>
      </c>
      <c r="S17" s="201" t="s">
        <v>747</v>
      </c>
      <c r="T17" s="202" t="s">
        <v>734</v>
      </c>
      <c r="U17" s="203" t="s">
        <v>730</v>
      </c>
      <c r="V17" s="202" t="s">
        <v>736</v>
      </c>
      <c r="X17" s="182" t="s">
        <v>851</v>
      </c>
      <c r="Y17" s="192" t="s">
        <v>836</v>
      </c>
      <c r="Z17" s="192" t="s">
        <v>839</v>
      </c>
      <c r="AA17" s="180" t="s">
        <v>736</v>
      </c>
    </row>
    <row r="18" spans="1:27" s="183" customFormat="1" ht="10.5" x14ac:dyDescent="0.25">
      <c r="A18" s="181">
        <v>18</v>
      </c>
      <c r="B18" s="181">
        <v>600</v>
      </c>
      <c r="C18" s="181">
        <v>2</v>
      </c>
      <c r="D18" s="182"/>
      <c r="E18" s="182" t="s">
        <v>278</v>
      </c>
      <c r="G18" s="192" t="s">
        <v>304</v>
      </c>
      <c r="H18" s="192" t="s">
        <v>310</v>
      </c>
      <c r="I18" s="192" t="s">
        <v>298</v>
      </c>
      <c r="K18" s="132" t="s">
        <v>645</v>
      </c>
      <c r="L18" s="127" t="s">
        <v>646</v>
      </c>
      <c r="M18" s="180" t="s">
        <v>648</v>
      </c>
      <c r="N18" s="125" t="s">
        <v>628</v>
      </c>
      <c r="O18" s="199">
        <v>1</v>
      </c>
      <c r="P18" s="126" t="s">
        <v>629</v>
      </c>
      <c r="Q18" s="200" t="s">
        <v>630</v>
      </c>
      <c r="S18" s="201" t="s">
        <v>748</v>
      </c>
      <c r="T18" s="202" t="s">
        <v>734</v>
      </c>
      <c r="U18" s="203" t="s">
        <v>735</v>
      </c>
      <c r="V18" s="202" t="s">
        <v>736</v>
      </c>
      <c r="X18" s="182" t="s">
        <v>852</v>
      </c>
      <c r="Y18" s="192" t="s">
        <v>839</v>
      </c>
      <c r="Z18" s="192" t="s">
        <v>763</v>
      </c>
      <c r="AA18" s="180" t="s">
        <v>736</v>
      </c>
    </row>
    <row r="19" spans="1:27" s="183" customFormat="1" ht="10.5" x14ac:dyDescent="0.25">
      <c r="A19" s="181">
        <v>20</v>
      </c>
      <c r="B19" s="181">
        <v>150</v>
      </c>
      <c r="C19" s="181">
        <v>6</v>
      </c>
      <c r="D19" s="182"/>
      <c r="E19" s="182" t="s">
        <v>278</v>
      </c>
      <c r="G19" s="192" t="s">
        <v>311</v>
      </c>
      <c r="H19" s="192" t="s">
        <v>300</v>
      </c>
      <c r="I19" s="192" t="s">
        <v>312</v>
      </c>
      <c r="K19" s="132" t="s">
        <v>645</v>
      </c>
      <c r="L19" s="125" t="s">
        <v>649</v>
      </c>
      <c r="M19" s="180" t="s">
        <v>650</v>
      </c>
      <c r="N19" s="125" t="s">
        <v>628</v>
      </c>
      <c r="O19" s="199">
        <v>1</v>
      </c>
      <c r="P19" s="126" t="s">
        <v>629</v>
      </c>
      <c r="Q19" s="200" t="s">
        <v>630</v>
      </c>
      <c r="S19" s="201" t="s">
        <v>749</v>
      </c>
      <c r="T19" s="202" t="s">
        <v>734</v>
      </c>
      <c r="U19" s="203" t="s">
        <v>730</v>
      </c>
      <c r="V19" s="202" t="s">
        <v>736</v>
      </c>
      <c r="X19" s="182" t="s">
        <v>853</v>
      </c>
      <c r="Y19" s="192" t="s">
        <v>839</v>
      </c>
      <c r="Z19" s="192" t="s">
        <v>742</v>
      </c>
      <c r="AA19" s="180" t="s">
        <v>736</v>
      </c>
    </row>
    <row r="20" spans="1:27" s="183" customFormat="1" ht="10.5" x14ac:dyDescent="0.25">
      <c r="A20" s="181">
        <v>18</v>
      </c>
      <c r="B20" s="181">
        <v>300</v>
      </c>
      <c r="C20" s="181">
        <v>2</v>
      </c>
      <c r="D20" s="182"/>
      <c r="E20" s="182" t="s">
        <v>278</v>
      </c>
      <c r="G20" s="192" t="s">
        <v>313</v>
      </c>
      <c r="H20" s="192" t="s">
        <v>297</v>
      </c>
      <c r="I20" s="192" t="s">
        <v>314</v>
      </c>
      <c r="K20" s="132" t="s">
        <v>645</v>
      </c>
      <c r="L20" s="125" t="s">
        <v>651</v>
      </c>
      <c r="M20" s="180" t="s">
        <v>647</v>
      </c>
      <c r="N20" s="125" t="s">
        <v>628</v>
      </c>
      <c r="O20" s="199">
        <v>1</v>
      </c>
      <c r="P20" s="126" t="s">
        <v>629</v>
      </c>
      <c r="Q20" s="200" t="s">
        <v>630</v>
      </c>
      <c r="S20" s="201" t="s">
        <v>750</v>
      </c>
      <c r="T20" s="202" t="s">
        <v>734</v>
      </c>
      <c r="U20" s="203" t="s">
        <v>735</v>
      </c>
      <c r="V20" s="202" t="s">
        <v>736</v>
      </c>
      <c r="X20" s="182" t="s">
        <v>854</v>
      </c>
      <c r="Y20" s="192" t="s">
        <v>839</v>
      </c>
      <c r="Z20" s="192" t="s">
        <v>855</v>
      </c>
      <c r="AA20" s="180" t="s">
        <v>736</v>
      </c>
    </row>
    <row r="21" spans="1:27" s="183" customFormat="1" ht="10.5" x14ac:dyDescent="0.25">
      <c r="A21" s="181">
        <v>16</v>
      </c>
      <c r="B21" s="181">
        <v>900</v>
      </c>
      <c r="C21" s="181">
        <v>2</v>
      </c>
      <c r="D21" s="182"/>
      <c r="E21" s="182" t="s">
        <v>278</v>
      </c>
      <c r="G21" s="192" t="s">
        <v>315</v>
      </c>
      <c r="H21" s="192" t="s">
        <v>316</v>
      </c>
      <c r="I21" s="192" t="s">
        <v>317</v>
      </c>
      <c r="K21" s="132" t="s">
        <v>631</v>
      </c>
      <c r="L21" s="125" t="s">
        <v>652</v>
      </c>
      <c r="M21" s="180" t="s">
        <v>632</v>
      </c>
      <c r="N21" s="125" t="s">
        <v>628</v>
      </c>
      <c r="O21" s="199">
        <v>1</v>
      </c>
      <c r="P21" s="126" t="s">
        <v>629</v>
      </c>
      <c r="Q21" s="200" t="s">
        <v>630</v>
      </c>
      <c r="S21" s="201" t="s">
        <v>751</v>
      </c>
      <c r="T21" s="202" t="s">
        <v>734</v>
      </c>
      <c r="U21" s="203" t="s">
        <v>730</v>
      </c>
      <c r="V21" s="202" t="s">
        <v>736</v>
      </c>
      <c r="X21" s="182" t="s">
        <v>856</v>
      </c>
      <c r="Y21" s="192" t="s">
        <v>839</v>
      </c>
      <c r="Z21" s="192" t="s">
        <v>746</v>
      </c>
      <c r="AA21" s="180" t="s">
        <v>736</v>
      </c>
    </row>
    <row r="22" spans="1:27" s="183" customFormat="1" ht="10.5" x14ac:dyDescent="0.25">
      <c r="A22" s="181">
        <v>16</v>
      </c>
      <c r="B22" s="181">
        <v>600</v>
      </c>
      <c r="C22" s="181">
        <v>2</v>
      </c>
      <c r="D22" s="182"/>
      <c r="E22" s="182" t="s">
        <v>278</v>
      </c>
      <c r="G22" s="192" t="s">
        <v>318</v>
      </c>
      <c r="H22" s="192" t="s">
        <v>316</v>
      </c>
      <c r="I22" s="192" t="s">
        <v>317</v>
      </c>
      <c r="K22" s="132" t="s">
        <v>653</v>
      </c>
      <c r="L22" s="125" t="s">
        <v>635</v>
      </c>
      <c r="M22" s="180" t="s">
        <v>654</v>
      </c>
      <c r="N22" s="125" t="s">
        <v>628</v>
      </c>
      <c r="O22" s="199">
        <v>1</v>
      </c>
      <c r="P22" s="126" t="s">
        <v>629</v>
      </c>
      <c r="Q22" s="200" t="s">
        <v>630</v>
      </c>
      <c r="S22" s="201" t="s">
        <v>752</v>
      </c>
      <c r="T22" s="202" t="s">
        <v>734</v>
      </c>
      <c r="U22" s="203">
        <v>0</v>
      </c>
      <c r="V22" s="202" t="s">
        <v>753</v>
      </c>
      <c r="X22" s="182" t="s">
        <v>857</v>
      </c>
      <c r="Y22" s="192" t="s">
        <v>858</v>
      </c>
      <c r="Z22" s="192" t="s">
        <v>859</v>
      </c>
      <c r="AA22" s="180" t="s">
        <v>736</v>
      </c>
    </row>
    <row r="23" spans="1:27" s="183" customFormat="1" ht="10.5" x14ac:dyDescent="0.25">
      <c r="A23" s="181">
        <v>16</v>
      </c>
      <c r="B23" s="181">
        <v>300</v>
      </c>
      <c r="C23" s="181">
        <v>4</v>
      </c>
      <c r="D23" s="182"/>
      <c r="E23" s="182" t="s">
        <v>278</v>
      </c>
      <c r="G23" s="192" t="s">
        <v>299</v>
      </c>
      <c r="H23" s="192" t="s">
        <v>319</v>
      </c>
      <c r="I23" s="192" t="s">
        <v>320</v>
      </c>
      <c r="K23" s="132" t="s">
        <v>655</v>
      </c>
      <c r="L23" s="125" t="s">
        <v>649</v>
      </c>
      <c r="M23" s="180" t="s">
        <v>654</v>
      </c>
      <c r="N23" s="125" t="s">
        <v>628</v>
      </c>
      <c r="O23" s="199">
        <v>1</v>
      </c>
      <c r="P23" s="126" t="s">
        <v>629</v>
      </c>
      <c r="Q23" s="200" t="s">
        <v>630</v>
      </c>
      <c r="S23" s="201" t="s">
        <v>754</v>
      </c>
      <c r="T23" s="202" t="s">
        <v>755</v>
      </c>
      <c r="U23" s="203" t="s">
        <v>730</v>
      </c>
      <c r="V23" s="202" t="s">
        <v>736</v>
      </c>
      <c r="X23" s="182" t="s">
        <v>860</v>
      </c>
      <c r="Y23" s="192" t="s">
        <v>836</v>
      </c>
      <c r="Z23" s="192" t="s">
        <v>847</v>
      </c>
      <c r="AA23" s="180" t="s">
        <v>736</v>
      </c>
    </row>
    <row r="24" spans="1:27" s="183" customFormat="1" ht="10.5" x14ac:dyDescent="0.25">
      <c r="A24" s="181">
        <v>16</v>
      </c>
      <c r="B24" s="181">
        <v>150</v>
      </c>
      <c r="C24" s="181">
        <v>4</v>
      </c>
      <c r="D24" s="182"/>
      <c r="E24" s="182" t="s">
        <v>278</v>
      </c>
      <c r="G24" s="192" t="s">
        <v>321</v>
      </c>
      <c r="H24" s="192" t="s">
        <v>322</v>
      </c>
      <c r="I24" s="192" t="s">
        <v>323</v>
      </c>
      <c r="K24" s="132" t="s">
        <v>655</v>
      </c>
      <c r="L24" s="125" t="s">
        <v>656</v>
      </c>
      <c r="M24" s="180" t="s">
        <v>654</v>
      </c>
      <c r="N24" s="125" t="s">
        <v>628</v>
      </c>
      <c r="O24" s="199">
        <v>1</v>
      </c>
      <c r="P24" s="126" t="s">
        <v>629</v>
      </c>
      <c r="Q24" s="200" t="s">
        <v>630</v>
      </c>
      <c r="S24" s="201" t="s">
        <v>756</v>
      </c>
      <c r="T24" s="202" t="s">
        <v>755</v>
      </c>
      <c r="U24" s="203" t="s">
        <v>730</v>
      </c>
      <c r="V24" s="202" t="s">
        <v>736</v>
      </c>
    </row>
    <row r="25" spans="1:27" s="183" customFormat="1" ht="10.5" x14ac:dyDescent="0.25">
      <c r="A25" s="181">
        <v>14</v>
      </c>
      <c r="B25" s="181">
        <v>900</v>
      </c>
      <c r="C25" s="181">
        <v>2</v>
      </c>
      <c r="D25" s="182"/>
      <c r="E25" s="182" t="s">
        <v>278</v>
      </c>
      <c r="G25" s="192" t="s">
        <v>324</v>
      </c>
      <c r="H25" s="192" t="s">
        <v>325</v>
      </c>
      <c r="I25" s="192" t="s">
        <v>317</v>
      </c>
      <c r="K25" s="132" t="s">
        <v>655</v>
      </c>
      <c r="L25" s="125" t="s">
        <v>656</v>
      </c>
      <c r="M25" s="180" t="s">
        <v>657</v>
      </c>
      <c r="N25" s="125" t="s">
        <v>628</v>
      </c>
      <c r="O25" s="199">
        <v>1</v>
      </c>
      <c r="P25" s="126" t="s">
        <v>629</v>
      </c>
      <c r="Q25" s="200" t="s">
        <v>630</v>
      </c>
      <c r="S25" s="201" t="s">
        <v>757</v>
      </c>
      <c r="T25" s="202" t="s">
        <v>755</v>
      </c>
      <c r="U25" s="203" t="s">
        <v>730</v>
      </c>
      <c r="V25" s="202" t="s">
        <v>736</v>
      </c>
    </row>
    <row r="26" spans="1:27" s="183" customFormat="1" ht="10.5" x14ac:dyDescent="0.25">
      <c r="A26" s="181">
        <v>14</v>
      </c>
      <c r="B26" s="181">
        <v>300</v>
      </c>
      <c r="C26" s="181">
        <v>2</v>
      </c>
      <c r="D26" s="182"/>
      <c r="E26" s="182" t="s">
        <v>278</v>
      </c>
      <c r="G26" s="192" t="s">
        <v>326</v>
      </c>
      <c r="H26" s="192" t="s">
        <v>327</v>
      </c>
      <c r="I26" s="192" t="s">
        <v>314</v>
      </c>
      <c r="K26" s="132" t="s">
        <v>655</v>
      </c>
      <c r="L26" s="128" t="s">
        <v>658</v>
      </c>
      <c r="M26" s="180" t="s">
        <v>657</v>
      </c>
      <c r="N26" s="125" t="s">
        <v>628</v>
      </c>
      <c r="O26" s="199">
        <v>1</v>
      </c>
      <c r="P26" s="126" t="s">
        <v>629</v>
      </c>
      <c r="Q26" s="200" t="s">
        <v>630</v>
      </c>
      <c r="S26" s="201" t="s">
        <v>758</v>
      </c>
      <c r="T26" s="202" t="s">
        <v>755</v>
      </c>
      <c r="U26" s="203" t="s">
        <v>730</v>
      </c>
      <c r="V26" s="202" t="s">
        <v>736</v>
      </c>
    </row>
    <row r="27" spans="1:27" s="183" customFormat="1" ht="10.5" x14ac:dyDescent="0.25">
      <c r="A27" s="181">
        <v>12</v>
      </c>
      <c r="B27" s="181">
        <v>900</v>
      </c>
      <c r="C27" s="181">
        <v>2</v>
      </c>
      <c r="D27" s="182"/>
      <c r="E27" s="182" t="s">
        <v>278</v>
      </c>
      <c r="G27" s="192" t="s">
        <v>324</v>
      </c>
      <c r="H27" s="192" t="s">
        <v>328</v>
      </c>
      <c r="I27" s="192" t="s">
        <v>329</v>
      </c>
      <c r="K27" s="132" t="s">
        <v>659</v>
      </c>
      <c r="L27" s="125" t="s">
        <v>660</v>
      </c>
      <c r="M27" s="180" t="s">
        <v>647</v>
      </c>
      <c r="N27" s="125" t="s">
        <v>628</v>
      </c>
      <c r="O27" s="199">
        <v>1</v>
      </c>
      <c r="P27" s="126" t="s">
        <v>629</v>
      </c>
      <c r="Q27" s="200" t="s">
        <v>630</v>
      </c>
      <c r="S27" s="201" t="s">
        <v>759</v>
      </c>
      <c r="T27" s="202" t="s">
        <v>760</v>
      </c>
      <c r="U27" s="203" t="s">
        <v>730</v>
      </c>
      <c r="V27" s="202" t="s">
        <v>736</v>
      </c>
    </row>
    <row r="28" spans="1:27" s="183" customFormat="1" ht="10.5" x14ac:dyDescent="0.25">
      <c r="A28" s="181">
        <v>12</v>
      </c>
      <c r="B28" s="181">
        <v>600</v>
      </c>
      <c r="C28" s="181">
        <v>2</v>
      </c>
      <c r="D28" s="182"/>
      <c r="E28" s="182" t="s">
        <v>278</v>
      </c>
      <c r="G28" s="192" t="s">
        <v>324</v>
      </c>
      <c r="H28" s="192" t="s">
        <v>330</v>
      </c>
      <c r="I28" s="192" t="s">
        <v>329</v>
      </c>
      <c r="K28" s="132" t="s">
        <v>661</v>
      </c>
      <c r="L28" s="125" t="s">
        <v>635</v>
      </c>
      <c r="M28" s="180" t="s">
        <v>635</v>
      </c>
      <c r="N28" s="125" t="s">
        <v>628</v>
      </c>
      <c r="O28" s="199">
        <v>1</v>
      </c>
      <c r="P28" s="126" t="s">
        <v>629</v>
      </c>
      <c r="Q28" s="200" t="s">
        <v>630</v>
      </c>
      <c r="S28" s="201" t="s">
        <v>761</v>
      </c>
      <c r="T28" s="202" t="s">
        <v>734</v>
      </c>
      <c r="U28" s="203">
        <v>0</v>
      </c>
      <c r="V28" s="202" t="s">
        <v>753</v>
      </c>
    </row>
    <row r="29" spans="1:27" s="183" customFormat="1" ht="10.5" x14ac:dyDescent="0.25">
      <c r="A29" s="181">
        <v>12</v>
      </c>
      <c r="B29" s="181">
        <v>300</v>
      </c>
      <c r="C29" s="181">
        <v>2</v>
      </c>
      <c r="D29" s="182"/>
      <c r="E29" s="182" t="s">
        <v>278</v>
      </c>
      <c r="G29" s="192" t="s">
        <v>331</v>
      </c>
      <c r="H29" s="192" t="s">
        <v>332</v>
      </c>
      <c r="I29" s="192" t="s">
        <v>296</v>
      </c>
      <c r="K29" s="132" t="s">
        <v>662</v>
      </c>
      <c r="L29" s="125" t="s">
        <v>663</v>
      </c>
      <c r="M29" s="180" t="s">
        <v>654</v>
      </c>
      <c r="N29" s="125" t="s">
        <v>628</v>
      </c>
      <c r="O29" s="199">
        <v>1</v>
      </c>
      <c r="P29" s="126" t="s">
        <v>629</v>
      </c>
      <c r="Q29" s="200" t="s">
        <v>630</v>
      </c>
      <c r="S29" s="201" t="s">
        <v>762</v>
      </c>
      <c r="T29" s="202" t="s">
        <v>734</v>
      </c>
      <c r="U29" s="203" t="s">
        <v>763</v>
      </c>
      <c r="V29" s="202" t="s">
        <v>736</v>
      </c>
    </row>
    <row r="30" spans="1:27" s="183" customFormat="1" ht="10.5" x14ac:dyDescent="0.25">
      <c r="A30" s="181">
        <v>12</v>
      </c>
      <c r="B30" s="181">
        <v>150</v>
      </c>
      <c r="C30" s="181">
        <v>2</v>
      </c>
      <c r="D30" s="182"/>
      <c r="E30" s="182" t="s">
        <v>278</v>
      </c>
      <c r="G30" s="192" t="s">
        <v>326</v>
      </c>
      <c r="H30" s="192" t="s">
        <v>333</v>
      </c>
      <c r="I30" s="192" t="s">
        <v>290</v>
      </c>
      <c r="K30" s="132" t="s">
        <v>662</v>
      </c>
      <c r="L30" s="125" t="s">
        <v>649</v>
      </c>
      <c r="M30" s="180" t="s">
        <v>654</v>
      </c>
      <c r="N30" s="125" t="s">
        <v>628</v>
      </c>
      <c r="O30" s="199">
        <v>1</v>
      </c>
      <c r="P30" s="126" t="s">
        <v>629</v>
      </c>
      <c r="Q30" s="200" t="s">
        <v>630</v>
      </c>
      <c r="S30" s="201" t="s">
        <v>764</v>
      </c>
      <c r="T30" s="202" t="s">
        <v>734</v>
      </c>
      <c r="U30" s="203" t="s">
        <v>730</v>
      </c>
      <c r="V30" s="202" t="s">
        <v>736</v>
      </c>
    </row>
    <row r="31" spans="1:27" s="183" customFormat="1" ht="10.5" x14ac:dyDescent="0.25">
      <c r="A31" s="181">
        <v>10</v>
      </c>
      <c r="B31" s="181">
        <v>1500</v>
      </c>
      <c r="C31" s="181">
        <v>2</v>
      </c>
      <c r="D31" s="182"/>
      <c r="E31" s="182" t="s">
        <v>278</v>
      </c>
      <c r="G31" s="192" t="s">
        <v>334</v>
      </c>
      <c r="H31" s="192" t="s">
        <v>335</v>
      </c>
      <c r="I31" s="192" t="s">
        <v>317</v>
      </c>
      <c r="K31" s="132" t="s">
        <v>664</v>
      </c>
      <c r="L31" s="125" t="s">
        <v>82</v>
      </c>
      <c r="M31" s="180" t="s">
        <v>635</v>
      </c>
      <c r="N31" s="125" t="s">
        <v>628</v>
      </c>
      <c r="O31" s="199">
        <v>1</v>
      </c>
      <c r="P31" s="126" t="s">
        <v>629</v>
      </c>
      <c r="Q31" s="200" t="s">
        <v>630</v>
      </c>
      <c r="S31" s="201" t="s">
        <v>765</v>
      </c>
      <c r="T31" s="202" t="s">
        <v>734</v>
      </c>
      <c r="U31" s="203">
        <v>0</v>
      </c>
      <c r="V31" s="202" t="s">
        <v>753</v>
      </c>
    </row>
    <row r="32" spans="1:27" s="183" customFormat="1" ht="10.5" x14ac:dyDescent="0.25">
      <c r="A32" s="181">
        <v>10</v>
      </c>
      <c r="B32" s="181">
        <v>900</v>
      </c>
      <c r="C32" s="181">
        <v>2</v>
      </c>
      <c r="D32" s="182"/>
      <c r="E32" s="182" t="s">
        <v>278</v>
      </c>
      <c r="G32" s="192" t="s">
        <v>308</v>
      </c>
      <c r="H32" s="192" t="s">
        <v>336</v>
      </c>
      <c r="I32" s="192" t="s">
        <v>317</v>
      </c>
      <c r="K32" s="132" t="s">
        <v>664</v>
      </c>
      <c r="L32" s="125" t="s">
        <v>84</v>
      </c>
      <c r="M32" s="180" t="s">
        <v>635</v>
      </c>
      <c r="N32" s="125" t="s">
        <v>628</v>
      </c>
      <c r="O32" s="199">
        <v>1</v>
      </c>
      <c r="P32" s="126" t="s">
        <v>629</v>
      </c>
      <c r="Q32" s="200" t="s">
        <v>630</v>
      </c>
      <c r="S32" s="201" t="s">
        <v>766</v>
      </c>
      <c r="T32" s="202" t="s">
        <v>767</v>
      </c>
      <c r="U32" s="203" t="s">
        <v>635</v>
      </c>
      <c r="V32" s="197" t="s">
        <v>667</v>
      </c>
    </row>
    <row r="33" spans="1:22" s="183" customFormat="1" ht="10.5" x14ac:dyDescent="0.25">
      <c r="A33" s="181">
        <v>10</v>
      </c>
      <c r="B33" s="181">
        <v>600</v>
      </c>
      <c r="C33" s="181">
        <v>2</v>
      </c>
      <c r="D33" s="182"/>
      <c r="E33" s="182" t="s">
        <v>278</v>
      </c>
      <c r="G33" s="192" t="s">
        <v>337</v>
      </c>
      <c r="H33" s="192" t="s">
        <v>338</v>
      </c>
      <c r="I33" s="192" t="s">
        <v>339</v>
      </c>
      <c r="K33" s="132" t="s">
        <v>665</v>
      </c>
      <c r="L33" s="125" t="s">
        <v>666</v>
      </c>
      <c r="M33" s="180" t="s">
        <v>420</v>
      </c>
      <c r="N33" s="125" t="s">
        <v>628</v>
      </c>
      <c r="O33" s="199">
        <v>1</v>
      </c>
      <c r="P33" s="126" t="s">
        <v>667</v>
      </c>
      <c r="Q33" s="200" t="s">
        <v>630</v>
      </c>
      <c r="S33" s="201" t="s">
        <v>768</v>
      </c>
      <c r="T33" s="202" t="s">
        <v>767</v>
      </c>
      <c r="U33" s="203" t="s">
        <v>635</v>
      </c>
      <c r="V33" s="197" t="s">
        <v>667</v>
      </c>
    </row>
    <row r="34" spans="1:22" s="183" customFormat="1" ht="10.5" x14ac:dyDescent="0.25">
      <c r="A34" s="181">
        <v>10</v>
      </c>
      <c r="B34" s="181">
        <v>300</v>
      </c>
      <c r="C34" s="181">
        <v>2</v>
      </c>
      <c r="D34" s="182"/>
      <c r="E34" s="182" t="s">
        <v>278</v>
      </c>
      <c r="K34" s="132" t="s">
        <v>668</v>
      </c>
      <c r="L34" s="125" t="s">
        <v>669</v>
      </c>
      <c r="M34" s="180" t="s">
        <v>635</v>
      </c>
      <c r="N34" s="125" t="s">
        <v>628</v>
      </c>
      <c r="O34" s="199">
        <v>1</v>
      </c>
      <c r="P34" s="126" t="s">
        <v>629</v>
      </c>
      <c r="Q34" s="200" t="s">
        <v>630</v>
      </c>
      <c r="S34" s="201" t="s">
        <v>769</v>
      </c>
      <c r="T34" s="202" t="s">
        <v>729</v>
      </c>
      <c r="U34" s="203" t="s">
        <v>635</v>
      </c>
      <c r="V34" s="197" t="s">
        <v>667</v>
      </c>
    </row>
    <row r="35" spans="1:22" s="183" customFormat="1" ht="10.5" x14ac:dyDescent="0.25">
      <c r="A35" s="181">
        <v>8</v>
      </c>
      <c r="B35" s="181">
        <v>1500</v>
      </c>
      <c r="C35" s="181">
        <v>2</v>
      </c>
      <c r="D35" s="182"/>
      <c r="E35" s="182" t="s">
        <v>278</v>
      </c>
      <c r="K35" s="132" t="s">
        <v>670</v>
      </c>
      <c r="L35" s="125" t="s">
        <v>635</v>
      </c>
      <c r="M35" s="180" t="s">
        <v>635</v>
      </c>
      <c r="N35" s="125" t="s">
        <v>628</v>
      </c>
      <c r="O35" s="199">
        <v>6</v>
      </c>
      <c r="P35" s="126" t="s">
        <v>629</v>
      </c>
      <c r="Q35" s="200" t="s">
        <v>630</v>
      </c>
      <c r="S35" s="201" t="s">
        <v>770</v>
      </c>
      <c r="T35" s="202" t="s">
        <v>729</v>
      </c>
      <c r="U35" s="203" t="s">
        <v>635</v>
      </c>
      <c r="V35" s="197" t="s">
        <v>667</v>
      </c>
    </row>
    <row r="36" spans="1:22" s="183" customFormat="1" ht="10.5" x14ac:dyDescent="0.25">
      <c r="A36" s="181">
        <v>8</v>
      </c>
      <c r="B36" s="181">
        <v>900</v>
      </c>
      <c r="C36" s="181">
        <v>2</v>
      </c>
      <c r="D36" s="182"/>
      <c r="E36" s="182" t="s">
        <v>278</v>
      </c>
      <c r="K36" s="132" t="s">
        <v>671</v>
      </c>
      <c r="L36" s="125" t="s">
        <v>635</v>
      </c>
      <c r="M36" s="180" t="s">
        <v>672</v>
      </c>
      <c r="N36" s="125" t="s">
        <v>628</v>
      </c>
      <c r="O36" s="199">
        <v>1</v>
      </c>
      <c r="P36" s="126" t="s">
        <v>629</v>
      </c>
      <c r="Q36" s="200" t="s">
        <v>630</v>
      </c>
      <c r="S36" s="201" t="s">
        <v>771</v>
      </c>
      <c r="T36" s="202" t="s">
        <v>729</v>
      </c>
      <c r="U36" s="203" t="s">
        <v>772</v>
      </c>
      <c r="V36" s="202" t="s">
        <v>736</v>
      </c>
    </row>
    <row r="37" spans="1:22" s="183" customFormat="1" ht="10.5" x14ac:dyDescent="0.25">
      <c r="A37" s="181">
        <v>8</v>
      </c>
      <c r="B37" s="181">
        <v>600</v>
      </c>
      <c r="C37" s="181">
        <v>2</v>
      </c>
      <c r="D37" s="182"/>
      <c r="E37" s="182" t="s">
        <v>278</v>
      </c>
      <c r="K37" s="132" t="s">
        <v>673</v>
      </c>
      <c r="L37" s="125" t="s">
        <v>674</v>
      </c>
      <c r="M37" s="180" t="s">
        <v>675</v>
      </c>
      <c r="N37" s="125" t="s">
        <v>676</v>
      </c>
      <c r="O37" s="199">
        <v>1</v>
      </c>
      <c r="P37" s="126" t="s">
        <v>629</v>
      </c>
      <c r="Q37" s="200" t="s">
        <v>677</v>
      </c>
      <c r="S37" s="201" t="s">
        <v>773</v>
      </c>
      <c r="T37" s="202" t="s">
        <v>729</v>
      </c>
      <c r="U37" s="203" t="s">
        <v>772</v>
      </c>
      <c r="V37" s="202" t="s">
        <v>736</v>
      </c>
    </row>
    <row r="38" spans="1:22" s="183" customFormat="1" ht="10.5" x14ac:dyDescent="0.25">
      <c r="A38" s="181">
        <v>8</v>
      </c>
      <c r="B38" s="181">
        <v>300</v>
      </c>
      <c r="C38" s="181">
        <v>2</v>
      </c>
      <c r="D38" s="182"/>
      <c r="E38" s="182" t="s">
        <v>278</v>
      </c>
      <c r="K38" s="132" t="s">
        <v>625</v>
      </c>
      <c r="L38" s="125" t="s">
        <v>678</v>
      </c>
      <c r="M38" s="180" t="s">
        <v>627</v>
      </c>
      <c r="N38" s="125" t="s">
        <v>676</v>
      </c>
      <c r="O38" s="199">
        <v>1</v>
      </c>
      <c r="P38" s="126" t="s">
        <v>629</v>
      </c>
      <c r="Q38" s="200" t="s">
        <v>677</v>
      </c>
      <c r="S38" s="201" t="s">
        <v>774</v>
      </c>
      <c r="T38" s="202" t="s">
        <v>729</v>
      </c>
      <c r="U38" s="203" t="s">
        <v>772</v>
      </c>
      <c r="V38" s="202" t="s">
        <v>736</v>
      </c>
    </row>
    <row r="39" spans="1:22" s="183" customFormat="1" ht="10.5" x14ac:dyDescent="0.25">
      <c r="A39" s="181">
        <v>6</v>
      </c>
      <c r="B39" s="181">
        <v>2500</v>
      </c>
      <c r="C39" s="181">
        <v>2</v>
      </c>
      <c r="D39" s="182"/>
      <c r="E39" s="182" t="s">
        <v>278</v>
      </c>
      <c r="K39" s="132" t="s">
        <v>625</v>
      </c>
      <c r="L39" s="125" t="s">
        <v>679</v>
      </c>
      <c r="M39" s="180" t="s">
        <v>627</v>
      </c>
      <c r="N39" s="125" t="s">
        <v>676</v>
      </c>
      <c r="O39" s="199">
        <v>1</v>
      </c>
      <c r="P39" s="126" t="s">
        <v>667</v>
      </c>
      <c r="Q39" s="200" t="s">
        <v>677</v>
      </c>
      <c r="S39" s="201" t="s">
        <v>775</v>
      </c>
      <c r="T39" s="202" t="s">
        <v>776</v>
      </c>
      <c r="U39" s="203" t="s">
        <v>772</v>
      </c>
      <c r="V39" s="202" t="s">
        <v>736</v>
      </c>
    </row>
    <row r="40" spans="1:22" s="183" customFormat="1" ht="10.5" x14ac:dyDescent="0.25">
      <c r="A40" s="181">
        <v>6</v>
      </c>
      <c r="B40" s="181">
        <v>1500</v>
      </c>
      <c r="C40" s="181">
        <v>2</v>
      </c>
      <c r="D40" s="182"/>
      <c r="E40" s="182" t="s">
        <v>278</v>
      </c>
      <c r="K40" s="132" t="s">
        <v>625</v>
      </c>
      <c r="L40" s="125" t="s">
        <v>637</v>
      </c>
      <c r="M40" s="180" t="s">
        <v>627</v>
      </c>
      <c r="N40" s="125" t="s">
        <v>676</v>
      </c>
      <c r="O40" s="199">
        <v>1</v>
      </c>
      <c r="P40" s="126" t="s">
        <v>629</v>
      </c>
      <c r="Q40" s="200" t="s">
        <v>677</v>
      </c>
      <c r="S40" s="201" t="s">
        <v>777</v>
      </c>
      <c r="T40" s="202" t="s">
        <v>734</v>
      </c>
      <c r="U40" s="203" t="s">
        <v>772</v>
      </c>
      <c r="V40" s="197" t="s">
        <v>667</v>
      </c>
    </row>
    <row r="41" spans="1:22" s="183" customFormat="1" ht="10.5" x14ac:dyDescent="0.25">
      <c r="A41" s="181">
        <v>6</v>
      </c>
      <c r="B41" s="181">
        <v>300</v>
      </c>
      <c r="C41" s="181">
        <v>2</v>
      </c>
      <c r="D41" s="182"/>
      <c r="E41" s="182" t="s">
        <v>278</v>
      </c>
      <c r="K41" s="132" t="s">
        <v>665</v>
      </c>
      <c r="L41" s="125" t="s">
        <v>633</v>
      </c>
      <c r="M41" s="180" t="s">
        <v>635</v>
      </c>
      <c r="N41" s="125" t="s">
        <v>676</v>
      </c>
      <c r="O41" s="199">
        <v>1</v>
      </c>
      <c r="P41" s="126" t="s">
        <v>629</v>
      </c>
      <c r="Q41" s="200" t="s">
        <v>677</v>
      </c>
      <c r="S41" s="201" t="s">
        <v>778</v>
      </c>
      <c r="T41" s="202" t="s">
        <v>734</v>
      </c>
      <c r="U41" s="203" t="s">
        <v>635</v>
      </c>
      <c r="V41" s="197" t="s">
        <v>667</v>
      </c>
    </row>
    <row r="42" spans="1:22" s="183" customFormat="1" ht="10.5" x14ac:dyDescent="0.25">
      <c r="A42" s="181">
        <v>4</v>
      </c>
      <c r="B42" s="181">
        <v>900</v>
      </c>
      <c r="C42" s="181">
        <v>4</v>
      </c>
      <c r="D42" s="182" t="s">
        <v>283</v>
      </c>
      <c r="E42" s="182" t="s">
        <v>278</v>
      </c>
      <c r="K42" s="132" t="s">
        <v>680</v>
      </c>
      <c r="L42" s="125" t="s">
        <v>681</v>
      </c>
      <c r="M42" s="180" t="s">
        <v>635</v>
      </c>
      <c r="N42" s="125" t="s">
        <v>676</v>
      </c>
      <c r="O42" s="199">
        <v>1</v>
      </c>
      <c r="P42" s="126" t="s">
        <v>629</v>
      </c>
      <c r="Q42" s="200" t="s">
        <v>677</v>
      </c>
      <c r="S42" s="201" t="s">
        <v>779</v>
      </c>
      <c r="T42" s="202" t="s">
        <v>734</v>
      </c>
      <c r="U42" s="203" t="s">
        <v>635</v>
      </c>
      <c r="V42" s="197" t="s">
        <v>667</v>
      </c>
    </row>
    <row r="43" spans="1:22" s="183" customFormat="1" ht="10.5" x14ac:dyDescent="0.25">
      <c r="A43" s="181">
        <v>4</v>
      </c>
      <c r="B43" s="181">
        <v>5000</v>
      </c>
      <c r="C43" s="181">
        <v>2</v>
      </c>
      <c r="D43" s="182"/>
      <c r="E43" s="182" t="s">
        <v>278</v>
      </c>
      <c r="K43" s="132" t="s">
        <v>680</v>
      </c>
      <c r="L43" s="125" t="s">
        <v>682</v>
      </c>
      <c r="M43" s="180" t="s">
        <v>635</v>
      </c>
      <c r="N43" s="125" t="s">
        <v>676</v>
      </c>
      <c r="O43" s="199">
        <v>1</v>
      </c>
      <c r="P43" s="126" t="s">
        <v>629</v>
      </c>
      <c r="Q43" s="200" t="s">
        <v>677</v>
      </c>
      <c r="S43" s="201" t="s">
        <v>780</v>
      </c>
      <c r="T43" s="202" t="s">
        <v>734</v>
      </c>
      <c r="U43" s="203" t="s">
        <v>772</v>
      </c>
      <c r="V43" s="202" t="s">
        <v>736</v>
      </c>
    </row>
    <row r="44" spans="1:22" s="183" customFormat="1" ht="10.5" x14ac:dyDescent="0.25">
      <c r="A44" s="181">
        <v>4</v>
      </c>
      <c r="B44" s="181">
        <v>1500</v>
      </c>
      <c r="C44" s="181">
        <v>2</v>
      </c>
      <c r="D44" s="182"/>
      <c r="E44" s="182" t="s">
        <v>278</v>
      </c>
      <c r="K44" s="132" t="s">
        <v>680</v>
      </c>
      <c r="L44" s="125" t="s">
        <v>683</v>
      </c>
      <c r="M44" s="180" t="s">
        <v>635</v>
      </c>
      <c r="N44" s="125" t="s">
        <v>676</v>
      </c>
      <c r="O44" s="199">
        <v>1</v>
      </c>
      <c r="P44" s="126" t="s">
        <v>629</v>
      </c>
      <c r="Q44" s="200" t="s">
        <v>677</v>
      </c>
      <c r="S44" s="201" t="s">
        <v>781</v>
      </c>
      <c r="T44" s="202" t="s">
        <v>734</v>
      </c>
      <c r="U44" s="203" t="s">
        <v>772</v>
      </c>
      <c r="V44" s="202" t="s">
        <v>736</v>
      </c>
    </row>
    <row r="45" spans="1:22" s="183" customFormat="1" ht="10.5" x14ac:dyDescent="0.25">
      <c r="A45" s="181">
        <v>3</v>
      </c>
      <c r="B45" s="181">
        <v>1500</v>
      </c>
      <c r="C45" s="181">
        <v>2</v>
      </c>
      <c r="D45" s="182"/>
      <c r="E45" s="182" t="s">
        <v>278</v>
      </c>
      <c r="K45" s="132" t="s">
        <v>680</v>
      </c>
      <c r="L45" s="125" t="s">
        <v>684</v>
      </c>
      <c r="M45" s="180" t="s">
        <v>635</v>
      </c>
      <c r="N45" s="125" t="s">
        <v>676</v>
      </c>
      <c r="O45" s="199">
        <v>1</v>
      </c>
      <c r="P45" s="126" t="s">
        <v>629</v>
      </c>
      <c r="Q45" s="200" t="s">
        <v>677</v>
      </c>
      <c r="S45" s="201" t="s">
        <v>782</v>
      </c>
      <c r="T45" s="202" t="s">
        <v>734</v>
      </c>
      <c r="U45" s="203" t="s">
        <v>772</v>
      </c>
      <c r="V45" s="202" t="s">
        <v>736</v>
      </c>
    </row>
    <row r="46" spans="1:22" s="183" customFormat="1" ht="10.5" x14ac:dyDescent="0.25">
      <c r="A46" s="181">
        <v>3</v>
      </c>
      <c r="B46" s="181">
        <v>2500</v>
      </c>
      <c r="C46" s="181">
        <v>2</v>
      </c>
      <c r="D46" s="182"/>
      <c r="E46" s="182" t="s">
        <v>278</v>
      </c>
      <c r="K46" s="132" t="s">
        <v>680</v>
      </c>
      <c r="L46" s="125" t="s">
        <v>685</v>
      </c>
      <c r="M46" s="180" t="s">
        <v>635</v>
      </c>
      <c r="N46" s="125" t="s">
        <v>676</v>
      </c>
      <c r="O46" s="199">
        <v>1</v>
      </c>
      <c r="P46" s="126" t="s">
        <v>629</v>
      </c>
      <c r="Q46" s="200" t="s">
        <v>677</v>
      </c>
      <c r="S46" s="201" t="s">
        <v>783</v>
      </c>
      <c r="T46" s="202" t="s">
        <v>734</v>
      </c>
      <c r="U46" s="203" t="s">
        <v>635</v>
      </c>
      <c r="V46" s="197" t="s">
        <v>667</v>
      </c>
    </row>
    <row r="47" spans="1:22" s="183" customFormat="1" ht="10.5" x14ac:dyDescent="0.25">
      <c r="A47" s="181">
        <v>3</v>
      </c>
      <c r="B47" s="181">
        <v>150</v>
      </c>
      <c r="C47" s="181">
        <v>2</v>
      </c>
      <c r="D47" s="182"/>
      <c r="E47" s="182" t="s">
        <v>278</v>
      </c>
      <c r="K47" s="132" t="s">
        <v>673</v>
      </c>
      <c r="L47" s="125" t="s">
        <v>686</v>
      </c>
      <c r="M47" s="180" t="s">
        <v>635</v>
      </c>
      <c r="N47" s="125" t="s">
        <v>676</v>
      </c>
      <c r="O47" s="199">
        <v>1</v>
      </c>
      <c r="P47" s="126" t="s">
        <v>629</v>
      </c>
      <c r="Q47" s="200" t="s">
        <v>677</v>
      </c>
      <c r="S47" s="201" t="s">
        <v>830</v>
      </c>
      <c r="T47" s="202" t="s">
        <v>784</v>
      </c>
      <c r="U47" s="204"/>
      <c r="V47" s="202" t="s">
        <v>736</v>
      </c>
    </row>
    <row r="48" spans="1:22" s="183" customFormat="1" ht="10.5" x14ac:dyDescent="0.25">
      <c r="A48" s="181">
        <v>4</v>
      </c>
      <c r="B48" s="181">
        <v>300</v>
      </c>
      <c r="C48" s="181">
        <v>2</v>
      </c>
      <c r="D48" s="182"/>
      <c r="E48" s="182" t="s">
        <v>278</v>
      </c>
      <c r="K48" s="132" t="s">
        <v>673</v>
      </c>
      <c r="L48" s="125" t="s">
        <v>687</v>
      </c>
      <c r="M48" s="180" t="s">
        <v>635</v>
      </c>
      <c r="N48" s="125" t="s">
        <v>676</v>
      </c>
      <c r="O48" s="199">
        <v>1</v>
      </c>
      <c r="P48" s="126" t="s">
        <v>629</v>
      </c>
      <c r="Q48" s="200" t="s">
        <v>677</v>
      </c>
      <c r="S48" s="201" t="s">
        <v>831</v>
      </c>
      <c r="T48" s="202" t="s">
        <v>784</v>
      </c>
      <c r="U48" s="203" t="s">
        <v>772</v>
      </c>
      <c r="V48" s="202" t="s">
        <v>736</v>
      </c>
    </row>
    <row r="49" spans="1:22" s="183" customFormat="1" ht="10.5" x14ac:dyDescent="0.25">
      <c r="A49" s="181">
        <v>6</v>
      </c>
      <c r="B49" s="181">
        <v>150</v>
      </c>
      <c r="C49" s="181">
        <v>2</v>
      </c>
      <c r="D49" s="182"/>
      <c r="E49" s="182" t="s">
        <v>278</v>
      </c>
      <c r="K49" s="132" t="s">
        <v>636</v>
      </c>
      <c r="L49" s="125" t="s">
        <v>688</v>
      </c>
      <c r="M49" s="180" t="s">
        <v>632</v>
      </c>
      <c r="N49" s="125" t="s">
        <v>676</v>
      </c>
      <c r="O49" s="199">
        <v>1</v>
      </c>
      <c r="P49" s="126" t="s">
        <v>629</v>
      </c>
      <c r="Q49" s="200" t="s">
        <v>677</v>
      </c>
      <c r="S49" s="201" t="s">
        <v>832</v>
      </c>
      <c r="T49" s="202" t="s">
        <v>784</v>
      </c>
      <c r="U49" s="203" t="s">
        <v>772</v>
      </c>
      <c r="V49" s="202" t="s">
        <v>736</v>
      </c>
    </row>
    <row r="50" spans="1:22" s="183" customFormat="1" ht="21" x14ac:dyDescent="0.25">
      <c r="A50" s="181">
        <v>8</v>
      </c>
      <c r="B50" s="181">
        <v>150</v>
      </c>
      <c r="C50" s="181">
        <v>2</v>
      </c>
      <c r="D50" s="182"/>
      <c r="E50" s="182" t="s">
        <v>278</v>
      </c>
      <c r="K50" s="132" t="s">
        <v>689</v>
      </c>
      <c r="L50" s="125" t="s">
        <v>687</v>
      </c>
      <c r="M50" s="180" t="s">
        <v>690</v>
      </c>
      <c r="N50" s="125" t="s">
        <v>691</v>
      </c>
      <c r="O50" s="199">
        <v>1</v>
      </c>
      <c r="P50" s="126" t="s">
        <v>629</v>
      </c>
      <c r="Q50" s="205" t="s">
        <v>724</v>
      </c>
      <c r="S50" s="201" t="s">
        <v>785</v>
      </c>
      <c r="T50" s="202" t="s">
        <v>786</v>
      </c>
      <c r="U50" s="203" t="s">
        <v>635</v>
      </c>
      <c r="V50" s="197" t="s">
        <v>667</v>
      </c>
    </row>
    <row r="51" spans="1:22" s="183" customFormat="1" ht="21" x14ac:dyDescent="0.25">
      <c r="A51" s="181">
        <v>3</v>
      </c>
      <c r="B51" s="181">
        <v>300</v>
      </c>
      <c r="C51" s="181">
        <v>2</v>
      </c>
      <c r="D51" s="182"/>
      <c r="E51" s="182" t="s">
        <v>278</v>
      </c>
      <c r="K51" s="132" t="s">
        <v>689</v>
      </c>
      <c r="L51" s="125" t="s">
        <v>687</v>
      </c>
      <c r="M51" s="180" t="s">
        <v>632</v>
      </c>
      <c r="N51" s="125" t="s">
        <v>691</v>
      </c>
      <c r="O51" s="199">
        <v>1</v>
      </c>
      <c r="P51" s="126" t="s">
        <v>629</v>
      </c>
      <c r="Q51" s="205" t="s">
        <v>724</v>
      </c>
      <c r="S51" s="201" t="s">
        <v>787</v>
      </c>
      <c r="T51" s="202" t="s">
        <v>788</v>
      </c>
      <c r="U51" s="203" t="s">
        <v>772</v>
      </c>
      <c r="V51" s="202" t="s">
        <v>736</v>
      </c>
    </row>
    <row r="52" spans="1:22" s="183" customFormat="1" ht="21" x14ac:dyDescent="0.25">
      <c r="A52" s="181">
        <v>3</v>
      </c>
      <c r="B52" s="181">
        <v>900</v>
      </c>
      <c r="C52" s="181">
        <v>2</v>
      </c>
      <c r="D52" s="182"/>
      <c r="E52" s="182" t="s">
        <v>278</v>
      </c>
      <c r="K52" s="132" t="s">
        <v>689</v>
      </c>
      <c r="L52" s="125" t="s">
        <v>692</v>
      </c>
      <c r="M52" s="180" t="s">
        <v>690</v>
      </c>
      <c r="N52" s="125" t="s">
        <v>691</v>
      </c>
      <c r="O52" s="199">
        <v>2</v>
      </c>
      <c r="P52" s="126" t="s">
        <v>629</v>
      </c>
      <c r="Q52" s="205" t="s">
        <v>724</v>
      </c>
      <c r="S52" s="201" t="s">
        <v>789</v>
      </c>
      <c r="T52" s="202" t="s">
        <v>786</v>
      </c>
      <c r="U52" s="203" t="s">
        <v>772</v>
      </c>
      <c r="V52" s="202" t="s">
        <v>736</v>
      </c>
    </row>
    <row r="53" spans="1:22" s="183" customFormat="1" ht="21" x14ac:dyDescent="0.25">
      <c r="A53" s="181">
        <v>4</v>
      </c>
      <c r="B53" s="181">
        <v>150</v>
      </c>
      <c r="C53" s="181">
        <v>2</v>
      </c>
      <c r="D53" s="182"/>
      <c r="E53" s="182" t="s">
        <v>278</v>
      </c>
      <c r="K53" s="132" t="s">
        <v>689</v>
      </c>
      <c r="L53" s="125" t="s">
        <v>692</v>
      </c>
      <c r="M53" s="180" t="s">
        <v>693</v>
      </c>
      <c r="N53" s="125" t="s">
        <v>691</v>
      </c>
      <c r="O53" s="199">
        <v>1</v>
      </c>
      <c r="P53" s="126" t="s">
        <v>629</v>
      </c>
      <c r="Q53" s="205" t="s">
        <v>724</v>
      </c>
      <c r="S53" s="206" t="s">
        <v>790</v>
      </c>
      <c r="T53" s="202" t="s">
        <v>729</v>
      </c>
      <c r="U53" s="203" t="s">
        <v>772</v>
      </c>
      <c r="V53" s="202" t="s">
        <v>736</v>
      </c>
    </row>
    <row r="54" spans="1:22" s="183" customFormat="1" ht="21" x14ac:dyDescent="0.25">
      <c r="A54" s="181">
        <v>2</v>
      </c>
      <c r="B54" s="181">
        <v>2500</v>
      </c>
      <c r="C54" s="181">
        <v>2</v>
      </c>
      <c r="D54" s="182"/>
      <c r="E54" s="182" t="s">
        <v>278</v>
      </c>
      <c r="K54" s="132" t="s">
        <v>689</v>
      </c>
      <c r="L54" s="125" t="s">
        <v>694</v>
      </c>
      <c r="M54" s="180" t="s">
        <v>632</v>
      </c>
      <c r="N54" s="125" t="s">
        <v>691</v>
      </c>
      <c r="O54" s="199">
        <v>1</v>
      </c>
      <c r="P54" s="126" t="s">
        <v>629</v>
      </c>
      <c r="Q54" s="205" t="s">
        <v>724</v>
      </c>
      <c r="S54" s="201" t="s">
        <v>791</v>
      </c>
      <c r="T54" s="202" t="s">
        <v>792</v>
      </c>
      <c r="U54" s="203" t="s">
        <v>772</v>
      </c>
      <c r="V54" s="202" t="s">
        <v>736</v>
      </c>
    </row>
    <row r="55" spans="1:22" s="183" customFormat="1" ht="21" x14ac:dyDescent="0.25">
      <c r="A55" s="181">
        <v>2</v>
      </c>
      <c r="B55" s="181">
        <v>1500</v>
      </c>
      <c r="C55" s="181">
        <v>4</v>
      </c>
      <c r="D55" s="182"/>
      <c r="E55" s="182" t="s">
        <v>278</v>
      </c>
      <c r="K55" s="132" t="s">
        <v>689</v>
      </c>
      <c r="L55" s="125" t="s">
        <v>89</v>
      </c>
      <c r="M55" s="180" t="s">
        <v>632</v>
      </c>
      <c r="N55" s="125" t="s">
        <v>691</v>
      </c>
      <c r="O55" s="199">
        <v>1</v>
      </c>
      <c r="P55" s="126" t="s">
        <v>629</v>
      </c>
      <c r="Q55" s="205" t="s">
        <v>724</v>
      </c>
      <c r="S55" s="201" t="s">
        <v>793</v>
      </c>
      <c r="T55" s="202" t="s">
        <v>729</v>
      </c>
      <c r="U55" s="203" t="s">
        <v>772</v>
      </c>
      <c r="V55" s="197" t="s">
        <v>667</v>
      </c>
    </row>
    <row r="56" spans="1:22" s="183" customFormat="1" ht="21" x14ac:dyDescent="0.25">
      <c r="A56" s="181">
        <v>2</v>
      </c>
      <c r="B56" s="181">
        <v>300</v>
      </c>
      <c r="C56" s="181">
        <v>2</v>
      </c>
      <c r="D56" s="182"/>
      <c r="E56" s="182" t="s">
        <v>278</v>
      </c>
      <c r="K56" s="132" t="s">
        <v>689</v>
      </c>
      <c r="L56" s="125" t="s">
        <v>695</v>
      </c>
      <c r="M56" s="180" t="s">
        <v>632</v>
      </c>
      <c r="N56" s="125" t="s">
        <v>691</v>
      </c>
      <c r="O56" s="199">
        <v>1</v>
      </c>
      <c r="P56" s="126" t="s">
        <v>629</v>
      </c>
      <c r="Q56" s="205" t="s">
        <v>724</v>
      </c>
      <c r="S56" s="201" t="s">
        <v>794</v>
      </c>
      <c r="T56" s="202" t="s">
        <v>788</v>
      </c>
      <c r="U56" s="203" t="s">
        <v>772</v>
      </c>
      <c r="V56" s="202" t="s">
        <v>736</v>
      </c>
    </row>
    <row r="57" spans="1:22" s="183" customFormat="1" ht="21" x14ac:dyDescent="0.25">
      <c r="A57" s="181">
        <v>2</v>
      </c>
      <c r="B57" s="181">
        <v>150</v>
      </c>
      <c r="C57" s="181">
        <v>2</v>
      </c>
      <c r="D57" s="182"/>
      <c r="E57" s="182" t="s">
        <v>278</v>
      </c>
      <c r="K57" s="132" t="s">
        <v>689</v>
      </c>
      <c r="L57" s="125" t="s">
        <v>696</v>
      </c>
      <c r="M57" s="180" t="s">
        <v>632</v>
      </c>
      <c r="N57" s="125" t="s">
        <v>691</v>
      </c>
      <c r="O57" s="199">
        <v>1</v>
      </c>
      <c r="P57" s="126" t="s">
        <v>629</v>
      </c>
      <c r="Q57" s="205" t="s">
        <v>724</v>
      </c>
      <c r="S57" s="201" t="s">
        <v>795</v>
      </c>
      <c r="T57" s="202" t="s">
        <v>788</v>
      </c>
      <c r="U57" s="203" t="s">
        <v>772</v>
      </c>
      <c r="V57" s="202" t="s">
        <v>736</v>
      </c>
    </row>
    <row r="58" spans="1:22" s="183" customFormat="1" ht="21" x14ac:dyDescent="0.25">
      <c r="A58" s="207">
        <v>1.5</v>
      </c>
      <c r="B58" s="181">
        <v>1500</v>
      </c>
      <c r="C58" s="181">
        <v>4</v>
      </c>
      <c r="D58" s="182"/>
      <c r="E58" s="182" t="s">
        <v>278</v>
      </c>
      <c r="K58" s="132" t="s">
        <v>689</v>
      </c>
      <c r="L58" s="125" t="s">
        <v>697</v>
      </c>
      <c r="M58" s="180" t="s">
        <v>698</v>
      </c>
      <c r="N58" s="125" t="s">
        <v>691</v>
      </c>
      <c r="O58" s="199">
        <v>1</v>
      </c>
      <c r="P58" s="126" t="s">
        <v>629</v>
      </c>
      <c r="Q58" s="205" t="s">
        <v>724</v>
      </c>
      <c r="S58" s="201" t="s">
        <v>796</v>
      </c>
      <c r="T58" s="202" t="s">
        <v>788</v>
      </c>
      <c r="U58" s="203" t="s">
        <v>772</v>
      </c>
      <c r="V58" s="202" t="s">
        <v>736</v>
      </c>
    </row>
    <row r="59" spans="1:22" s="183" customFormat="1" ht="21" x14ac:dyDescent="0.25">
      <c r="A59" s="207">
        <v>1.5</v>
      </c>
      <c r="B59" s="181">
        <v>300</v>
      </c>
      <c r="C59" s="181">
        <v>4</v>
      </c>
      <c r="D59" s="182"/>
      <c r="E59" s="182" t="s">
        <v>278</v>
      </c>
      <c r="K59" s="132" t="s">
        <v>636</v>
      </c>
      <c r="L59" s="125" t="s">
        <v>699</v>
      </c>
      <c r="M59" s="180" t="s">
        <v>420</v>
      </c>
      <c r="N59" s="125" t="s">
        <v>691</v>
      </c>
      <c r="O59" s="199">
        <v>1</v>
      </c>
      <c r="P59" s="126" t="s">
        <v>629</v>
      </c>
      <c r="Q59" s="205" t="s">
        <v>724</v>
      </c>
      <c r="S59" s="201" t="s">
        <v>797</v>
      </c>
      <c r="T59" s="202" t="s">
        <v>798</v>
      </c>
      <c r="U59" s="203" t="s">
        <v>772</v>
      </c>
      <c r="V59" s="202" t="s">
        <v>736</v>
      </c>
    </row>
    <row r="60" spans="1:22" s="183" customFormat="1" ht="21" x14ac:dyDescent="0.25">
      <c r="A60" s="181">
        <v>1</v>
      </c>
      <c r="B60" s="181">
        <v>1500</v>
      </c>
      <c r="C60" s="181">
        <v>2</v>
      </c>
      <c r="D60" s="182"/>
      <c r="E60" s="182" t="s">
        <v>278</v>
      </c>
      <c r="K60" s="132" t="s">
        <v>645</v>
      </c>
      <c r="L60" s="125" t="s">
        <v>663</v>
      </c>
      <c r="M60" s="180" t="s">
        <v>647</v>
      </c>
      <c r="N60" s="125" t="s">
        <v>691</v>
      </c>
      <c r="O60" s="199">
        <v>1</v>
      </c>
      <c r="P60" s="126" t="s">
        <v>629</v>
      </c>
      <c r="Q60" s="205" t="s">
        <v>724</v>
      </c>
      <c r="S60" s="201" t="s">
        <v>799</v>
      </c>
      <c r="T60" s="202" t="s">
        <v>729</v>
      </c>
      <c r="U60" s="203" t="s">
        <v>772</v>
      </c>
      <c r="V60" s="197" t="s">
        <v>667</v>
      </c>
    </row>
    <row r="61" spans="1:22" s="183" customFormat="1" ht="21" x14ac:dyDescent="0.25">
      <c r="A61" s="181">
        <v>1</v>
      </c>
      <c r="B61" s="181">
        <v>300</v>
      </c>
      <c r="C61" s="181">
        <v>2</v>
      </c>
      <c r="D61" s="182"/>
      <c r="E61" s="182" t="s">
        <v>278</v>
      </c>
      <c r="K61" s="132" t="s">
        <v>700</v>
      </c>
      <c r="L61" s="125" t="s">
        <v>635</v>
      </c>
      <c r="M61" s="180" t="s">
        <v>635</v>
      </c>
      <c r="N61" s="125" t="s">
        <v>691</v>
      </c>
      <c r="O61" s="199">
        <v>1</v>
      </c>
      <c r="P61" s="126" t="s">
        <v>629</v>
      </c>
      <c r="Q61" s="205" t="s">
        <v>724</v>
      </c>
      <c r="S61" s="201" t="s">
        <v>800</v>
      </c>
      <c r="T61" s="202" t="s">
        <v>729</v>
      </c>
      <c r="U61" s="203" t="s">
        <v>772</v>
      </c>
      <c r="V61" s="197" t="s">
        <v>667</v>
      </c>
    </row>
    <row r="62" spans="1:22" s="183" customFormat="1" ht="21" x14ac:dyDescent="0.25">
      <c r="A62" s="181">
        <v>1</v>
      </c>
      <c r="B62" s="181">
        <v>150</v>
      </c>
      <c r="C62" s="181">
        <v>2</v>
      </c>
      <c r="D62" s="182"/>
      <c r="E62" s="182" t="s">
        <v>278</v>
      </c>
      <c r="K62" s="132" t="s">
        <v>636</v>
      </c>
      <c r="L62" s="125" t="s">
        <v>119</v>
      </c>
      <c r="M62" s="180" t="s">
        <v>635</v>
      </c>
      <c r="N62" s="125" t="s">
        <v>691</v>
      </c>
      <c r="O62" s="199">
        <v>1</v>
      </c>
      <c r="P62" s="126" t="s">
        <v>629</v>
      </c>
      <c r="Q62" s="205" t="s">
        <v>724</v>
      </c>
      <c r="S62" s="201" t="s">
        <v>801</v>
      </c>
      <c r="T62" s="202" t="s">
        <v>734</v>
      </c>
      <c r="U62" s="203" t="s">
        <v>772</v>
      </c>
      <c r="V62" s="202" t="s">
        <v>736</v>
      </c>
    </row>
    <row r="63" spans="1:22" s="183" customFormat="1" ht="21" x14ac:dyDescent="0.25">
      <c r="A63" s="208" t="s">
        <v>282</v>
      </c>
      <c r="B63" s="181">
        <v>150</v>
      </c>
      <c r="C63" s="181">
        <v>2</v>
      </c>
      <c r="D63" s="182"/>
      <c r="E63" s="182" t="s">
        <v>278</v>
      </c>
      <c r="K63" s="132" t="s">
        <v>701</v>
      </c>
      <c r="L63" s="125" t="s">
        <v>195</v>
      </c>
      <c r="M63" s="180" t="s">
        <v>702</v>
      </c>
      <c r="N63" s="125" t="s">
        <v>691</v>
      </c>
      <c r="O63" s="199">
        <v>1</v>
      </c>
      <c r="P63" s="126" t="s">
        <v>629</v>
      </c>
      <c r="Q63" s="205" t="s">
        <v>724</v>
      </c>
      <c r="S63" s="201" t="s">
        <v>802</v>
      </c>
      <c r="T63" s="202" t="s">
        <v>734</v>
      </c>
      <c r="U63" s="203" t="s">
        <v>635</v>
      </c>
      <c r="V63" s="197" t="s">
        <v>667</v>
      </c>
    </row>
    <row r="64" spans="1:22" s="183" customFormat="1" ht="21" x14ac:dyDescent="0.25">
      <c r="A64" s="181">
        <v>32</v>
      </c>
      <c r="B64" s="181">
        <v>300</v>
      </c>
      <c r="C64" s="181">
        <v>2</v>
      </c>
      <c r="D64" s="182"/>
      <c r="E64" s="182" t="s">
        <v>278</v>
      </c>
      <c r="K64" s="132" t="s">
        <v>703</v>
      </c>
      <c r="L64" s="125" t="s">
        <v>674</v>
      </c>
      <c r="M64" s="180" t="s">
        <v>632</v>
      </c>
      <c r="N64" s="125" t="s">
        <v>691</v>
      </c>
      <c r="O64" s="199">
        <v>1</v>
      </c>
      <c r="P64" s="126" t="s">
        <v>629</v>
      </c>
      <c r="Q64" s="205" t="s">
        <v>724</v>
      </c>
      <c r="S64" s="201" t="s">
        <v>803</v>
      </c>
      <c r="T64" s="202" t="s">
        <v>734</v>
      </c>
      <c r="U64" s="203" t="s">
        <v>635</v>
      </c>
      <c r="V64" s="197" t="s">
        <v>667</v>
      </c>
    </row>
    <row r="65" spans="1:22" s="183" customFormat="1" ht="21" x14ac:dyDescent="0.25">
      <c r="A65" s="181">
        <v>3</v>
      </c>
      <c r="B65" s="181">
        <v>1500</v>
      </c>
      <c r="C65" s="181">
        <v>2</v>
      </c>
      <c r="D65" s="182" t="s">
        <v>213</v>
      </c>
      <c r="E65" s="182" t="s">
        <v>278</v>
      </c>
      <c r="K65" s="132" t="s">
        <v>689</v>
      </c>
      <c r="L65" s="125" t="s">
        <v>195</v>
      </c>
      <c r="M65" s="180" t="s">
        <v>704</v>
      </c>
      <c r="N65" s="125" t="s">
        <v>691</v>
      </c>
      <c r="O65" s="199">
        <v>1</v>
      </c>
      <c r="P65" s="126" t="s">
        <v>629</v>
      </c>
      <c r="Q65" s="205" t="s">
        <v>724</v>
      </c>
      <c r="S65" s="201" t="s">
        <v>804</v>
      </c>
      <c r="T65" s="202" t="s">
        <v>734</v>
      </c>
      <c r="U65" s="203" t="s">
        <v>635</v>
      </c>
      <c r="V65" s="197" t="s">
        <v>667</v>
      </c>
    </row>
    <row r="66" spans="1:22" s="183" customFormat="1" ht="21" x14ac:dyDescent="0.25">
      <c r="A66" s="208" t="s">
        <v>282</v>
      </c>
      <c r="B66" s="181">
        <v>1500</v>
      </c>
      <c r="C66" s="181">
        <v>2</v>
      </c>
      <c r="D66" s="182" t="s">
        <v>81</v>
      </c>
      <c r="E66" s="182" t="s">
        <v>278</v>
      </c>
      <c r="K66" s="132" t="s">
        <v>705</v>
      </c>
      <c r="L66" s="125" t="s">
        <v>635</v>
      </c>
      <c r="M66" s="180" t="s">
        <v>635</v>
      </c>
      <c r="N66" s="125" t="s">
        <v>691</v>
      </c>
      <c r="O66" s="199">
        <v>1</v>
      </c>
      <c r="P66" s="126" t="s">
        <v>629</v>
      </c>
      <c r="Q66" s="205" t="s">
        <v>724</v>
      </c>
      <c r="S66" s="201" t="s">
        <v>805</v>
      </c>
      <c r="T66" s="202" t="s">
        <v>788</v>
      </c>
      <c r="U66" s="203" t="s">
        <v>772</v>
      </c>
      <c r="V66" s="197" t="s">
        <v>667</v>
      </c>
    </row>
    <row r="67" spans="1:22" s="183" customFormat="1" ht="21" x14ac:dyDescent="0.25">
      <c r="A67" s="181">
        <v>2</v>
      </c>
      <c r="B67" s="181">
        <v>600</v>
      </c>
      <c r="C67" s="181">
        <v>2</v>
      </c>
      <c r="D67" s="209"/>
      <c r="E67" s="182" t="s">
        <v>278</v>
      </c>
      <c r="K67" s="132" t="s">
        <v>706</v>
      </c>
      <c r="L67" s="125" t="s">
        <v>707</v>
      </c>
      <c r="M67" s="180" t="s">
        <v>708</v>
      </c>
      <c r="N67" s="125" t="s">
        <v>605</v>
      </c>
      <c r="O67" s="199">
        <v>1</v>
      </c>
      <c r="P67" s="129" t="s">
        <v>723</v>
      </c>
      <c r="Q67" s="200" t="s">
        <v>709</v>
      </c>
      <c r="S67" s="201" t="s">
        <v>806</v>
      </c>
      <c r="T67" s="202" t="s">
        <v>807</v>
      </c>
      <c r="U67" s="203" t="s">
        <v>635</v>
      </c>
      <c r="V67" s="197" t="s">
        <v>667</v>
      </c>
    </row>
    <row r="68" spans="1:22" s="183" customFormat="1" ht="10.5" x14ac:dyDescent="0.25">
      <c r="K68" s="132" t="s">
        <v>710</v>
      </c>
      <c r="L68" s="125" t="s">
        <v>85</v>
      </c>
      <c r="M68" s="180" t="s">
        <v>635</v>
      </c>
      <c r="N68" s="125" t="s">
        <v>34</v>
      </c>
      <c r="O68" s="199">
        <v>2</v>
      </c>
      <c r="P68" s="126" t="s">
        <v>711</v>
      </c>
      <c r="Q68" s="200" t="s">
        <v>712</v>
      </c>
      <c r="S68" s="201" t="s">
        <v>808</v>
      </c>
      <c r="T68" s="202" t="s">
        <v>734</v>
      </c>
      <c r="U68" s="203" t="s">
        <v>635</v>
      </c>
      <c r="V68" s="197" t="s">
        <v>667</v>
      </c>
    </row>
    <row r="69" spans="1:22" s="183" customFormat="1" ht="10.5" x14ac:dyDescent="0.25">
      <c r="K69" s="132" t="s">
        <v>710</v>
      </c>
      <c r="L69" s="125" t="s">
        <v>84</v>
      </c>
      <c r="M69" s="180" t="s">
        <v>635</v>
      </c>
      <c r="N69" s="125" t="s">
        <v>34</v>
      </c>
      <c r="O69" s="199">
        <v>4</v>
      </c>
      <c r="P69" s="126" t="s">
        <v>711</v>
      </c>
      <c r="Q69" s="200" t="s">
        <v>712</v>
      </c>
      <c r="S69" s="201" t="s">
        <v>809</v>
      </c>
      <c r="T69" s="202" t="s">
        <v>734</v>
      </c>
      <c r="U69" s="203" t="s">
        <v>772</v>
      </c>
      <c r="V69" s="197" t="s">
        <v>667</v>
      </c>
    </row>
    <row r="70" spans="1:22" s="183" customFormat="1" ht="10.5" x14ac:dyDescent="0.25">
      <c r="K70" s="132" t="s">
        <v>710</v>
      </c>
      <c r="L70" s="125" t="s">
        <v>82</v>
      </c>
      <c r="M70" s="180" t="s">
        <v>635</v>
      </c>
      <c r="N70" s="125" t="s">
        <v>34</v>
      </c>
      <c r="O70" s="199">
        <v>4</v>
      </c>
      <c r="P70" s="126" t="s">
        <v>711</v>
      </c>
      <c r="Q70" s="200" t="s">
        <v>712</v>
      </c>
      <c r="S70" s="201" t="s">
        <v>810</v>
      </c>
      <c r="T70" s="202" t="s">
        <v>807</v>
      </c>
      <c r="U70" s="203" t="s">
        <v>635</v>
      </c>
      <c r="V70" s="197" t="s">
        <v>667</v>
      </c>
    </row>
    <row r="71" spans="1:22" s="183" customFormat="1" ht="10.5" x14ac:dyDescent="0.25">
      <c r="K71" s="132" t="s">
        <v>710</v>
      </c>
      <c r="L71" s="125" t="s">
        <v>120</v>
      </c>
      <c r="M71" s="180" t="s">
        <v>635</v>
      </c>
      <c r="N71" s="125" t="s">
        <v>34</v>
      </c>
      <c r="O71" s="199">
        <v>3</v>
      </c>
      <c r="P71" s="126" t="s">
        <v>711</v>
      </c>
      <c r="Q71" s="200" t="s">
        <v>712</v>
      </c>
      <c r="S71" s="201" t="s">
        <v>811</v>
      </c>
      <c r="T71" s="202" t="s">
        <v>729</v>
      </c>
      <c r="U71" s="203" t="s">
        <v>635</v>
      </c>
      <c r="V71" s="197" t="s">
        <v>667</v>
      </c>
    </row>
    <row r="72" spans="1:22" s="183" customFormat="1" ht="10.5" x14ac:dyDescent="0.25">
      <c r="K72" s="132" t="s">
        <v>710</v>
      </c>
      <c r="L72" s="125" t="s">
        <v>80</v>
      </c>
      <c r="M72" s="180" t="s">
        <v>635</v>
      </c>
      <c r="N72" s="125" t="s">
        <v>34</v>
      </c>
      <c r="O72" s="199">
        <v>3</v>
      </c>
      <c r="P72" s="126" t="s">
        <v>711</v>
      </c>
      <c r="Q72" s="200" t="s">
        <v>712</v>
      </c>
      <c r="S72" s="201" t="s">
        <v>812</v>
      </c>
      <c r="T72" s="202" t="s">
        <v>807</v>
      </c>
      <c r="U72" s="203" t="s">
        <v>772</v>
      </c>
      <c r="V72" s="202" t="s">
        <v>736</v>
      </c>
    </row>
    <row r="73" spans="1:22" s="183" customFormat="1" ht="10.5" x14ac:dyDescent="0.25">
      <c r="K73" s="132" t="s">
        <v>710</v>
      </c>
      <c r="L73" s="125" t="s">
        <v>119</v>
      </c>
      <c r="M73" s="180" t="s">
        <v>635</v>
      </c>
      <c r="N73" s="125" t="s">
        <v>34</v>
      </c>
      <c r="O73" s="199">
        <v>3</v>
      </c>
      <c r="P73" s="126" t="s">
        <v>711</v>
      </c>
      <c r="Q73" s="200" t="s">
        <v>712</v>
      </c>
      <c r="S73" s="201" t="s">
        <v>813</v>
      </c>
      <c r="T73" s="202" t="s">
        <v>729</v>
      </c>
      <c r="U73" s="203" t="s">
        <v>635</v>
      </c>
      <c r="V73" s="197" t="s">
        <v>667</v>
      </c>
    </row>
    <row r="74" spans="1:22" s="183" customFormat="1" ht="21" x14ac:dyDescent="0.25">
      <c r="K74" s="133" t="s">
        <v>713</v>
      </c>
      <c r="L74" s="125" t="s">
        <v>294</v>
      </c>
      <c r="M74" s="180" t="s">
        <v>635</v>
      </c>
      <c r="N74" s="125" t="s">
        <v>34</v>
      </c>
      <c r="O74" s="180">
        <v>15</v>
      </c>
      <c r="P74" s="130" t="s">
        <v>711</v>
      </c>
      <c r="Q74" s="200" t="s">
        <v>712</v>
      </c>
      <c r="S74" s="201" t="s">
        <v>814</v>
      </c>
      <c r="T74" s="202" t="s">
        <v>807</v>
      </c>
      <c r="U74" s="203" t="s">
        <v>772</v>
      </c>
      <c r="V74" s="202" t="s">
        <v>736</v>
      </c>
    </row>
    <row r="75" spans="1:22" s="183" customFormat="1" ht="10.5" x14ac:dyDescent="0.25">
      <c r="K75" s="132" t="s">
        <v>714</v>
      </c>
      <c r="L75" s="125" t="s">
        <v>651</v>
      </c>
      <c r="M75" s="180" t="s">
        <v>635</v>
      </c>
      <c r="N75" s="125" t="s">
        <v>34</v>
      </c>
      <c r="O75" s="199" t="s">
        <v>715</v>
      </c>
      <c r="P75" s="126" t="s">
        <v>629</v>
      </c>
      <c r="Q75" s="200" t="s">
        <v>712</v>
      </c>
      <c r="S75" s="201" t="s">
        <v>815</v>
      </c>
      <c r="T75" s="202" t="s">
        <v>729</v>
      </c>
      <c r="U75" s="203" t="s">
        <v>635</v>
      </c>
      <c r="V75" s="197" t="s">
        <v>667</v>
      </c>
    </row>
    <row r="76" spans="1:22" s="183" customFormat="1" ht="10.5" x14ac:dyDescent="0.25">
      <c r="K76" s="132" t="s">
        <v>714</v>
      </c>
      <c r="L76" s="125" t="s">
        <v>716</v>
      </c>
      <c r="M76" s="180" t="s">
        <v>635</v>
      </c>
      <c r="N76" s="125" t="s">
        <v>34</v>
      </c>
      <c r="O76" s="199" t="s">
        <v>715</v>
      </c>
      <c r="P76" s="126" t="s">
        <v>629</v>
      </c>
      <c r="Q76" s="200" t="s">
        <v>712</v>
      </c>
      <c r="S76" s="201" t="s">
        <v>816</v>
      </c>
      <c r="T76" s="202" t="s">
        <v>734</v>
      </c>
      <c r="U76" s="203" t="s">
        <v>772</v>
      </c>
      <c r="V76" s="202" t="s">
        <v>736</v>
      </c>
    </row>
    <row r="77" spans="1:22" s="183" customFormat="1" ht="10.5" x14ac:dyDescent="0.25">
      <c r="K77" s="132" t="s">
        <v>714</v>
      </c>
      <c r="L77" s="125" t="s">
        <v>717</v>
      </c>
      <c r="M77" s="180" t="s">
        <v>635</v>
      </c>
      <c r="N77" s="125" t="s">
        <v>34</v>
      </c>
      <c r="O77" s="199" t="s">
        <v>715</v>
      </c>
      <c r="P77" s="126" t="s">
        <v>629</v>
      </c>
      <c r="Q77" s="200" t="s">
        <v>712</v>
      </c>
      <c r="S77" s="201" t="s">
        <v>817</v>
      </c>
      <c r="T77" s="202" t="s">
        <v>818</v>
      </c>
      <c r="U77" s="203" t="s">
        <v>772</v>
      </c>
      <c r="V77" s="202" t="s">
        <v>736</v>
      </c>
    </row>
    <row r="78" spans="1:22" s="183" customFormat="1" ht="10.5" x14ac:dyDescent="0.25">
      <c r="K78" s="132" t="s">
        <v>714</v>
      </c>
      <c r="L78" s="125" t="s">
        <v>718</v>
      </c>
      <c r="M78" s="180" t="s">
        <v>635</v>
      </c>
      <c r="N78" s="125" t="s">
        <v>34</v>
      </c>
      <c r="O78" s="199" t="s">
        <v>719</v>
      </c>
      <c r="P78" s="126" t="s">
        <v>629</v>
      </c>
      <c r="Q78" s="200" t="s">
        <v>712</v>
      </c>
      <c r="S78" s="201" t="s">
        <v>819</v>
      </c>
      <c r="T78" s="202" t="s">
        <v>807</v>
      </c>
      <c r="U78" s="203" t="s">
        <v>772</v>
      </c>
      <c r="V78" s="202" t="s">
        <v>736</v>
      </c>
    </row>
    <row r="79" spans="1:22" s="183" customFormat="1" ht="10.5" x14ac:dyDescent="0.25">
      <c r="K79" s="132" t="s">
        <v>714</v>
      </c>
      <c r="L79" s="125" t="s">
        <v>720</v>
      </c>
      <c r="M79" s="180" t="s">
        <v>635</v>
      </c>
      <c r="N79" s="125" t="s">
        <v>34</v>
      </c>
      <c r="O79" s="199" t="s">
        <v>719</v>
      </c>
      <c r="P79" s="126" t="s">
        <v>629</v>
      </c>
      <c r="Q79" s="200" t="s">
        <v>712</v>
      </c>
      <c r="S79" s="201" t="s">
        <v>820</v>
      </c>
      <c r="T79" s="202" t="s">
        <v>821</v>
      </c>
      <c r="U79" s="203" t="s">
        <v>772</v>
      </c>
      <c r="V79" s="202" t="s">
        <v>736</v>
      </c>
    </row>
    <row r="80" spans="1:22" s="183" customFormat="1" ht="10.5" x14ac:dyDescent="0.25">
      <c r="K80" s="132" t="s">
        <v>721</v>
      </c>
      <c r="L80" s="125" t="s">
        <v>720</v>
      </c>
      <c r="M80" s="180" t="s">
        <v>635</v>
      </c>
      <c r="N80" s="125" t="s">
        <v>34</v>
      </c>
      <c r="O80" s="199" t="s">
        <v>722</v>
      </c>
      <c r="P80" s="126" t="s">
        <v>629</v>
      </c>
      <c r="Q80" s="200" t="s">
        <v>712</v>
      </c>
      <c r="S80" s="201" t="s">
        <v>822</v>
      </c>
      <c r="T80" s="202" t="s">
        <v>807</v>
      </c>
      <c r="U80" s="203" t="s">
        <v>772</v>
      </c>
      <c r="V80" s="202" t="s">
        <v>736</v>
      </c>
    </row>
    <row r="81" spans="1:22" s="183" customFormat="1" ht="10.5" x14ac:dyDescent="0.25">
      <c r="K81" s="132" t="s">
        <v>721</v>
      </c>
      <c r="L81" s="125" t="s">
        <v>718</v>
      </c>
      <c r="M81" s="180" t="s">
        <v>635</v>
      </c>
      <c r="N81" s="125" t="s">
        <v>34</v>
      </c>
      <c r="O81" s="199" t="s">
        <v>715</v>
      </c>
      <c r="P81" s="126" t="s">
        <v>629</v>
      </c>
      <c r="Q81" s="200" t="s">
        <v>712</v>
      </c>
      <c r="S81" s="201" t="s">
        <v>823</v>
      </c>
      <c r="T81" s="202" t="s">
        <v>807</v>
      </c>
      <c r="U81" s="203" t="s">
        <v>772</v>
      </c>
      <c r="V81" s="202" t="s">
        <v>736</v>
      </c>
    </row>
    <row r="82" spans="1:22" s="183" customFormat="1" ht="10.5" x14ac:dyDescent="0.25">
      <c r="K82" s="132" t="s">
        <v>721</v>
      </c>
      <c r="L82" s="125" t="s">
        <v>717</v>
      </c>
      <c r="M82" s="180" t="s">
        <v>635</v>
      </c>
      <c r="N82" s="125" t="s">
        <v>34</v>
      </c>
      <c r="O82" s="199" t="s">
        <v>715</v>
      </c>
      <c r="P82" s="126" t="s">
        <v>629</v>
      </c>
      <c r="Q82" s="200" t="s">
        <v>712</v>
      </c>
      <c r="S82" s="201" t="s">
        <v>824</v>
      </c>
      <c r="T82" s="202" t="s">
        <v>825</v>
      </c>
      <c r="U82" s="203" t="s">
        <v>772</v>
      </c>
      <c r="V82" s="202" t="s">
        <v>736</v>
      </c>
    </row>
    <row r="83" spans="1:22" s="183" customFormat="1" ht="10.5" x14ac:dyDescent="0.25">
      <c r="K83" s="132" t="s">
        <v>721</v>
      </c>
      <c r="L83" s="125" t="s">
        <v>651</v>
      </c>
      <c r="M83" s="180" t="s">
        <v>635</v>
      </c>
      <c r="N83" s="125" t="s">
        <v>34</v>
      </c>
      <c r="O83" s="199" t="s">
        <v>715</v>
      </c>
      <c r="P83" s="126" t="s">
        <v>711</v>
      </c>
      <c r="Q83" s="200" t="s">
        <v>712</v>
      </c>
      <c r="S83" s="201" t="s">
        <v>826</v>
      </c>
      <c r="T83" s="202" t="s">
        <v>807</v>
      </c>
      <c r="U83" s="203" t="s">
        <v>772</v>
      </c>
      <c r="V83" s="202" t="s">
        <v>736</v>
      </c>
    </row>
    <row r="84" spans="1:22" s="183" customFormat="1" ht="10.5" x14ac:dyDescent="0.25">
      <c r="S84" s="201" t="s">
        <v>827</v>
      </c>
      <c r="T84" s="202" t="s">
        <v>828</v>
      </c>
      <c r="U84" s="203" t="s">
        <v>772</v>
      </c>
      <c r="V84" s="202" t="s">
        <v>736</v>
      </c>
    </row>
    <row r="85" spans="1:22" s="183" customFormat="1" ht="12" x14ac:dyDescent="0.25">
      <c r="S85" s="201" t="s">
        <v>862</v>
      </c>
      <c r="T85" s="202"/>
      <c r="U85" s="203" t="s">
        <v>772</v>
      </c>
      <c r="V85" s="202" t="s">
        <v>736</v>
      </c>
    </row>
    <row r="86" spans="1:22" s="183" customFormat="1" thickBot="1" x14ac:dyDescent="0.3">
      <c r="S86" s="210" t="s">
        <v>863</v>
      </c>
      <c r="T86" s="210"/>
      <c r="U86" s="203" t="s">
        <v>772</v>
      </c>
      <c r="V86" s="202" t="s">
        <v>736</v>
      </c>
    </row>
    <row r="87" spans="1:22" ht="13" thickTop="1" x14ac:dyDescent="0.25">
      <c r="A87" s="183"/>
      <c r="B87" s="183"/>
      <c r="C87" s="183"/>
      <c r="D87" s="183"/>
      <c r="E87" s="183"/>
    </row>
  </sheetData>
  <autoFilter ref="A7:AA87" xr:uid="{6EF5409E-C188-4724-B57C-A4DC032D9639}"/>
  <printOptions horizontalCentered="1"/>
  <pageMargins left="0.17" right="0.2" top="0.39" bottom="0.38" header="0.3" footer="0.3"/>
  <pageSetup paperSize="9" scale="31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89189-B4E1-4823-8650-4BE819A3B830}">
  <sheetPr codeName="Sheet7">
    <tabColor rgb="FFFFFF00"/>
    <pageSetUpPr fitToPage="1"/>
  </sheetPr>
  <dimension ref="A4:J89"/>
  <sheetViews>
    <sheetView zoomScale="85" zoomScaleNormal="85" workbookViewId="0">
      <selection activeCell="B11" sqref="B11"/>
    </sheetView>
  </sheetViews>
  <sheetFormatPr defaultRowHeight="12.5" x14ac:dyDescent="0.25"/>
  <cols>
    <col min="1" max="1" width="6.36328125" customWidth="1"/>
    <col min="2" max="2" width="32.453125" customWidth="1"/>
    <col min="3" max="3" width="25.453125" bestFit="1" customWidth="1"/>
    <col min="4" max="4" width="10.7265625" bestFit="1" customWidth="1"/>
    <col min="5" max="5" width="22.90625" bestFit="1" customWidth="1"/>
    <col min="6" max="6" width="12.36328125" bestFit="1" customWidth="1"/>
    <col min="7" max="7" width="9.81640625" bestFit="1" customWidth="1"/>
    <col min="8" max="8" width="20.54296875" customWidth="1"/>
    <col min="9" max="9" width="5.36328125" bestFit="1" customWidth="1"/>
    <col min="10" max="10" width="16.1796875" bestFit="1" customWidth="1"/>
  </cols>
  <sheetData>
    <row r="4" spans="1:10" ht="32" x14ac:dyDescent="0.25">
      <c r="A4" s="119" t="s">
        <v>616</v>
      </c>
    </row>
    <row r="5" spans="1:10" ht="13" thickBot="1" x14ac:dyDescent="0.3"/>
    <row r="6" spans="1:10" ht="32" thickTop="1" thickBot="1" x14ac:dyDescent="0.3">
      <c r="A6" s="165" t="s">
        <v>342</v>
      </c>
      <c r="B6" s="166" t="s">
        <v>343</v>
      </c>
      <c r="C6" s="166" t="s">
        <v>344</v>
      </c>
      <c r="D6" s="166" t="s">
        <v>345</v>
      </c>
      <c r="E6" s="167" t="s">
        <v>346</v>
      </c>
      <c r="F6" s="167" t="s">
        <v>347</v>
      </c>
      <c r="G6" s="166" t="s">
        <v>348</v>
      </c>
      <c r="H6" s="167" t="s">
        <v>274</v>
      </c>
      <c r="I6" s="166" t="s">
        <v>349</v>
      </c>
      <c r="J6" s="168" t="s">
        <v>350</v>
      </c>
    </row>
    <row r="7" spans="1:10" ht="20.5" thickTop="1" x14ac:dyDescent="0.25">
      <c r="A7" s="169" t="s">
        <v>351</v>
      </c>
      <c r="B7" s="170"/>
      <c r="C7" s="170"/>
      <c r="D7" s="170"/>
      <c r="E7" s="170"/>
      <c r="F7" s="170"/>
      <c r="G7" s="170"/>
      <c r="H7" s="170"/>
      <c r="I7" s="170"/>
      <c r="J7" s="171"/>
    </row>
    <row r="8" spans="1:10" ht="13" x14ac:dyDescent="0.25">
      <c r="A8" s="397">
        <v>1</v>
      </c>
      <c r="B8" s="398" t="s">
        <v>352</v>
      </c>
      <c r="C8" s="399" t="s">
        <v>353</v>
      </c>
      <c r="D8" s="400">
        <v>2002</v>
      </c>
      <c r="E8" s="400" t="s">
        <v>354</v>
      </c>
      <c r="F8" s="400" t="s">
        <v>355</v>
      </c>
      <c r="G8" s="399" t="s">
        <v>356</v>
      </c>
      <c r="H8" s="400" t="s">
        <v>357</v>
      </c>
      <c r="I8" s="400">
        <v>1</v>
      </c>
      <c r="J8" s="401" t="s">
        <v>358</v>
      </c>
    </row>
    <row r="9" spans="1:10" ht="13" x14ac:dyDescent="0.25">
      <c r="A9" s="397">
        <v>2</v>
      </c>
      <c r="B9" s="398" t="s">
        <v>359</v>
      </c>
      <c r="C9" s="399" t="s">
        <v>353</v>
      </c>
      <c r="D9" s="400">
        <v>2002</v>
      </c>
      <c r="E9" s="400" t="s">
        <v>354</v>
      </c>
      <c r="F9" s="400" t="s">
        <v>355</v>
      </c>
      <c r="G9" s="399" t="s">
        <v>360</v>
      </c>
      <c r="H9" s="400" t="s">
        <v>357</v>
      </c>
      <c r="I9" s="400">
        <v>1</v>
      </c>
      <c r="J9" s="401" t="s">
        <v>358</v>
      </c>
    </row>
    <row r="10" spans="1:10" ht="13" x14ac:dyDescent="0.25">
      <c r="A10" s="397">
        <v>3</v>
      </c>
      <c r="B10" s="398" t="s">
        <v>359</v>
      </c>
      <c r="C10" s="399" t="s">
        <v>361</v>
      </c>
      <c r="D10" s="400">
        <v>2002</v>
      </c>
      <c r="E10" s="400" t="s">
        <v>362</v>
      </c>
      <c r="F10" s="400" t="s">
        <v>363</v>
      </c>
      <c r="G10" s="399" t="s">
        <v>364</v>
      </c>
      <c r="H10" s="400" t="s">
        <v>357</v>
      </c>
      <c r="I10" s="400">
        <v>1</v>
      </c>
      <c r="J10" s="401" t="s">
        <v>358</v>
      </c>
    </row>
    <row r="11" spans="1:10" ht="13" x14ac:dyDescent="0.25">
      <c r="A11" s="134">
        <v>4</v>
      </c>
      <c r="B11" s="135" t="s">
        <v>365</v>
      </c>
      <c r="C11" s="136" t="s">
        <v>366</v>
      </c>
      <c r="D11" s="137">
        <v>2003</v>
      </c>
      <c r="E11" s="137" t="s">
        <v>367</v>
      </c>
      <c r="F11" s="137" t="s">
        <v>368</v>
      </c>
      <c r="G11" s="136" t="s">
        <v>369</v>
      </c>
      <c r="H11" s="137" t="s">
        <v>357</v>
      </c>
      <c r="I11" s="137">
        <v>1</v>
      </c>
      <c r="J11" s="138" t="s">
        <v>358</v>
      </c>
    </row>
    <row r="12" spans="1:10" ht="13" x14ac:dyDescent="0.25">
      <c r="A12" s="134">
        <v>5</v>
      </c>
      <c r="B12" s="135" t="s">
        <v>370</v>
      </c>
      <c r="C12" s="136" t="s">
        <v>371</v>
      </c>
      <c r="D12" s="137">
        <v>2011</v>
      </c>
      <c r="E12" s="137" t="s">
        <v>372</v>
      </c>
      <c r="F12" s="137" t="s">
        <v>373</v>
      </c>
      <c r="G12" s="136" t="s">
        <v>374</v>
      </c>
      <c r="H12" s="137" t="s">
        <v>357</v>
      </c>
      <c r="I12" s="137">
        <v>1</v>
      </c>
      <c r="J12" s="138" t="s">
        <v>358</v>
      </c>
    </row>
    <row r="13" spans="1:10" ht="13" x14ac:dyDescent="0.25">
      <c r="A13" s="134">
        <v>6</v>
      </c>
      <c r="B13" s="135" t="s">
        <v>375</v>
      </c>
      <c r="C13" s="136" t="s">
        <v>371</v>
      </c>
      <c r="D13" s="137">
        <v>2014</v>
      </c>
      <c r="E13" s="137" t="s">
        <v>376</v>
      </c>
      <c r="F13" s="137" t="s">
        <v>377</v>
      </c>
      <c r="G13" s="136" t="s">
        <v>378</v>
      </c>
      <c r="H13" s="137" t="s">
        <v>357</v>
      </c>
      <c r="I13" s="137">
        <v>1</v>
      </c>
      <c r="J13" s="138" t="s">
        <v>358</v>
      </c>
    </row>
    <row r="14" spans="1:10" ht="13" x14ac:dyDescent="0.25">
      <c r="A14" s="134">
        <v>7</v>
      </c>
      <c r="B14" s="135" t="s">
        <v>375</v>
      </c>
      <c r="C14" s="136" t="s">
        <v>371</v>
      </c>
      <c r="D14" s="137">
        <v>2014</v>
      </c>
      <c r="E14" s="137" t="s">
        <v>376</v>
      </c>
      <c r="F14" s="137" t="s">
        <v>377</v>
      </c>
      <c r="G14" s="136" t="s">
        <v>379</v>
      </c>
      <c r="H14" s="137" t="s">
        <v>357</v>
      </c>
      <c r="I14" s="137">
        <v>1</v>
      </c>
      <c r="J14" s="138" t="s">
        <v>358</v>
      </c>
    </row>
    <row r="15" spans="1:10" ht="13" x14ac:dyDescent="0.25">
      <c r="A15" s="134">
        <v>8</v>
      </c>
      <c r="B15" s="135" t="s">
        <v>359</v>
      </c>
      <c r="C15" s="136" t="s">
        <v>380</v>
      </c>
      <c r="D15" s="137">
        <v>2016</v>
      </c>
      <c r="E15" s="137" t="s">
        <v>381</v>
      </c>
      <c r="F15" s="137" t="s">
        <v>363</v>
      </c>
      <c r="G15" s="136" t="s">
        <v>382</v>
      </c>
      <c r="H15" s="137" t="s">
        <v>357</v>
      </c>
      <c r="I15" s="137">
        <v>1</v>
      </c>
      <c r="J15" s="138" t="s">
        <v>358</v>
      </c>
    </row>
    <row r="16" spans="1:10" ht="13" x14ac:dyDescent="0.25">
      <c r="A16" s="397">
        <v>9</v>
      </c>
      <c r="B16" s="398" t="s">
        <v>383</v>
      </c>
      <c r="C16" s="399" t="s">
        <v>366</v>
      </c>
      <c r="D16" s="400">
        <v>2016</v>
      </c>
      <c r="E16" s="400" t="s">
        <v>384</v>
      </c>
      <c r="F16" s="400" t="s">
        <v>385</v>
      </c>
      <c r="G16" s="399" t="s">
        <v>386</v>
      </c>
      <c r="H16" s="400" t="s">
        <v>357</v>
      </c>
      <c r="I16" s="400">
        <v>1</v>
      </c>
      <c r="J16" s="401" t="s">
        <v>358</v>
      </c>
    </row>
    <row r="17" spans="1:10" ht="13" x14ac:dyDescent="0.25">
      <c r="A17" s="134">
        <v>10</v>
      </c>
      <c r="B17" s="135" t="s">
        <v>387</v>
      </c>
      <c r="C17" s="136" t="s">
        <v>388</v>
      </c>
      <c r="D17" s="137">
        <v>2018</v>
      </c>
      <c r="E17" s="139"/>
      <c r="F17" s="140"/>
      <c r="G17" s="136" t="s">
        <v>389</v>
      </c>
      <c r="H17" s="137" t="s">
        <v>357</v>
      </c>
      <c r="I17" s="137">
        <v>1</v>
      </c>
      <c r="J17" s="138" t="s">
        <v>358</v>
      </c>
    </row>
    <row r="18" spans="1:10" ht="14.5" x14ac:dyDescent="0.25">
      <c r="A18" s="141"/>
      <c r="B18" s="142"/>
      <c r="C18" s="143"/>
      <c r="D18" s="144"/>
      <c r="E18" s="144"/>
      <c r="F18" s="145"/>
      <c r="G18" s="143"/>
      <c r="H18" s="144"/>
      <c r="I18" s="144"/>
      <c r="J18" s="146"/>
    </row>
    <row r="19" spans="1:10" ht="20" x14ac:dyDescent="0.25">
      <c r="A19" s="147" t="s">
        <v>390</v>
      </c>
      <c r="B19" s="148"/>
      <c r="C19" s="148"/>
      <c r="D19" s="148"/>
      <c r="E19" s="148"/>
      <c r="F19" s="148"/>
      <c r="G19" s="148"/>
      <c r="H19" s="149"/>
      <c r="I19" s="148"/>
      <c r="J19" s="150"/>
    </row>
    <row r="20" spans="1:10" ht="13" x14ac:dyDescent="0.25">
      <c r="A20" s="134">
        <v>11</v>
      </c>
      <c r="B20" s="135" t="s">
        <v>391</v>
      </c>
      <c r="C20" s="136" t="s">
        <v>392</v>
      </c>
      <c r="D20" s="137">
        <v>2002</v>
      </c>
      <c r="E20" s="137" t="s">
        <v>393</v>
      </c>
      <c r="F20" s="137" t="s">
        <v>394</v>
      </c>
      <c r="G20" s="137" t="s">
        <v>395</v>
      </c>
      <c r="H20" s="137" t="s">
        <v>396</v>
      </c>
      <c r="I20" s="137">
        <v>1</v>
      </c>
      <c r="J20" s="138" t="s">
        <v>358</v>
      </c>
    </row>
    <row r="21" spans="1:10" ht="13" x14ac:dyDescent="0.25">
      <c r="A21" s="134">
        <v>12</v>
      </c>
      <c r="B21" s="135" t="s">
        <v>397</v>
      </c>
      <c r="C21" s="136" t="s">
        <v>398</v>
      </c>
      <c r="D21" s="137">
        <v>2002</v>
      </c>
      <c r="E21" s="137" t="s">
        <v>399</v>
      </c>
      <c r="F21" s="137" t="s">
        <v>400</v>
      </c>
      <c r="G21" s="137" t="s">
        <v>401</v>
      </c>
      <c r="H21" s="137" t="s">
        <v>396</v>
      </c>
      <c r="I21" s="137">
        <v>1</v>
      </c>
      <c r="J21" s="138" t="s">
        <v>358</v>
      </c>
    </row>
    <row r="22" spans="1:10" ht="13" x14ac:dyDescent="0.25">
      <c r="A22" s="134">
        <v>13</v>
      </c>
      <c r="B22" s="135" t="s">
        <v>402</v>
      </c>
      <c r="C22" s="136" t="s">
        <v>403</v>
      </c>
      <c r="D22" s="137">
        <v>2002</v>
      </c>
      <c r="E22" s="137" t="s">
        <v>404</v>
      </c>
      <c r="F22" s="137" t="s">
        <v>405</v>
      </c>
      <c r="G22" s="137" t="s">
        <v>406</v>
      </c>
      <c r="H22" s="137" t="s">
        <v>396</v>
      </c>
      <c r="I22" s="137">
        <v>1</v>
      </c>
      <c r="J22" s="138" t="s">
        <v>358</v>
      </c>
    </row>
    <row r="23" spans="1:10" ht="13" x14ac:dyDescent="0.25">
      <c r="A23" s="134">
        <v>14</v>
      </c>
      <c r="B23" s="135" t="s">
        <v>407</v>
      </c>
      <c r="C23" s="136" t="s">
        <v>408</v>
      </c>
      <c r="D23" s="137">
        <v>2002</v>
      </c>
      <c r="E23" s="137" t="s">
        <v>409</v>
      </c>
      <c r="F23" s="137" t="s">
        <v>355</v>
      </c>
      <c r="G23" s="137" t="s">
        <v>410</v>
      </c>
      <c r="H23" s="137" t="s">
        <v>396</v>
      </c>
      <c r="I23" s="137">
        <v>1</v>
      </c>
      <c r="J23" s="138" t="s">
        <v>358</v>
      </c>
    </row>
    <row r="24" spans="1:10" ht="13" x14ac:dyDescent="0.25">
      <c r="A24" s="134">
        <v>15</v>
      </c>
      <c r="B24" s="135" t="s">
        <v>391</v>
      </c>
      <c r="C24" s="151" t="s">
        <v>411</v>
      </c>
      <c r="D24" s="137">
        <v>2003</v>
      </c>
      <c r="E24" s="137" t="s">
        <v>412</v>
      </c>
      <c r="F24" s="137" t="s">
        <v>394</v>
      </c>
      <c r="G24" s="137" t="s">
        <v>413</v>
      </c>
      <c r="H24" s="137" t="s">
        <v>396</v>
      </c>
      <c r="I24" s="137">
        <v>1</v>
      </c>
      <c r="J24" s="138" t="s">
        <v>358</v>
      </c>
    </row>
    <row r="25" spans="1:10" ht="13" x14ac:dyDescent="0.25">
      <c r="A25" s="134">
        <v>16</v>
      </c>
      <c r="B25" s="135" t="s">
        <v>414</v>
      </c>
      <c r="C25" s="136" t="s">
        <v>415</v>
      </c>
      <c r="D25" s="137">
        <v>2008</v>
      </c>
      <c r="E25" s="137" t="s">
        <v>416</v>
      </c>
      <c r="F25" s="137" t="s">
        <v>417</v>
      </c>
      <c r="G25" s="137" t="s">
        <v>418</v>
      </c>
      <c r="H25" s="137" t="s">
        <v>396</v>
      </c>
      <c r="I25" s="137">
        <v>1</v>
      </c>
      <c r="J25" s="138" t="s">
        <v>358</v>
      </c>
    </row>
    <row r="26" spans="1:10" ht="13" x14ac:dyDescent="0.25">
      <c r="A26" s="134">
        <v>17</v>
      </c>
      <c r="B26" s="135" t="s">
        <v>419</v>
      </c>
      <c r="C26" s="136" t="s">
        <v>420</v>
      </c>
      <c r="D26" s="137">
        <v>2008</v>
      </c>
      <c r="E26" s="137" t="s">
        <v>409</v>
      </c>
      <c r="F26" s="139"/>
      <c r="G26" s="137" t="s">
        <v>421</v>
      </c>
      <c r="H26" s="137" t="s">
        <v>396</v>
      </c>
      <c r="I26" s="137">
        <v>1</v>
      </c>
      <c r="J26" s="138" t="s">
        <v>358</v>
      </c>
    </row>
    <row r="27" spans="1:10" ht="13" x14ac:dyDescent="0.25">
      <c r="A27" s="134">
        <v>18</v>
      </c>
      <c r="B27" s="135" t="s">
        <v>419</v>
      </c>
      <c r="C27" s="136" t="s">
        <v>420</v>
      </c>
      <c r="D27" s="137">
        <v>2008</v>
      </c>
      <c r="E27" s="137" t="s">
        <v>409</v>
      </c>
      <c r="F27" s="139"/>
      <c r="G27" s="137" t="s">
        <v>324</v>
      </c>
      <c r="H27" s="137" t="s">
        <v>396</v>
      </c>
      <c r="I27" s="137">
        <v>1</v>
      </c>
      <c r="J27" s="138" t="s">
        <v>358</v>
      </c>
    </row>
    <row r="28" spans="1:10" ht="13" x14ac:dyDescent="0.25">
      <c r="A28" s="134">
        <v>19</v>
      </c>
      <c r="B28" s="135" t="s">
        <v>391</v>
      </c>
      <c r="C28" s="136" t="s">
        <v>422</v>
      </c>
      <c r="D28" s="137">
        <v>2013</v>
      </c>
      <c r="E28" s="137" t="s">
        <v>423</v>
      </c>
      <c r="F28" s="137" t="s">
        <v>424</v>
      </c>
      <c r="G28" s="137" t="s">
        <v>425</v>
      </c>
      <c r="H28" s="137" t="s">
        <v>396</v>
      </c>
      <c r="I28" s="137">
        <v>1</v>
      </c>
      <c r="J28" s="138" t="s">
        <v>358</v>
      </c>
    </row>
    <row r="29" spans="1:10" ht="13" x14ac:dyDescent="0.25">
      <c r="A29" s="134">
        <v>20</v>
      </c>
      <c r="B29" s="135" t="s">
        <v>391</v>
      </c>
      <c r="C29" s="136" t="s">
        <v>426</v>
      </c>
      <c r="D29" s="137">
        <v>2013</v>
      </c>
      <c r="E29" s="137" t="s">
        <v>427</v>
      </c>
      <c r="F29" s="137" t="s">
        <v>428</v>
      </c>
      <c r="G29" s="137" t="s">
        <v>429</v>
      </c>
      <c r="H29" s="137" t="s">
        <v>396</v>
      </c>
      <c r="I29" s="137">
        <v>1</v>
      </c>
      <c r="J29" s="138" t="s">
        <v>358</v>
      </c>
    </row>
    <row r="30" spans="1:10" ht="13" x14ac:dyDescent="0.25">
      <c r="A30" s="134">
        <v>21</v>
      </c>
      <c r="B30" s="135" t="s">
        <v>430</v>
      </c>
      <c r="C30" s="136" t="s">
        <v>431</v>
      </c>
      <c r="D30" s="137">
        <v>2013</v>
      </c>
      <c r="E30" s="137" t="s">
        <v>432</v>
      </c>
      <c r="F30" s="137" t="s">
        <v>433</v>
      </c>
      <c r="G30" s="137" t="s">
        <v>434</v>
      </c>
      <c r="H30" s="137" t="s">
        <v>396</v>
      </c>
      <c r="I30" s="137">
        <v>1</v>
      </c>
      <c r="J30" s="138" t="s">
        <v>358</v>
      </c>
    </row>
    <row r="31" spans="1:10" ht="13" x14ac:dyDescent="0.25">
      <c r="A31" s="134">
        <v>22</v>
      </c>
      <c r="B31" s="135" t="s">
        <v>430</v>
      </c>
      <c r="C31" s="136" t="s">
        <v>435</v>
      </c>
      <c r="D31" s="137">
        <v>2013</v>
      </c>
      <c r="E31" s="137" t="s">
        <v>436</v>
      </c>
      <c r="F31" s="137" t="s">
        <v>437</v>
      </c>
      <c r="G31" s="137" t="s">
        <v>438</v>
      </c>
      <c r="H31" s="137" t="s">
        <v>396</v>
      </c>
      <c r="I31" s="137">
        <v>1</v>
      </c>
      <c r="J31" s="138" t="s">
        <v>358</v>
      </c>
    </row>
    <row r="32" spans="1:10" ht="13" x14ac:dyDescent="0.25">
      <c r="A32" s="134">
        <v>23</v>
      </c>
      <c r="B32" s="135" t="s">
        <v>439</v>
      </c>
      <c r="C32" s="136" t="s">
        <v>440</v>
      </c>
      <c r="D32" s="137">
        <v>2013</v>
      </c>
      <c r="E32" s="137" t="s">
        <v>441</v>
      </c>
      <c r="F32" s="137" t="s">
        <v>442</v>
      </c>
      <c r="G32" s="137" t="s">
        <v>443</v>
      </c>
      <c r="H32" s="137" t="s">
        <v>396</v>
      </c>
      <c r="I32" s="137">
        <v>1</v>
      </c>
      <c r="J32" s="138" t="s">
        <v>358</v>
      </c>
    </row>
    <row r="33" spans="1:10" ht="13" x14ac:dyDescent="0.25">
      <c r="A33" s="134">
        <v>24</v>
      </c>
      <c r="B33" s="135" t="s">
        <v>444</v>
      </c>
      <c r="C33" s="136" t="s">
        <v>420</v>
      </c>
      <c r="D33" s="137">
        <v>2014</v>
      </c>
      <c r="E33" s="137" t="s">
        <v>82</v>
      </c>
      <c r="F33" s="137" t="s">
        <v>445</v>
      </c>
      <c r="G33" s="137" t="s">
        <v>446</v>
      </c>
      <c r="H33" s="137" t="s">
        <v>396</v>
      </c>
      <c r="I33" s="137">
        <v>1</v>
      </c>
      <c r="J33" s="138" t="s">
        <v>358</v>
      </c>
    </row>
    <row r="34" spans="1:10" ht="13" x14ac:dyDescent="0.25">
      <c r="A34" s="134">
        <v>25</v>
      </c>
      <c r="B34" s="135" t="s">
        <v>447</v>
      </c>
      <c r="C34" s="136" t="s">
        <v>448</v>
      </c>
      <c r="D34" s="137">
        <v>2015</v>
      </c>
      <c r="E34" s="137" t="s">
        <v>449</v>
      </c>
      <c r="F34" s="137" t="s">
        <v>450</v>
      </c>
      <c r="G34" s="137" t="s">
        <v>451</v>
      </c>
      <c r="H34" s="137" t="s">
        <v>396</v>
      </c>
      <c r="I34" s="137">
        <v>1</v>
      </c>
      <c r="J34" s="138" t="s">
        <v>358</v>
      </c>
    </row>
    <row r="35" spans="1:10" ht="13" x14ac:dyDescent="0.25">
      <c r="A35" s="134">
        <v>26</v>
      </c>
      <c r="B35" s="135" t="s">
        <v>452</v>
      </c>
      <c r="C35" s="136" t="s">
        <v>453</v>
      </c>
      <c r="D35" s="137">
        <v>2015</v>
      </c>
      <c r="E35" s="137" t="s">
        <v>449</v>
      </c>
      <c r="F35" s="137" t="s">
        <v>454</v>
      </c>
      <c r="G35" s="137" t="s">
        <v>455</v>
      </c>
      <c r="H35" s="137" t="s">
        <v>396</v>
      </c>
      <c r="I35" s="137">
        <v>1</v>
      </c>
      <c r="J35" s="138" t="s">
        <v>358</v>
      </c>
    </row>
    <row r="36" spans="1:10" ht="14.5" x14ac:dyDescent="0.25">
      <c r="A36" s="141"/>
      <c r="B36" s="152"/>
      <c r="C36" s="143"/>
      <c r="D36" s="144"/>
      <c r="E36" s="144"/>
      <c r="F36" s="144"/>
      <c r="G36" s="144"/>
      <c r="H36" s="144"/>
      <c r="I36" s="144"/>
      <c r="J36" s="146"/>
    </row>
    <row r="37" spans="1:10" ht="20" x14ac:dyDescent="0.25">
      <c r="A37" s="147" t="s">
        <v>456</v>
      </c>
      <c r="B37" s="148"/>
      <c r="C37" s="148"/>
      <c r="D37" s="148"/>
      <c r="E37" s="148"/>
      <c r="F37" s="148"/>
      <c r="G37" s="148"/>
      <c r="H37" s="149"/>
      <c r="I37" s="148"/>
      <c r="J37" s="150"/>
    </row>
    <row r="38" spans="1:10" ht="13" x14ac:dyDescent="0.25">
      <c r="A38" s="134">
        <v>27</v>
      </c>
      <c r="B38" s="135" t="s">
        <v>457</v>
      </c>
      <c r="C38" s="136" t="s">
        <v>458</v>
      </c>
      <c r="D38" s="137">
        <v>2002</v>
      </c>
      <c r="E38" s="137" t="s">
        <v>459</v>
      </c>
      <c r="F38" s="137" t="s">
        <v>459</v>
      </c>
      <c r="G38" s="137" t="s">
        <v>460</v>
      </c>
      <c r="H38" s="137" t="s">
        <v>461</v>
      </c>
      <c r="I38" s="137">
        <v>1</v>
      </c>
      <c r="J38" s="138" t="s">
        <v>358</v>
      </c>
    </row>
    <row r="39" spans="1:10" ht="13" x14ac:dyDescent="0.25">
      <c r="A39" s="134">
        <v>28</v>
      </c>
      <c r="B39" s="135" t="s">
        <v>462</v>
      </c>
      <c r="C39" s="136" t="s">
        <v>463</v>
      </c>
      <c r="D39" s="137">
        <v>2002</v>
      </c>
      <c r="E39" s="137" t="s">
        <v>464</v>
      </c>
      <c r="F39" s="137" t="s">
        <v>465</v>
      </c>
      <c r="G39" s="137" t="s">
        <v>466</v>
      </c>
      <c r="H39" s="137" t="s">
        <v>461</v>
      </c>
      <c r="I39" s="137">
        <v>1</v>
      </c>
      <c r="J39" s="138" t="s">
        <v>358</v>
      </c>
    </row>
    <row r="40" spans="1:10" ht="13" x14ac:dyDescent="0.25">
      <c r="A40" s="134">
        <v>29</v>
      </c>
      <c r="B40" s="135" t="s">
        <v>467</v>
      </c>
      <c r="C40" s="136" t="s">
        <v>468</v>
      </c>
      <c r="D40" s="137">
        <v>2002</v>
      </c>
      <c r="E40" s="137" t="s">
        <v>469</v>
      </c>
      <c r="F40" s="137" t="s">
        <v>470</v>
      </c>
      <c r="G40" s="137" t="s">
        <v>471</v>
      </c>
      <c r="H40" s="137" t="s">
        <v>461</v>
      </c>
      <c r="I40" s="137">
        <v>1</v>
      </c>
      <c r="J40" s="138" t="s">
        <v>358</v>
      </c>
    </row>
    <row r="41" spans="1:10" ht="13" x14ac:dyDescent="0.25">
      <c r="A41" s="134">
        <v>30</v>
      </c>
      <c r="B41" s="135" t="s">
        <v>472</v>
      </c>
      <c r="C41" s="136" t="s">
        <v>473</v>
      </c>
      <c r="D41" s="137">
        <v>2009</v>
      </c>
      <c r="E41" s="137" t="s">
        <v>474</v>
      </c>
      <c r="F41" s="137" t="s">
        <v>475</v>
      </c>
      <c r="G41" s="137" t="s">
        <v>476</v>
      </c>
      <c r="H41" s="137" t="s">
        <v>461</v>
      </c>
      <c r="I41" s="137">
        <v>1</v>
      </c>
      <c r="J41" s="138" t="s">
        <v>358</v>
      </c>
    </row>
    <row r="42" spans="1:10" ht="13" x14ac:dyDescent="0.25">
      <c r="A42" s="134">
        <v>31</v>
      </c>
      <c r="B42" s="135" t="s">
        <v>477</v>
      </c>
      <c r="C42" s="136" t="s">
        <v>478</v>
      </c>
      <c r="D42" s="137">
        <v>2010</v>
      </c>
      <c r="E42" s="137" t="s">
        <v>479</v>
      </c>
      <c r="F42" s="137" t="s">
        <v>479</v>
      </c>
      <c r="G42" s="137" t="s">
        <v>480</v>
      </c>
      <c r="H42" s="137" t="s">
        <v>461</v>
      </c>
      <c r="I42" s="137">
        <v>1</v>
      </c>
      <c r="J42" s="138" t="s">
        <v>358</v>
      </c>
    </row>
    <row r="43" spans="1:10" ht="13" x14ac:dyDescent="0.25">
      <c r="A43" s="134">
        <v>32</v>
      </c>
      <c r="B43" s="135" t="s">
        <v>481</v>
      </c>
      <c r="C43" s="136" t="s">
        <v>478</v>
      </c>
      <c r="D43" s="137">
        <v>2013</v>
      </c>
      <c r="E43" s="137" t="s">
        <v>459</v>
      </c>
      <c r="F43" s="137" t="s">
        <v>459</v>
      </c>
      <c r="G43" s="137" t="s">
        <v>482</v>
      </c>
      <c r="H43" s="137" t="s">
        <v>461</v>
      </c>
      <c r="I43" s="137">
        <v>1</v>
      </c>
      <c r="J43" s="138" t="s">
        <v>358</v>
      </c>
    </row>
    <row r="44" spans="1:10" ht="13" x14ac:dyDescent="0.25">
      <c r="A44" s="134">
        <v>33</v>
      </c>
      <c r="B44" s="135" t="s">
        <v>483</v>
      </c>
      <c r="C44" s="136" t="s">
        <v>478</v>
      </c>
      <c r="D44" s="137">
        <v>2015</v>
      </c>
      <c r="E44" s="137" t="s">
        <v>484</v>
      </c>
      <c r="F44" s="137" t="s">
        <v>484</v>
      </c>
      <c r="G44" s="137" t="s">
        <v>485</v>
      </c>
      <c r="H44" s="137" t="s">
        <v>461</v>
      </c>
      <c r="I44" s="137">
        <v>1</v>
      </c>
      <c r="J44" s="138" t="s">
        <v>358</v>
      </c>
    </row>
    <row r="45" spans="1:10" ht="13" x14ac:dyDescent="0.25">
      <c r="A45" s="134">
        <v>34</v>
      </c>
      <c r="B45" s="135" t="s">
        <v>486</v>
      </c>
      <c r="C45" s="136" t="s">
        <v>487</v>
      </c>
      <c r="D45" s="137">
        <v>2015</v>
      </c>
      <c r="E45" s="137" t="s">
        <v>488</v>
      </c>
      <c r="F45" s="137" t="s">
        <v>489</v>
      </c>
      <c r="G45" s="137" t="s">
        <v>490</v>
      </c>
      <c r="H45" s="137" t="s">
        <v>461</v>
      </c>
      <c r="I45" s="137">
        <v>1</v>
      </c>
      <c r="J45" s="138" t="s">
        <v>358</v>
      </c>
    </row>
    <row r="46" spans="1:10" ht="13" x14ac:dyDescent="0.25">
      <c r="A46" s="134">
        <v>35</v>
      </c>
      <c r="B46" s="135" t="s">
        <v>491</v>
      </c>
      <c r="C46" s="136" t="s">
        <v>492</v>
      </c>
      <c r="D46" s="137">
        <v>2018</v>
      </c>
      <c r="E46" s="137" t="s">
        <v>493</v>
      </c>
      <c r="F46" s="139"/>
      <c r="G46" s="137" t="s">
        <v>494</v>
      </c>
      <c r="H46" s="137" t="s">
        <v>461</v>
      </c>
      <c r="I46" s="137">
        <v>1</v>
      </c>
      <c r="J46" s="138" t="s">
        <v>358</v>
      </c>
    </row>
    <row r="47" spans="1:10" ht="13" x14ac:dyDescent="0.25">
      <c r="A47" s="134">
        <v>36</v>
      </c>
      <c r="B47" s="135" t="s">
        <v>495</v>
      </c>
      <c r="C47" s="136" t="s">
        <v>496</v>
      </c>
      <c r="D47" s="137">
        <v>2018</v>
      </c>
      <c r="E47" s="137" t="s">
        <v>497</v>
      </c>
      <c r="F47" s="137"/>
      <c r="G47" s="137" t="s">
        <v>498</v>
      </c>
      <c r="H47" s="137" t="s">
        <v>461</v>
      </c>
      <c r="I47" s="137">
        <v>1</v>
      </c>
      <c r="J47" s="138" t="s">
        <v>358</v>
      </c>
    </row>
    <row r="48" spans="1:10" ht="14.5" x14ac:dyDescent="0.25">
      <c r="A48" s="141"/>
      <c r="B48" s="152"/>
      <c r="C48" s="143"/>
      <c r="D48" s="144"/>
      <c r="E48" s="144"/>
      <c r="F48" s="144"/>
      <c r="G48" s="144"/>
      <c r="H48" s="144"/>
      <c r="I48" s="144"/>
      <c r="J48" s="146"/>
    </row>
    <row r="49" spans="1:10" ht="20" x14ac:dyDescent="0.25">
      <c r="A49" s="147" t="s">
        <v>499</v>
      </c>
      <c r="B49" s="148"/>
      <c r="C49" s="148"/>
      <c r="D49" s="148"/>
      <c r="E49" s="148"/>
      <c r="F49" s="148"/>
      <c r="G49" s="148"/>
      <c r="H49" s="149"/>
      <c r="I49" s="148"/>
      <c r="J49" s="150"/>
    </row>
    <row r="50" spans="1:10" ht="13" x14ac:dyDescent="0.25">
      <c r="A50" s="134">
        <v>37</v>
      </c>
      <c r="B50" s="135" t="s">
        <v>500</v>
      </c>
      <c r="C50" s="136"/>
      <c r="D50" s="137">
        <v>2015</v>
      </c>
      <c r="E50" s="137" t="s">
        <v>501</v>
      </c>
      <c r="F50" s="137" t="s">
        <v>502</v>
      </c>
      <c r="G50" s="137" t="s">
        <v>503</v>
      </c>
      <c r="H50" s="137" t="s">
        <v>504</v>
      </c>
      <c r="I50" s="137">
        <v>1</v>
      </c>
      <c r="J50" s="138" t="s">
        <v>358</v>
      </c>
    </row>
    <row r="51" spans="1:10" ht="13" x14ac:dyDescent="0.25">
      <c r="A51" s="134">
        <v>38</v>
      </c>
      <c r="B51" s="153" t="s">
        <v>505</v>
      </c>
      <c r="C51" s="136" t="s">
        <v>506</v>
      </c>
      <c r="D51" s="137">
        <v>2015</v>
      </c>
      <c r="E51" s="137" t="s">
        <v>507</v>
      </c>
      <c r="F51" s="137" t="s">
        <v>508</v>
      </c>
      <c r="G51" s="137" t="s">
        <v>509</v>
      </c>
      <c r="H51" s="137" t="s">
        <v>504</v>
      </c>
      <c r="I51" s="137">
        <v>1</v>
      </c>
      <c r="J51" s="138" t="s">
        <v>358</v>
      </c>
    </row>
    <row r="52" spans="1:10" ht="13" x14ac:dyDescent="0.25">
      <c r="A52" s="134">
        <v>39</v>
      </c>
      <c r="B52" s="153" t="s">
        <v>510</v>
      </c>
      <c r="C52" s="136" t="s">
        <v>511</v>
      </c>
      <c r="D52" s="154"/>
      <c r="E52" s="140"/>
      <c r="F52" s="137" t="s">
        <v>465</v>
      </c>
      <c r="G52" s="137" t="s">
        <v>512</v>
      </c>
      <c r="H52" s="137" t="s">
        <v>513</v>
      </c>
      <c r="I52" s="137">
        <v>1</v>
      </c>
      <c r="J52" s="138" t="s">
        <v>358</v>
      </c>
    </row>
    <row r="53" spans="1:10" ht="13" x14ac:dyDescent="0.25">
      <c r="A53" s="134">
        <v>40</v>
      </c>
      <c r="B53" s="153" t="s">
        <v>514</v>
      </c>
      <c r="C53" s="136" t="s">
        <v>511</v>
      </c>
      <c r="D53" s="154"/>
      <c r="E53" s="140"/>
      <c r="F53" s="137" t="s">
        <v>515</v>
      </c>
      <c r="G53" s="137" t="s">
        <v>516</v>
      </c>
      <c r="H53" s="137" t="s">
        <v>513</v>
      </c>
      <c r="I53" s="137">
        <v>1</v>
      </c>
      <c r="J53" s="138" t="s">
        <v>358</v>
      </c>
    </row>
    <row r="54" spans="1:10" ht="14.5" x14ac:dyDescent="0.25">
      <c r="A54" s="141"/>
      <c r="B54" s="155"/>
      <c r="C54" s="143"/>
      <c r="D54" s="145"/>
      <c r="E54" s="145"/>
      <c r="F54" s="144"/>
      <c r="G54" s="144"/>
      <c r="H54" s="144"/>
      <c r="I54" s="144"/>
      <c r="J54" s="146"/>
    </row>
    <row r="55" spans="1:10" ht="20" x14ac:dyDescent="0.25">
      <c r="A55" s="147" t="s">
        <v>517</v>
      </c>
      <c r="B55" s="148"/>
      <c r="C55" s="148"/>
      <c r="D55" s="148"/>
      <c r="E55" s="148"/>
      <c r="F55" s="148"/>
      <c r="G55" s="148"/>
      <c r="H55" s="149"/>
      <c r="I55" s="148"/>
      <c r="J55" s="150"/>
    </row>
    <row r="56" spans="1:10" ht="13" x14ac:dyDescent="0.25">
      <c r="A56" s="134">
        <v>41</v>
      </c>
      <c r="B56" s="135" t="s">
        <v>391</v>
      </c>
      <c r="C56" s="136" t="s">
        <v>518</v>
      </c>
      <c r="D56" s="137">
        <v>2003</v>
      </c>
      <c r="E56" s="137" t="s">
        <v>416</v>
      </c>
      <c r="F56" s="137" t="s">
        <v>394</v>
      </c>
      <c r="G56" s="137" t="s">
        <v>519</v>
      </c>
      <c r="H56" s="137" t="s">
        <v>520</v>
      </c>
      <c r="I56" s="137">
        <v>1</v>
      </c>
      <c r="J56" s="138" t="s">
        <v>358</v>
      </c>
    </row>
    <row r="57" spans="1:10" ht="13" x14ac:dyDescent="0.25">
      <c r="A57" s="134">
        <v>42</v>
      </c>
      <c r="B57" s="135" t="s">
        <v>521</v>
      </c>
      <c r="C57" s="136" t="s">
        <v>420</v>
      </c>
      <c r="D57" s="137">
        <v>2008</v>
      </c>
      <c r="E57" s="137" t="s">
        <v>522</v>
      </c>
      <c r="F57" s="137" t="s">
        <v>470</v>
      </c>
      <c r="G57" s="137" t="s">
        <v>523</v>
      </c>
      <c r="H57" s="137" t="s">
        <v>520</v>
      </c>
      <c r="I57" s="137">
        <v>1</v>
      </c>
      <c r="J57" s="138" t="s">
        <v>358</v>
      </c>
    </row>
    <row r="58" spans="1:10" ht="13" x14ac:dyDescent="0.25">
      <c r="A58" s="134">
        <v>43</v>
      </c>
      <c r="B58" s="156" t="s">
        <v>524</v>
      </c>
      <c r="C58" s="136" t="s">
        <v>420</v>
      </c>
      <c r="D58" s="137">
        <v>2014</v>
      </c>
      <c r="E58" s="137" t="s">
        <v>120</v>
      </c>
      <c r="F58" s="137" t="s">
        <v>525</v>
      </c>
      <c r="G58" s="137" t="s">
        <v>526</v>
      </c>
      <c r="H58" s="137" t="s">
        <v>520</v>
      </c>
      <c r="I58" s="137">
        <v>1</v>
      </c>
      <c r="J58" s="138" t="s">
        <v>358</v>
      </c>
    </row>
    <row r="59" spans="1:10" ht="13" x14ac:dyDescent="0.25">
      <c r="A59" s="134">
        <v>44</v>
      </c>
      <c r="B59" s="156" t="s">
        <v>527</v>
      </c>
      <c r="C59" s="136" t="s">
        <v>528</v>
      </c>
      <c r="D59" s="137">
        <v>2015</v>
      </c>
      <c r="E59" s="154"/>
      <c r="F59" s="154"/>
      <c r="G59" s="137" t="s">
        <v>529</v>
      </c>
      <c r="H59" s="137" t="s">
        <v>520</v>
      </c>
      <c r="I59" s="137">
        <v>1</v>
      </c>
      <c r="J59" s="138" t="s">
        <v>358</v>
      </c>
    </row>
    <row r="60" spans="1:10" ht="13" x14ac:dyDescent="0.25">
      <c r="A60" s="134">
        <v>45</v>
      </c>
      <c r="B60" s="156" t="s">
        <v>530</v>
      </c>
      <c r="C60" s="136" t="s">
        <v>420</v>
      </c>
      <c r="D60" s="137">
        <v>2018</v>
      </c>
      <c r="E60" s="154"/>
      <c r="F60" s="137" t="s">
        <v>531</v>
      </c>
      <c r="G60" s="137" t="s">
        <v>532</v>
      </c>
      <c r="H60" s="137" t="s">
        <v>520</v>
      </c>
      <c r="I60" s="137">
        <v>1</v>
      </c>
      <c r="J60" s="138" t="s">
        <v>358</v>
      </c>
    </row>
    <row r="61" spans="1:10" ht="14.5" x14ac:dyDescent="0.25">
      <c r="A61" s="141"/>
      <c r="B61" s="157"/>
      <c r="C61" s="143"/>
      <c r="D61" s="144"/>
      <c r="E61" s="145"/>
      <c r="F61" s="145"/>
      <c r="G61" s="144"/>
      <c r="H61" s="144"/>
      <c r="I61" s="144"/>
      <c r="J61" s="146"/>
    </row>
    <row r="62" spans="1:10" ht="20" x14ac:dyDescent="0.25">
      <c r="A62" s="147" t="s">
        <v>533</v>
      </c>
      <c r="B62" s="148"/>
      <c r="C62" s="148"/>
      <c r="D62" s="148"/>
      <c r="E62" s="148"/>
      <c r="F62" s="148"/>
      <c r="G62" s="148"/>
      <c r="H62" s="149"/>
      <c r="I62" s="148"/>
      <c r="J62" s="150"/>
    </row>
    <row r="63" spans="1:10" ht="13" x14ac:dyDescent="0.25">
      <c r="A63" s="134">
        <v>46</v>
      </c>
      <c r="B63" s="135" t="s">
        <v>534</v>
      </c>
      <c r="C63" s="136" t="s">
        <v>535</v>
      </c>
      <c r="D63" s="137">
        <v>2025</v>
      </c>
      <c r="E63" s="137" t="s">
        <v>536</v>
      </c>
      <c r="F63" s="137" t="s">
        <v>537</v>
      </c>
      <c r="G63" s="137" t="s">
        <v>538</v>
      </c>
      <c r="H63" s="137" t="s">
        <v>396</v>
      </c>
      <c r="I63" s="137">
        <v>1</v>
      </c>
      <c r="J63" s="138" t="s">
        <v>358</v>
      </c>
    </row>
    <row r="64" spans="1:10" ht="13" x14ac:dyDescent="0.25">
      <c r="A64" s="134">
        <v>47</v>
      </c>
      <c r="B64" s="135" t="s">
        <v>539</v>
      </c>
      <c r="C64" s="136" t="s">
        <v>540</v>
      </c>
      <c r="D64" s="137">
        <v>2013</v>
      </c>
      <c r="E64" s="137" t="s">
        <v>541</v>
      </c>
      <c r="F64" s="137" t="s">
        <v>541</v>
      </c>
      <c r="G64" s="137" t="s">
        <v>542</v>
      </c>
      <c r="H64" s="137" t="s">
        <v>396</v>
      </c>
      <c r="I64" s="137">
        <v>1</v>
      </c>
      <c r="J64" s="138" t="s">
        <v>358</v>
      </c>
    </row>
    <row r="65" spans="1:10" ht="13" x14ac:dyDescent="0.25">
      <c r="A65" s="134">
        <v>48</v>
      </c>
      <c r="B65" s="135" t="s">
        <v>543</v>
      </c>
      <c r="C65" s="136" t="s">
        <v>544</v>
      </c>
      <c r="D65" s="137"/>
      <c r="E65" s="137"/>
      <c r="F65" s="137" t="s">
        <v>545</v>
      </c>
      <c r="G65" s="137" t="s">
        <v>546</v>
      </c>
      <c r="H65" s="137" t="s">
        <v>547</v>
      </c>
      <c r="I65" s="137">
        <v>1</v>
      </c>
      <c r="J65" s="138" t="s">
        <v>358</v>
      </c>
    </row>
    <row r="66" spans="1:10" ht="13" x14ac:dyDescent="0.25">
      <c r="A66" s="134">
        <v>49</v>
      </c>
      <c r="B66" s="135" t="s">
        <v>548</v>
      </c>
      <c r="C66" s="136" t="s">
        <v>549</v>
      </c>
      <c r="D66" s="137">
        <v>2020</v>
      </c>
      <c r="E66" s="137" t="s">
        <v>550</v>
      </c>
      <c r="F66" s="137" t="s">
        <v>551</v>
      </c>
      <c r="G66" s="137" t="s">
        <v>552</v>
      </c>
      <c r="H66" s="137" t="s">
        <v>396</v>
      </c>
      <c r="I66" s="137">
        <v>1</v>
      </c>
      <c r="J66" s="138" t="s">
        <v>358</v>
      </c>
    </row>
    <row r="67" spans="1:10" ht="13" x14ac:dyDescent="0.25">
      <c r="A67" s="134">
        <v>50</v>
      </c>
      <c r="B67" s="135" t="s">
        <v>553</v>
      </c>
      <c r="C67" s="136"/>
      <c r="D67" s="137">
        <v>2020</v>
      </c>
      <c r="E67" s="137"/>
      <c r="F67" s="137"/>
      <c r="G67" s="137" t="s">
        <v>554</v>
      </c>
      <c r="H67" s="137" t="s">
        <v>555</v>
      </c>
      <c r="I67" s="137">
        <v>1</v>
      </c>
      <c r="J67" s="138" t="s">
        <v>358</v>
      </c>
    </row>
    <row r="68" spans="1:10" ht="13" x14ac:dyDescent="0.25">
      <c r="A68" s="134">
        <v>51</v>
      </c>
      <c r="B68" s="135" t="s">
        <v>556</v>
      </c>
      <c r="C68" s="136" t="s">
        <v>557</v>
      </c>
      <c r="D68" s="137"/>
      <c r="E68" s="137" t="s">
        <v>558</v>
      </c>
      <c r="F68" s="137"/>
      <c r="G68" s="137" t="s">
        <v>559</v>
      </c>
      <c r="H68" s="137" t="s">
        <v>555</v>
      </c>
      <c r="I68" s="137">
        <v>1</v>
      </c>
      <c r="J68" s="138" t="s">
        <v>358</v>
      </c>
    </row>
    <row r="69" spans="1:10" ht="13" x14ac:dyDescent="0.25">
      <c r="A69" s="134">
        <v>52</v>
      </c>
      <c r="B69" s="135" t="s">
        <v>560</v>
      </c>
      <c r="C69" s="136" t="s">
        <v>561</v>
      </c>
      <c r="D69" s="137"/>
      <c r="E69" s="137"/>
      <c r="F69" s="137"/>
      <c r="G69" s="137" t="s">
        <v>562</v>
      </c>
      <c r="H69" s="137" t="s">
        <v>547</v>
      </c>
      <c r="I69" s="137">
        <v>1</v>
      </c>
      <c r="J69" s="138" t="s">
        <v>358</v>
      </c>
    </row>
    <row r="70" spans="1:10" ht="13" x14ac:dyDescent="0.25">
      <c r="A70" s="134">
        <v>53</v>
      </c>
      <c r="B70" s="135" t="s">
        <v>543</v>
      </c>
      <c r="C70" s="136" t="s">
        <v>563</v>
      </c>
      <c r="D70" s="137">
        <v>2023</v>
      </c>
      <c r="E70" s="137" t="s">
        <v>564</v>
      </c>
      <c r="F70" s="137" t="s">
        <v>565</v>
      </c>
      <c r="G70" s="137" t="s">
        <v>566</v>
      </c>
      <c r="H70" s="137" t="s">
        <v>547</v>
      </c>
      <c r="I70" s="137">
        <v>1</v>
      </c>
      <c r="J70" s="138" t="s">
        <v>358</v>
      </c>
    </row>
    <row r="71" spans="1:10" ht="13" x14ac:dyDescent="0.25">
      <c r="A71" s="134">
        <v>54</v>
      </c>
      <c r="B71" s="135" t="s">
        <v>567</v>
      </c>
      <c r="C71" s="136"/>
      <c r="D71" s="137">
        <v>2026</v>
      </c>
      <c r="E71" s="137" t="s">
        <v>558</v>
      </c>
      <c r="F71" s="137"/>
      <c r="G71" s="137"/>
      <c r="H71" s="137" t="s">
        <v>357</v>
      </c>
      <c r="I71" s="137">
        <v>1</v>
      </c>
      <c r="J71" s="138" t="s">
        <v>358</v>
      </c>
    </row>
    <row r="72" spans="1:10" ht="14.5" x14ac:dyDescent="0.25">
      <c r="A72" s="141"/>
      <c r="B72" s="158"/>
      <c r="C72" s="143"/>
      <c r="D72" s="144"/>
      <c r="E72" s="144"/>
      <c r="F72" s="144"/>
      <c r="G72" s="144"/>
      <c r="H72" s="144"/>
      <c r="I72" s="144"/>
      <c r="J72" s="146"/>
    </row>
    <row r="73" spans="1:10" ht="20" x14ac:dyDescent="0.25">
      <c r="A73" s="147" t="s">
        <v>568</v>
      </c>
      <c r="B73" s="148"/>
      <c r="C73" s="148"/>
      <c r="D73" s="148"/>
      <c r="E73" s="148"/>
      <c r="F73" s="148"/>
      <c r="G73" s="148"/>
      <c r="H73" s="149"/>
      <c r="I73" s="148"/>
      <c r="J73" s="150"/>
    </row>
    <row r="74" spans="1:10" ht="13" x14ac:dyDescent="0.25">
      <c r="A74" s="134">
        <v>54</v>
      </c>
      <c r="B74" s="135" t="s">
        <v>569</v>
      </c>
      <c r="C74" s="136" t="s">
        <v>570</v>
      </c>
      <c r="D74" s="137">
        <v>1982</v>
      </c>
      <c r="E74" s="137" t="s">
        <v>571</v>
      </c>
      <c r="F74" s="137" t="s">
        <v>572</v>
      </c>
      <c r="G74" s="137" t="s">
        <v>573</v>
      </c>
      <c r="H74" s="137" t="s">
        <v>555</v>
      </c>
      <c r="I74" s="137">
        <v>1</v>
      </c>
      <c r="J74" s="138" t="s">
        <v>358</v>
      </c>
    </row>
    <row r="75" spans="1:10" ht="13" x14ac:dyDescent="0.25">
      <c r="A75" s="134">
        <v>55</v>
      </c>
      <c r="B75" s="135" t="s">
        <v>574</v>
      </c>
      <c r="C75" s="136" t="s">
        <v>420</v>
      </c>
      <c r="D75" s="137">
        <v>2008</v>
      </c>
      <c r="E75" s="137" t="s">
        <v>575</v>
      </c>
      <c r="F75" s="137" t="s">
        <v>400</v>
      </c>
      <c r="G75" s="137" t="s">
        <v>576</v>
      </c>
      <c r="H75" s="137" t="s">
        <v>396</v>
      </c>
      <c r="I75" s="137">
        <v>1</v>
      </c>
      <c r="J75" s="138" t="s">
        <v>358</v>
      </c>
    </row>
    <row r="76" spans="1:10" ht="13" x14ac:dyDescent="0.25">
      <c r="A76" s="134">
        <v>56</v>
      </c>
      <c r="B76" s="135" t="s">
        <v>577</v>
      </c>
      <c r="C76" s="136" t="s">
        <v>420</v>
      </c>
      <c r="D76" s="137">
        <v>2010</v>
      </c>
      <c r="E76" s="137" t="s">
        <v>578</v>
      </c>
      <c r="F76" s="137" t="s">
        <v>400</v>
      </c>
      <c r="G76" s="137" t="s">
        <v>579</v>
      </c>
      <c r="H76" s="137" t="s">
        <v>357</v>
      </c>
      <c r="I76" s="137">
        <v>1</v>
      </c>
      <c r="J76" s="138" t="s">
        <v>358</v>
      </c>
    </row>
    <row r="77" spans="1:10" ht="13" x14ac:dyDescent="0.25">
      <c r="A77" s="134">
        <v>57</v>
      </c>
      <c r="B77" s="135" t="s">
        <v>580</v>
      </c>
      <c r="C77" s="136" t="s">
        <v>420</v>
      </c>
      <c r="D77" s="137">
        <v>2010</v>
      </c>
      <c r="E77" s="137" t="s">
        <v>578</v>
      </c>
      <c r="F77" s="137" t="s">
        <v>400</v>
      </c>
      <c r="G77" s="137" t="s">
        <v>581</v>
      </c>
      <c r="H77" s="137" t="s">
        <v>504</v>
      </c>
      <c r="I77" s="137">
        <v>1</v>
      </c>
      <c r="J77" s="138" t="s">
        <v>358</v>
      </c>
    </row>
    <row r="78" spans="1:10" ht="13" x14ac:dyDescent="0.25">
      <c r="A78" s="134">
        <v>58</v>
      </c>
      <c r="B78" s="135" t="s">
        <v>582</v>
      </c>
      <c r="C78" s="136" t="s">
        <v>583</v>
      </c>
      <c r="D78" s="137">
        <v>2013</v>
      </c>
      <c r="E78" s="137" t="s">
        <v>584</v>
      </c>
      <c r="F78" s="137"/>
      <c r="G78" s="137" t="s">
        <v>585</v>
      </c>
      <c r="H78" s="137" t="s">
        <v>586</v>
      </c>
      <c r="I78" s="137">
        <v>1</v>
      </c>
      <c r="J78" s="138" t="s">
        <v>358</v>
      </c>
    </row>
    <row r="79" spans="1:10" ht="13" x14ac:dyDescent="0.25">
      <c r="A79" s="134">
        <v>59</v>
      </c>
      <c r="B79" s="135" t="s">
        <v>587</v>
      </c>
      <c r="C79" s="136" t="s">
        <v>588</v>
      </c>
      <c r="D79" s="137">
        <v>2015</v>
      </c>
      <c r="E79" s="137" t="s">
        <v>575</v>
      </c>
      <c r="F79" s="137"/>
      <c r="G79" s="137" t="s">
        <v>589</v>
      </c>
      <c r="H79" s="137" t="s">
        <v>586</v>
      </c>
      <c r="I79" s="137">
        <v>1</v>
      </c>
      <c r="J79" s="138" t="s">
        <v>590</v>
      </c>
    </row>
    <row r="80" spans="1:10" ht="13" x14ac:dyDescent="0.25">
      <c r="A80" s="134">
        <v>60</v>
      </c>
      <c r="B80" s="135" t="s">
        <v>591</v>
      </c>
      <c r="C80" s="136" t="s">
        <v>420</v>
      </c>
      <c r="D80" s="137">
        <v>2018</v>
      </c>
      <c r="E80" s="137" t="s">
        <v>592</v>
      </c>
      <c r="F80" s="137" t="s">
        <v>545</v>
      </c>
      <c r="G80" s="137" t="s">
        <v>593</v>
      </c>
      <c r="H80" s="137" t="s">
        <v>594</v>
      </c>
      <c r="I80" s="137">
        <v>1</v>
      </c>
      <c r="J80" s="138" t="s">
        <v>358</v>
      </c>
    </row>
    <row r="81" spans="1:10" ht="13" x14ac:dyDescent="0.25">
      <c r="A81" s="134">
        <v>61</v>
      </c>
      <c r="B81" s="135" t="s">
        <v>595</v>
      </c>
      <c r="C81" s="136" t="s">
        <v>420</v>
      </c>
      <c r="D81" s="137">
        <v>2018</v>
      </c>
      <c r="E81" s="137" t="s">
        <v>596</v>
      </c>
      <c r="F81" s="137" t="s">
        <v>545</v>
      </c>
      <c r="G81" s="137" t="s">
        <v>597</v>
      </c>
      <c r="H81" s="137" t="s">
        <v>396</v>
      </c>
      <c r="I81" s="137">
        <v>1</v>
      </c>
      <c r="J81" s="138" t="s">
        <v>358</v>
      </c>
    </row>
    <row r="82" spans="1:10" ht="13" x14ac:dyDescent="0.25">
      <c r="A82" s="134">
        <v>62</v>
      </c>
      <c r="B82" s="135" t="s">
        <v>598</v>
      </c>
      <c r="C82" s="136" t="s">
        <v>420</v>
      </c>
      <c r="D82" s="137">
        <v>2018</v>
      </c>
      <c r="E82" s="137" t="s">
        <v>578</v>
      </c>
      <c r="F82" s="137" t="s">
        <v>400</v>
      </c>
      <c r="G82" s="137" t="s">
        <v>599</v>
      </c>
      <c r="H82" s="137" t="s">
        <v>396</v>
      </c>
      <c r="I82" s="137">
        <v>1</v>
      </c>
      <c r="J82" s="138" t="s">
        <v>358</v>
      </c>
    </row>
    <row r="83" spans="1:10" ht="13" x14ac:dyDescent="0.25">
      <c r="A83" s="134">
        <v>63</v>
      </c>
      <c r="B83" s="135" t="s">
        <v>600</v>
      </c>
      <c r="C83" s="136" t="s">
        <v>601</v>
      </c>
      <c r="D83" s="137">
        <v>2018</v>
      </c>
      <c r="E83" s="137" t="s">
        <v>602</v>
      </c>
      <c r="F83" s="137" t="s">
        <v>603</v>
      </c>
      <c r="G83" s="137" t="s">
        <v>604</v>
      </c>
      <c r="H83" s="137" t="s">
        <v>605</v>
      </c>
      <c r="I83" s="137">
        <v>1</v>
      </c>
      <c r="J83" s="138" t="s">
        <v>358</v>
      </c>
    </row>
    <row r="84" spans="1:10" ht="14.5" x14ac:dyDescent="0.25">
      <c r="A84" s="141"/>
      <c r="B84" s="158"/>
      <c r="C84" s="143"/>
      <c r="D84" s="144"/>
      <c r="E84" s="144"/>
      <c r="F84" s="144"/>
      <c r="G84" s="144"/>
      <c r="H84" s="144"/>
      <c r="I84" s="144"/>
      <c r="J84" s="146"/>
    </row>
    <row r="85" spans="1:10" ht="20" x14ac:dyDescent="0.25">
      <c r="A85" s="147" t="s">
        <v>606</v>
      </c>
      <c r="B85" s="148"/>
      <c r="C85" s="148"/>
      <c r="D85" s="148"/>
      <c r="E85" s="148"/>
      <c r="F85" s="148"/>
      <c r="G85" s="148"/>
      <c r="H85" s="149"/>
      <c r="I85" s="148"/>
      <c r="J85" s="150"/>
    </row>
    <row r="86" spans="1:10" ht="13" x14ac:dyDescent="0.25">
      <c r="A86" s="134">
        <v>64</v>
      </c>
      <c r="B86" s="156" t="s">
        <v>607</v>
      </c>
      <c r="C86" s="136" t="s">
        <v>608</v>
      </c>
      <c r="D86" s="154"/>
      <c r="E86" s="137" t="s">
        <v>609</v>
      </c>
      <c r="F86" s="154"/>
      <c r="G86" s="137" t="s">
        <v>610</v>
      </c>
      <c r="H86" s="137" t="s">
        <v>520</v>
      </c>
      <c r="I86" s="137">
        <v>1</v>
      </c>
      <c r="J86" s="138" t="s">
        <v>358</v>
      </c>
    </row>
    <row r="87" spans="1:10" ht="13" x14ac:dyDescent="0.25">
      <c r="A87" s="134">
        <v>65</v>
      </c>
      <c r="B87" s="156" t="s">
        <v>611</v>
      </c>
      <c r="C87" s="136" t="s">
        <v>608</v>
      </c>
      <c r="D87" s="154"/>
      <c r="E87" s="137" t="s">
        <v>612</v>
      </c>
      <c r="F87" s="154"/>
      <c r="G87" s="137" t="s">
        <v>613</v>
      </c>
      <c r="H87" s="137" t="s">
        <v>520</v>
      </c>
      <c r="I87" s="137">
        <v>1</v>
      </c>
      <c r="J87" s="138" t="s">
        <v>358</v>
      </c>
    </row>
    <row r="88" spans="1:10" ht="13.5" thickBot="1" x14ac:dyDescent="0.3">
      <c r="A88" s="159">
        <v>66</v>
      </c>
      <c r="B88" s="160" t="s">
        <v>614</v>
      </c>
      <c r="C88" s="161" t="s">
        <v>608</v>
      </c>
      <c r="D88" s="162"/>
      <c r="E88" s="163" t="s">
        <v>612</v>
      </c>
      <c r="F88" s="162"/>
      <c r="G88" s="163" t="s">
        <v>615</v>
      </c>
      <c r="H88" s="163" t="s">
        <v>520</v>
      </c>
      <c r="I88" s="163">
        <v>1</v>
      </c>
      <c r="J88" s="164" t="s">
        <v>358</v>
      </c>
    </row>
    <row r="89" spans="1:10" ht="13" thickTop="1" x14ac:dyDescent="0.25"/>
  </sheetData>
  <pageMargins left="0.25" right="0.25" top="0.75" bottom="0.75" header="0.3" footer="0.3"/>
  <pageSetup scale="83" fitToHeight="0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4245D-039A-4DB2-AD5A-EBD07AA6ECCE}">
  <sheetPr codeName="Sheet11"/>
  <dimension ref="A1:G54"/>
  <sheetViews>
    <sheetView view="pageBreakPreview" zoomScaleNormal="100" zoomScaleSheetLayoutView="100" workbookViewId="0">
      <selection activeCell="B19" sqref="B19"/>
    </sheetView>
  </sheetViews>
  <sheetFormatPr defaultRowHeight="14.5" x14ac:dyDescent="0.35"/>
  <cols>
    <col min="1" max="1" width="6.81640625" style="295" customWidth="1"/>
    <col min="2" max="2" width="44.81640625" style="295" bestFit="1" customWidth="1"/>
    <col min="3" max="3" width="11" style="295" customWidth="1"/>
    <col min="4" max="5" width="15.453125" style="295" customWidth="1"/>
    <col min="6" max="16384" width="8.7265625" style="295"/>
  </cols>
  <sheetData>
    <row r="1" spans="1:7" ht="23.5" x14ac:dyDescent="0.35">
      <c r="A1" s="656" t="s">
        <v>1108</v>
      </c>
      <c r="B1" s="656"/>
      <c r="C1" s="656"/>
      <c r="D1" s="656"/>
      <c r="E1" s="656"/>
    </row>
    <row r="2" spans="1:7" ht="17.399999999999999" customHeight="1" thickBot="1" x14ac:dyDescent="0.4">
      <c r="A2" s="296"/>
      <c r="B2" s="296"/>
      <c r="C2" s="296"/>
      <c r="D2" s="297" t="s">
        <v>986</v>
      </c>
      <c r="E2" s="396">
        <v>46195</v>
      </c>
    </row>
    <row r="3" spans="1:7" ht="26.4" customHeight="1" thickBot="1" x14ac:dyDescent="0.4">
      <c r="A3" s="298" t="s">
        <v>342</v>
      </c>
      <c r="B3" s="299" t="s">
        <v>987</v>
      </c>
      <c r="C3" s="299" t="s">
        <v>988</v>
      </c>
      <c r="D3" s="299" t="s">
        <v>989</v>
      </c>
      <c r="E3" s="300" t="s">
        <v>990</v>
      </c>
    </row>
    <row r="4" spans="1:7" hidden="1" x14ac:dyDescent="0.35">
      <c r="A4" s="301">
        <f>SUBTOTAL(103,$B$4:B4)</f>
        <v>0</v>
      </c>
      <c r="B4" s="302" t="s">
        <v>991</v>
      </c>
      <c r="C4" s="303" t="s">
        <v>992</v>
      </c>
      <c r="D4" s="303">
        <v>10</v>
      </c>
      <c r="E4" s="304">
        <v>22</v>
      </c>
    </row>
    <row r="5" spans="1:7" hidden="1" x14ac:dyDescent="0.35">
      <c r="A5" s="305">
        <f>SUBTOTAL(103,$B$4:B5)</f>
        <v>0</v>
      </c>
      <c r="B5" s="306" t="s">
        <v>993</v>
      </c>
      <c r="C5" s="307" t="s">
        <v>992</v>
      </c>
      <c r="D5" s="307">
        <v>10</v>
      </c>
      <c r="E5" s="308">
        <v>14</v>
      </c>
      <c r="F5" s="295">
        <f>VLOOKUP(G5,'COSUMABLE-JUNE (3)'!$B$9:$I$57,8,FALSE)</f>
        <v>14</v>
      </c>
      <c r="G5" s="295" t="s">
        <v>1041</v>
      </c>
    </row>
    <row r="6" spans="1:7" hidden="1" x14ac:dyDescent="0.35">
      <c r="A6" s="305">
        <f>SUBTOTAL(103,$B$4:B6)</f>
        <v>0</v>
      </c>
      <c r="B6" s="306" t="s">
        <v>994</v>
      </c>
      <c r="C6" s="307" t="s">
        <v>992</v>
      </c>
      <c r="D6" s="307">
        <v>10</v>
      </c>
      <c r="E6" s="308">
        <v>12</v>
      </c>
      <c r="F6" s="295">
        <f>VLOOKUP(G6,'COSUMABLE-JUNE (3)'!$B$9:$I$57,8,FALSE)</f>
        <v>12</v>
      </c>
      <c r="G6" s="295" t="s">
        <v>1042</v>
      </c>
    </row>
    <row r="7" spans="1:7" hidden="1" x14ac:dyDescent="0.35">
      <c r="A7" s="305">
        <f>SUBTOTAL(103,$B$4:B7)</f>
        <v>0</v>
      </c>
      <c r="B7" s="306" t="s">
        <v>995</v>
      </c>
      <c r="C7" s="307" t="s">
        <v>992</v>
      </c>
      <c r="D7" s="307">
        <v>10</v>
      </c>
      <c r="E7" s="308">
        <v>8</v>
      </c>
      <c r="F7" s="295">
        <f>VLOOKUP(G7,'COSUMABLE-JUNE (3)'!$B$9:$I$57,8,FALSE)</f>
        <v>8</v>
      </c>
      <c r="G7" s="295" t="s">
        <v>1043</v>
      </c>
    </row>
    <row r="8" spans="1:7" hidden="1" x14ac:dyDescent="0.35">
      <c r="A8" s="305">
        <f>SUBTOTAL(103,$B$4:B8)</f>
        <v>0</v>
      </c>
      <c r="B8" s="306" t="s">
        <v>996</v>
      </c>
      <c r="C8" s="307" t="s">
        <v>992</v>
      </c>
      <c r="D8" s="307">
        <v>10</v>
      </c>
      <c r="E8" s="308">
        <v>15</v>
      </c>
      <c r="F8" s="295">
        <f>VLOOKUP(G8,'COSUMABLE-JUNE (3)'!$B$9:$I$57,8,FALSE)</f>
        <v>15</v>
      </c>
      <c r="G8" s="295" t="s">
        <v>1044</v>
      </c>
    </row>
    <row r="9" spans="1:7" hidden="1" x14ac:dyDescent="0.35">
      <c r="A9" s="305">
        <f>SUBTOTAL(103,$B$4:B9)</f>
        <v>0</v>
      </c>
      <c r="B9" s="306" t="s">
        <v>997</v>
      </c>
      <c r="C9" s="307" t="s">
        <v>992</v>
      </c>
      <c r="D9" s="307">
        <v>5</v>
      </c>
      <c r="E9" s="308">
        <v>0</v>
      </c>
      <c r="F9" s="295">
        <f>VLOOKUP(G9,'COSUMABLE-JUNE (3)'!$B$9:$I$57,8,FALSE)</f>
        <v>0</v>
      </c>
      <c r="G9" s="295" t="s">
        <v>1045</v>
      </c>
    </row>
    <row r="10" spans="1:7" x14ac:dyDescent="0.35">
      <c r="A10" s="305">
        <f>SUBTOTAL(103,$B$4:B10)</f>
        <v>1</v>
      </c>
      <c r="B10" s="385" t="s">
        <v>1107</v>
      </c>
      <c r="C10" s="383" t="s">
        <v>998</v>
      </c>
      <c r="D10" s="383">
        <v>20</v>
      </c>
      <c r="E10" s="384">
        <f>F10*50</f>
        <v>50</v>
      </c>
      <c r="F10" s="295">
        <f>VLOOKUP(G10,'COSUMABLE-JUNE (3)'!$B$9:$I$57,8,FALSE)</f>
        <v>1</v>
      </c>
      <c r="G10" s="295" t="s">
        <v>1046</v>
      </c>
    </row>
    <row r="11" spans="1:7" hidden="1" x14ac:dyDescent="0.35">
      <c r="A11" s="305">
        <f>SUBTOTAL(103,$B$4:B11)</f>
        <v>1</v>
      </c>
      <c r="B11" s="382" t="s">
        <v>999</v>
      </c>
      <c r="C11" s="383" t="s">
        <v>992</v>
      </c>
      <c r="D11" s="383">
        <v>10</v>
      </c>
      <c r="E11" s="384">
        <v>2</v>
      </c>
      <c r="F11" s="295">
        <f>VLOOKUP(G11,'COSUMABLE-JUNE (3)'!$B$9:$I$57,8,FALSE)</f>
        <v>2</v>
      </c>
      <c r="G11" s="295" t="s">
        <v>1047</v>
      </c>
    </row>
    <row r="12" spans="1:7" hidden="1" x14ac:dyDescent="0.35">
      <c r="A12" s="305">
        <f>SUBTOTAL(103,$B$4:B12)</f>
        <v>1</v>
      </c>
      <c r="B12" s="382" t="s">
        <v>1000</v>
      </c>
      <c r="C12" s="383" t="s">
        <v>992</v>
      </c>
      <c r="D12" s="383">
        <v>10</v>
      </c>
      <c r="E12" s="384">
        <v>34</v>
      </c>
      <c r="F12" s="295">
        <f>VLOOKUP(G12,'COSUMABLE-JUNE (3)'!$B$9:$I$57,8,FALSE)</f>
        <v>34</v>
      </c>
      <c r="G12" s="295" t="s">
        <v>1050</v>
      </c>
    </row>
    <row r="13" spans="1:7" hidden="1" x14ac:dyDescent="0.35">
      <c r="A13" s="305">
        <f>SUBTOTAL(103,$B$4:B13)</f>
        <v>1</v>
      </c>
      <c r="B13" s="382" t="s">
        <v>1001</v>
      </c>
      <c r="C13" s="383" t="s">
        <v>992</v>
      </c>
      <c r="D13" s="383">
        <v>5</v>
      </c>
      <c r="E13" s="384">
        <v>7</v>
      </c>
      <c r="F13" s="295">
        <f>VLOOKUP(G13,'COSUMABLE-JUNE (3)'!$B$9:$I$57,8,FALSE)</f>
        <v>7</v>
      </c>
      <c r="G13" s="295" t="s">
        <v>1051</v>
      </c>
    </row>
    <row r="14" spans="1:7" x14ac:dyDescent="0.35">
      <c r="A14" s="305">
        <f>SUBTOTAL(103,$B$4:B14)</f>
        <v>2</v>
      </c>
      <c r="B14" s="382" t="s">
        <v>1002</v>
      </c>
      <c r="C14" s="383" t="s">
        <v>992</v>
      </c>
      <c r="D14" s="383">
        <v>60</v>
      </c>
      <c r="E14" s="384">
        <v>61</v>
      </c>
      <c r="F14" s="295">
        <f>VLOOKUP(G14,'COSUMABLE-JUNE (3)'!$B$9:$I$57,8,FALSE)</f>
        <v>61</v>
      </c>
      <c r="G14" s="295" t="s">
        <v>1076</v>
      </c>
    </row>
    <row r="15" spans="1:7" x14ac:dyDescent="0.35">
      <c r="A15" s="305">
        <f>SUBTOTAL(103,$B$4:B15)</f>
        <v>3</v>
      </c>
      <c r="B15" s="385" t="s">
        <v>1098</v>
      </c>
      <c r="C15" s="383" t="s">
        <v>1003</v>
      </c>
      <c r="D15" s="383">
        <v>10</v>
      </c>
      <c r="E15" s="384">
        <v>15</v>
      </c>
      <c r="F15" s="295">
        <f>VLOOKUP(G15,'COSUMABLE-JUNE (3)'!$B$9:$I$57,8,FALSE)</f>
        <v>15</v>
      </c>
      <c r="G15" s="295" t="s">
        <v>1069</v>
      </c>
    </row>
    <row r="16" spans="1:7" x14ac:dyDescent="0.35">
      <c r="A16" s="305">
        <f>SUBTOTAL(103,$B$4:B16)</f>
        <v>4</v>
      </c>
      <c r="B16" s="385" t="s">
        <v>1096</v>
      </c>
      <c r="C16" s="383" t="s">
        <v>992</v>
      </c>
      <c r="D16" s="383">
        <v>25</v>
      </c>
      <c r="E16" s="384">
        <v>26</v>
      </c>
      <c r="F16" s="295">
        <f>VLOOKUP(G16,'COSUMABLE-JUNE (3)'!$B$9:$I$57,8,FALSE)</f>
        <v>26</v>
      </c>
      <c r="G16" s="295" t="s">
        <v>1067</v>
      </c>
    </row>
    <row r="17" spans="1:7" x14ac:dyDescent="0.35">
      <c r="A17" s="305">
        <f>SUBTOTAL(103,$B$4:B17)</f>
        <v>5</v>
      </c>
      <c r="B17" s="385" t="s">
        <v>1097</v>
      </c>
      <c r="C17" s="383" t="s">
        <v>992</v>
      </c>
      <c r="D17" s="383">
        <v>20</v>
      </c>
      <c r="E17" s="384">
        <v>34</v>
      </c>
      <c r="F17" s="295">
        <f>VLOOKUP(G17,'COSUMABLE-JUNE (3)'!$B$9:$I$57,8,FALSE)</f>
        <v>34</v>
      </c>
      <c r="G17" s="295" t="s">
        <v>1068</v>
      </c>
    </row>
    <row r="18" spans="1:7" x14ac:dyDescent="0.35">
      <c r="A18" s="305">
        <f>SUBTOTAL(103,$B$4:B18)</f>
        <v>6</v>
      </c>
      <c r="B18" s="382" t="s">
        <v>1004</v>
      </c>
      <c r="C18" s="383" t="s">
        <v>992</v>
      </c>
      <c r="D18" s="383">
        <v>5</v>
      </c>
      <c r="E18" s="384">
        <v>4</v>
      </c>
      <c r="F18" s="295">
        <f>VLOOKUP(G18,'COSUMABLE-JUNE (3)'!$B$9:$I$57,8,FALSE)</f>
        <v>4</v>
      </c>
      <c r="G18" s="295" t="s">
        <v>1066</v>
      </c>
    </row>
    <row r="19" spans="1:7" x14ac:dyDescent="0.35">
      <c r="A19" s="305">
        <f>SUBTOTAL(103,$B$4:B19)</f>
        <v>7</v>
      </c>
      <c r="B19" s="382" t="s">
        <v>1005</v>
      </c>
      <c r="C19" s="383" t="s">
        <v>992</v>
      </c>
      <c r="D19" s="383">
        <v>5</v>
      </c>
      <c r="E19" s="384">
        <v>5</v>
      </c>
      <c r="F19" s="295">
        <f>VLOOKUP(G19,'COSUMABLE-JUNE (3)'!$B$9:$I$57,8,FALSE)</f>
        <v>5</v>
      </c>
      <c r="G19" s="295" t="s">
        <v>1064</v>
      </c>
    </row>
    <row r="20" spans="1:7" x14ac:dyDescent="0.35">
      <c r="A20" s="305">
        <f>SUBTOTAL(103,$B$4:B20)</f>
        <v>8</v>
      </c>
      <c r="B20" s="382" t="s">
        <v>1006</v>
      </c>
      <c r="C20" s="383" t="s">
        <v>1007</v>
      </c>
      <c r="D20" s="383">
        <v>5</v>
      </c>
      <c r="E20" s="384">
        <v>5</v>
      </c>
      <c r="F20" s="295">
        <f>VLOOKUP(G20,'COSUMABLE-JUNE (3)'!$B$9:$I$57,8,FALSE)</f>
        <v>5</v>
      </c>
      <c r="G20" s="295" t="s">
        <v>1071</v>
      </c>
    </row>
    <row r="21" spans="1:7" x14ac:dyDescent="0.35">
      <c r="A21" s="305">
        <f>SUBTOTAL(103,$B$4:B21)</f>
        <v>9</v>
      </c>
      <c r="B21" s="382" t="s">
        <v>1008</v>
      </c>
      <c r="C21" s="383" t="s">
        <v>1003</v>
      </c>
      <c r="D21" s="383">
        <v>5</v>
      </c>
      <c r="E21" s="384">
        <v>5</v>
      </c>
      <c r="F21" s="295">
        <f>VLOOKUP(G21,'COSUMABLE-JUNE (3)'!$B$9:$I$57,8,FALSE)</f>
        <v>5</v>
      </c>
      <c r="G21" s="295" t="s">
        <v>1082</v>
      </c>
    </row>
    <row r="22" spans="1:7" hidden="1" x14ac:dyDescent="0.35">
      <c r="A22" s="305">
        <f>SUBTOTAL(103,$B$4:B22)</f>
        <v>9</v>
      </c>
      <c r="B22" s="382" t="s">
        <v>1009</v>
      </c>
      <c r="C22" s="383" t="s">
        <v>992</v>
      </c>
      <c r="D22" s="383">
        <v>5</v>
      </c>
      <c r="E22" s="384">
        <v>20</v>
      </c>
      <c r="F22" s="295">
        <f>VLOOKUP(G22,'COSUMABLE-JUNE (3)'!$B$9:$I$57,8,FALSE)</f>
        <v>20</v>
      </c>
      <c r="G22" s="295" t="s">
        <v>1070</v>
      </c>
    </row>
    <row r="23" spans="1:7" hidden="1" x14ac:dyDescent="0.35">
      <c r="A23" s="305">
        <f>SUBTOTAL(103,$B$4:B23)</f>
        <v>9</v>
      </c>
      <c r="B23" s="382" t="s">
        <v>1010</v>
      </c>
      <c r="C23" s="383" t="s">
        <v>1011</v>
      </c>
      <c r="D23" s="383">
        <v>1</v>
      </c>
      <c r="E23" s="384">
        <v>2</v>
      </c>
      <c r="F23" s="295" t="e">
        <f>VLOOKUP(G23,'COSUMABLE-JUNE (3)'!$B$9:$I$57,8,FALSE)</f>
        <v>#N/A</v>
      </c>
    </row>
    <row r="24" spans="1:7" hidden="1" x14ac:dyDescent="0.35">
      <c r="A24" s="305">
        <f>SUBTOTAL(103,$B$4:B24)</f>
        <v>9</v>
      </c>
      <c r="B24" s="382" t="s">
        <v>1012</v>
      </c>
      <c r="C24" s="383" t="s">
        <v>992</v>
      </c>
      <c r="D24" s="383">
        <v>2</v>
      </c>
      <c r="E24" s="384">
        <v>10</v>
      </c>
      <c r="F24" s="295" t="e">
        <f>VLOOKUP(G24,'COSUMABLE-JUNE (3)'!$B$9:$I$57,8,FALSE)</f>
        <v>#N/A</v>
      </c>
    </row>
    <row r="25" spans="1:7" hidden="1" x14ac:dyDescent="0.35">
      <c r="A25" s="305">
        <f>SUBTOTAL(103,$B$4:B25)</f>
        <v>9</v>
      </c>
      <c r="B25" s="382" t="s">
        <v>1013</v>
      </c>
      <c r="C25" s="383" t="s">
        <v>1003</v>
      </c>
      <c r="D25" s="383">
        <v>5</v>
      </c>
      <c r="E25" s="384">
        <v>5</v>
      </c>
      <c r="F25" s="295" t="e">
        <f>VLOOKUP(G25,'COSUMABLE-JUNE (3)'!$B$9:$I$57,8,FALSE)</f>
        <v>#N/A</v>
      </c>
    </row>
    <row r="26" spans="1:7" x14ac:dyDescent="0.35">
      <c r="A26" s="305">
        <f>SUBTOTAL(103,$B$4:B26)</f>
        <v>10</v>
      </c>
      <c r="B26" s="382" t="s">
        <v>1014</v>
      </c>
      <c r="C26" s="383" t="s">
        <v>1003</v>
      </c>
      <c r="D26" s="383">
        <v>5</v>
      </c>
      <c r="E26" s="384">
        <v>0</v>
      </c>
      <c r="F26" s="295" t="e">
        <f>VLOOKUP(G26,'COSUMABLE-JUNE (3)'!$B$9:$I$57,8,FALSE)</f>
        <v>#N/A</v>
      </c>
    </row>
    <row r="27" spans="1:7" hidden="1" x14ac:dyDescent="0.35">
      <c r="A27" s="305">
        <f>SUBTOTAL(103,$B$4:B27)</f>
        <v>10</v>
      </c>
      <c r="B27" s="382" t="s">
        <v>1015</v>
      </c>
      <c r="C27" s="383" t="s">
        <v>992</v>
      </c>
      <c r="D27" s="383">
        <v>1</v>
      </c>
      <c r="E27" s="384">
        <v>1</v>
      </c>
      <c r="F27" s="295" t="e">
        <f>VLOOKUP(G27,'COSUMABLE-JUNE (3)'!$B$9:$I$57,8,FALSE)</f>
        <v>#N/A</v>
      </c>
    </row>
    <row r="28" spans="1:7" x14ac:dyDescent="0.35">
      <c r="A28" s="305">
        <f>SUBTOTAL(103,$B$4:B28)</f>
        <v>11</v>
      </c>
      <c r="B28" s="385" t="s">
        <v>1099</v>
      </c>
      <c r="C28" s="386" t="s">
        <v>992</v>
      </c>
      <c r="D28" s="383">
        <v>5</v>
      </c>
      <c r="E28" s="384">
        <v>0</v>
      </c>
      <c r="F28" s="295">
        <f>VLOOKUP(G28,'COSUMABLE-JUNE (3)'!$B$9:$I$57,8,FALSE)</f>
        <v>0</v>
      </c>
      <c r="G28" s="295" t="s">
        <v>1083</v>
      </c>
    </row>
    <row r="29" spans="1:7" x14ac:dyDescent="0.35">
      <c r="A29" s="305">
        <f>SUBTOTAL(103,$B$4:B29)</f>
        <v>12</v>
      </c>
      <c r="B29" s="385" t="s">
        <v>1100</v>
      </c>
      <c r="C29" s="386" t="s">
        <v>992</v>
      </c>
      <c r="D29" s="383">
        <v>5</v>
      </c>
      <c r="E29" s="384">
        <v>0</v>
      </c>
      <c r="F29" s="295" t="e">
        <f>VLOOKUP(G29,'COSUMABLE-JUNE (3)'!$B$9:$I$57,8,FALSE)</f>
        <v>#N/A</v>
      </c>
    </row>
    <row r="30" spans="1:7" x14ac:dyDescent="0.35">
      <c r="A30" s="305">
        <f>SUBTOTAL(103,$B$4:B30)</f>
        <v>13</v>
      </c>
      <c r="B30" s="385" t="s">
        <v>1101</v>
      </c>
      <c r="C30" s="386" t="s">
        <v>1102</v>
      </c>
      <c r="D30" s="383">
        <v>1</v>
      </c>
      <c r="E30" s="384">
        <v>0</v>
      </c>
      <c r="F30" s="295" t="e">
        <f>VLOOKUP(G30,'COSUMABLE-JUNE (3)'!$B$9:$I$57,8,FALSE)</f>
        <v>#N/A</v>
      </c>
    </row>
    <row r="31" spans="1:7" hidden="1" x14ac:dyDescent="0.35">
      <c r="A31" s="305">
        <f>SUBTOTAL(103,$B$4:B31)</f>
        <v>13</v>
      </c>
      <c r="B31" s="382" t="s">
        <v>1016</v>
      </c>
      <c r="C31" s="383" t="s">
        <v>992</v>
      </c>
      <c r="D31" s="383">
        <v>1</v>
      </c>
      <c r="E31" s="384">
        <v>0</v>
      </c>
      <c r="F31" s="295" t="e">
        <f>VLOOKUP(G31,'COSUMABLE-JUNE (3)'!$B$9:$I$57,8,FALSE)</f>
        <v>#N/A</v>
      </c>
    </row>
    <row r="32" spans="1:7" x14ac:dyDescent="0.35">
      <c r="A32" s="305">
        <f>SUBTOTAL(103,$B$4:B32)</f>
        <v>14</v>
      </c>
      <c r="B32" s="382" t="s">
        <v>1017</v>
      </c>
      <c r="C32" s="383" t="s">
        <v>998</v>
      </c>
      <c r="D32" s="383">
        <v>5</v>
      </c>
      <c r="E32" s="384">
        <v>0</v>
      </c>
      <c r="F32" s="295" t="e">
        <f>VLOOKUP(G32,'COSUMABLE-JUNE (3)'!$B$9:$I$57,8,FALSE)</f>
        <v>#N/A</v>
      </c>
    </row>
    <row r="33" spans="1:6" hidden="1" x14ac:dyDescent="0.35">
      <c r="A33" s="305">
        <f>SUBTOTAL(103,$B$4:B33)</f>
        <v>14</v>
      </c>
      <c r="B33" s="387" t="s">
        <v>1018</v>
      </c>
      <c r="C33" s="388" t="s">
        <v>998</v>
      </c>
      <c r="D33" s="388">
        <v>5</v>
      </c>
      <c r="E33" s="389">
        <v>0</v>
      </c>
      <c r="F33" s="295" t="e">
        <f>VLOOKUP(G33,'COSUMABLE-JUNE (3)'!$B$9:$I$57,8,FALSE)</f>
        <v>#N/A</v>
      </c>
    </row>
    <row r="34" spans="1:6" ht="29" x14ac:dyDescent="0.35">
      <c r="A34" s="381">
        <f>SUBTOTAL(103,$B$4:B34)</f>
        <v>15</v>
      </c>
      <c r="B34" s="390" t="s">
        <v>1104</v>
      </c>
      <c r="C34" s="391" t="s">
        <v>1003</v>
      </c>
      <c r="D34" s="392">
        <v>0</v>
      </c>
      <c r="E34" s="393">
        <v>0</v>
      </c>
      <c r="F34" s="329" t="e">
        <f>VLOOKUP(G34,'COSUMABLE-JUNE (3)'!$B$9:$I$57,8,FALSE)</f>
        <v>#N/A</v>
      </c>
    </row>
    <row r="35" spans="1:6" ht="29" hidden="1" x14ac:dyDescent="0.35">
      <c r="A35" s="381">
        <f>SUBTOTAL(103,$B$4:B35)</f>
        <v>15</v>
      </c>
      <c r="B35" s="390" t="s">
        <v>1105</v>
      </c>
      <c r="C35" s="391" t="s">
        <v>1003</v>
      </c>
      <c r="D35" s="392"/>
      <c r="E35" s="393"/>
      <c r="F35" s="329" t="e">
        <f>VLOOKUP(G35,'COSUMABLE-JUNE (3)'!$B$9:$I$57,8,FALSE)</f>
        <v>#N/A</v>
      </c>
    </row>
    <row r="36" spans="1:6" x14ac:dyDescent="0.35">
      <c r="A36" s="381">
        <f>SUBTOTAL(103,$B$4:B36)</f>
        <v>16</v>
      </c>
      <c r="B36" s="394" t="s">
        <v>1109</v>
      </c>
      <c r="C36" s="395" t="s">
        <v>998</v>
      </c>
      <c r="D36" s="388">
        <v>0</v>
      </c>
      <c r="E36" s="389">
        <v>0</v>
      </c>
      <c r="F36" s="329" t="e">
        <f>VLOOKUP(G36,'COSUMABLE-JUNE (3)'!$B$9:$I$57,8,FALSE)</f>
        <v>#N/A</v>
      </c>
    </row>
    <row r="37" spans="1:6" x14ac:dyDescent="0.35">
      <c r="A37" s="305">
        <f>SUBTOTAL(103,$B$4:B37)</f>
        <v>17</v>
      </c>
      <c r="B37" s="394" t="s">
        <v>1106</v>
      </c>
      <c r="C37" s="395" t="s">
        <v>1086</v>
      </c>
      <c r="D37" s="388">
        <v>1</v>
      </c>
      <c r="E37" s="389">
        <v>0</v>
      </c>
      <c r="F37" s="295" t="e">
        <f>VLOOKUP(G37,'COSUMABLE-JUNE (3)'!$B$9:$I$57,8,FALSE)</f>
        <v>#N/A</v>
      </c>
    </row>
    <row r="38" spans="1:6" ht="15" thickBot="1" x14ac:dyDescent="0.4">
      <c r="A38" s="305">
        <f>SUBTOTAL(103,$B$4:B38)</f>
        <v>18</v>
      </c>
      <c r="B38" s="394" t="s">
        <v>1103</v>
      </c>
      <c r="C38" s="388" t="s">
        <v>998</v>
      </c>
      <c r="D38" s="388">
        <v>0</v>
      </c>
      <c r="E38" s="389">
        <v>0</v>
      </c>
      <c r="F38" s="295" t="e">
        <f>VLOOKUP(G38,'COSUMABLE-JUNE (3)'!$B$9:$I$57,8,FALSE)</f>
        <v>#N/A</v>
      </c>
    </row>
    <row r="39" spans="1:6" x14ac:dyDescent="0.35">
      <c r="A39" s="309"/>
      <c r="B39" s="310"/>
      <c r="C39" s="310"/>
      <c r="D39" s="311"/>
      <c r="E39" s="312"/>
    </row>
    <row r="40" spans="1:6" x14ac:dyDescent="0.35">
      <c r="A40" s="313"/>
      <c r="D40" s="314"/>
      <c r="E40" s="315"/>
    </row>
    <row r="41" spans="1:6" x14ac:dyDescent="0.35">
      <c r="A41" s="316"/>
      <c r="B41" s="295" t="s">
        <v>1019</v>
      </c>
      <c r="D41" s="314"/>
      <c r="E41" s="315"/>
    </row>
    <row r="42" spans="1:6" x14ac:dyDescent="0.35">
      <c r="A42" s="313"/>
      <c r="D42" s="314"/>
      <c r="E42" s="315"/>
    </row>
    <row r="43" spans="1:6" x14ac:dyDescent="0.35">
      <c r="A43" s="313"/>
      <c r="D43" s="314"/>
      <c r="E43" s="315"/>
    </row>
    <row r="44" spans="1:6" x14ac:dyDescent="0.35">
      <c r="A44" s="313"/>
      <c r="D44" s="314"/>
      <c r="E44" s="315"/>
    </row>
    <row r="45" spans="1:6" x14ac:dyDescent="0.35">
      <c r="A45" s="313"/>
      <c r="D45" s="314"/>
      <c r="E45" s="315"/>
    </row>
    <row r="46" spans="1:6" x14ac:dyDescent="0.35">
      <c r="A46" s="313"/>
      <c r="D46" s="314"/>
      <c r="E46" s="315"/>
    </row>
    <row r="47" spans="1:6" x14ac:dyDescent="0.35">
      <c r="A47" s="317"/>
      <c r="E47" s="318"/>
    </row>
    <row r="48" spans="1:6" x14ac:dyDescent="0.35">
      <c r="A48" s="317"/>
      <c r="E48" s="318"/>
    </row>
    <row r="49" spans="1:5" x14ac:dyDescent="0.35">
      <c r="A49" s="317"/>
      <c r="E49" s="318"/>
    </row>
    <row r="50" spans="1:5" x14ac:dyDescent="0.35">
      <c r="A50" s="317"/>
      <c r="B50" s="319" t="s">
        <v>1020</v>
      </c>
      <c r="D50" s="314" t="s">
        <v>1021</v>
      </c>
      <c r="E50" s="315" t="s">
        <v>1022</v>
      </c>
    </row>
    <row r="51" spans="1:5" x14ac:dyDescent="0.35">
      <c r="A51" s="317"/>
      <c r="D51" s="314"/>
      <c r="E51" s="315"/>
    </row>
    <row r="52" spans="1:5" x14ac:dyDescent="0.35">
      <c r="A52" s="317"/>
      <c r="D52" s="314"/>
      <c r="E52" s="315"/>
    </row>
    <row r="53" spans="1:5" x14ac:dyDescent="0.35">
      <c r="A53" s="317"/>
      <c r="D53" s="314"/>
      <c r="E53" s="315"/>
    </row>
    <row r="54" spans="1:5" ht="15" thickBot="1" x14ac:dyDescent="0.4">
      <c r="A54" s="320"/>
      <c r="B54" s="321" t="s">
        <v>1023</v>
      </c>
      <c r="C54" s="322"/>
      <c r="D54" s="323" t="s">
        <v>1024</v>
      </c>
      <c r="E54" s="324" t="s">
        <v>1025</v>
      </c>
    </row>
  </sheetData>
  <mergeCells count="1">
    <mergeCell ref="A1:E1"/>
  </mergeCells>
  <pageMargins left="0.31496062992125984" right="0.31496062992125984" top="0.19685039370078741" bottom="0.15748031496062992" header="0.31496062992125984" footer="0.31496062992125984"/>
  <pageSetup paperSize="9" scale="104" fitToHeight="0" orientation="portrait" horizontalDpi="360" verticalDpi="360" r:id="rId1"/>
  <rowBreaks count="1" manualBreakCount="1">
    <brk id="56" max="4" man="1"/>
  </row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90333-77A4-43A6-B2C9-5282C22A0CC7}">
  <sheetPr codeName="Sheet18"/>
  <dimension ref="A1:Q290"/>
  <sheetViews>
    <sheetView topLeftCell="A256" zoomScale="55" zoomScaleNormal="55" workbookViewId="0">
      <selection activeCell="H18" sqref="H18"/>
    </sheetView>
  </sheetViews>
  <sheetFormatPr defaultColWidth="8.81640625" defaultRowHeight="14.5" x14ac:dyDescent="0.35"/>
  <cols>
    <col min="1" max="1" width="14.81640625" style="462" customWidth="1"/>
    <col min="2" max="2" width="15.6328125" style="462" customWidth="1"/>
    <col min="3" max="3" width="12.08984375" style="463" customWidth="1"/>
    <col min="4" max="4" width="10.453125" style="462" customWidth="1"/>
    <col min="5" max="5" width="8.81640625" style="462"/>
    <col min="6" max="7" width="12.81640625" style="462" customWidth="1"/>
    <col min="8" max="9" width="10.36328125" style="462" customWidth="1"/>
    <col min="10" max="11" width="13.36328125" style="462" customWidth="1"/>
    <col min="12" max="12" width="19.36328125" style="462" customWidth="1"/>
    <col min="13" max="13" width="16.08984375" style="462" customWidth="1"/>
    <col min="14" max="14" width="9.453125" style="462" bestFit="1" customWidth="1"/>
    <col min="15" max="15" width="17.08984375" style="462" customWidth="1"/>
    <col min="16" max="16384" width="8.81640625" style="462"/>
  </cols>
  <sheetData>
    <row r="1" spans="1:17" ht="14.5" customHeight="1" x14ac:dyDescent="0.35">
      <c r="D1" s="662" t="s">
        <v>1385</v>
      </c>
      <c r="E1" s="662"/>
      <c r="F1" s="662"/>
      <c r="G1" s="662"/>
      <c r="H1" s="662"/>
      <c r="I1" s="662"/>
      <c r="J1" s="662"/>
      <c r="K1" s="662"/>
      <c r="L1" s="464"/>
      <c r="N1" s="462">
        <v>50</v>
      </c>
    </row>
    <row r="2" spans="1:17" ht="14.5" customHeight="1" x14ac:dyDescent="0.35">
      <c r="A2" s="465"/>
      <c r="B2" s="465"/>
      <c r="C2" s="466"/>
      <c r="D2" s="662"/>
      <c r="E2" s="662"/>
      <c r="F2" s="662"/>
      <c r="G2" s="662"/>
      <c r="H2" s="662"/>
      <c r="I2" s="662"/>
      <c r="J2" s="662"/>
      <c r="K2" s="662"/>
      <c r="L2" s="467"/>
    </row>
    <row r="3" spans="1:17" ht="15.5" customHeight="1" x14ac:dyDescent="0.45">
      <c r="A3" s="663" t="s">
        <v>1386</v>
      </c>
      <c r="B3" s="663" t="s">
        <v>1387</v>
      </c>
      <c r="C3" s="663" t="s">
        <v>1388</v>
      </c>
      <c r="D3" s="663" t="s">
        <v>1389</v>
      </c>
      <c r="E3" s="665" t="s">
        <v>1390</v>
      </c>
      <c r="F3" s="666" t="s">
        <v>1391</v>
      </c>
      <c r="G3" s="667"/>
      <c r="H3" s="667"/>
      <c r="I3" s="667"/>
      <c r="J3" s="667"/>
      <c r="K3" s="668"/>
      <c r="L3" s="657" t="s">
        <v>1392</v>
      </c>
      <c r="M3" s="658" t="s">
        <v>1393</v>
      </c>
      <c r="N3" s="659" t="s">
        <v>1394</v>
      </c>
      <c r="O3" s="462" t="s">
        <v>1395</v>
      </c>
      <c r="P3" s="462" t="s">
        <v>1395</v>
      </c>
    </row>
    <row r="4" spans="1:17" x14ac:dyDescent="0.35">
      <c r="A4" s="664"/>
      <c r="B4" s="664"/>
      <c r="C4" s="664"/>
      <c r="D4" s="664"/>
      <c r="E4" s="665"/>
      <c r="F4" s="468" t="s">
        <v>1396</v>
      </c>
      <c r="G4" s="468" t="s">
        <v>1397</v>
      </c>
      <c r="H4" s="468" t="s">
        <v>1398</v>
      </c>
      <c r="I4" s="469" t="s">
        <v>1397</v>
      </c>
      <c r="J4" s="469" t="s">
        <v>1399</v>
      </c>
      <c r="K4" s="469" t="s">
        <v>1397</v>
      </c>
      <c r="L4" s="657"/>
      <c r="M4" s="658"/>
      <c r="N4" s="660"/>
      <c r="O4" s="462" t="s">
        <v>1400</v>
      </c>
      <c r="P4" s="462" t="s">
        <v>1401</v>
      </c>
    </row>
    <row r="5" spans="1:17" x14ac:dyDescent="0.35">
      <c r="A5" s="661" t="s">
        <v>1402</v>
      </c>
      <c r="B5" s="470" t="s">
        <v>1403</v>
      </c>
      <c r="C5" s="661">
        <v>150</v>
      </c>
      <c r="D5" s="470">
        <v>15</v>
      </c>
      <c r="E5" s="471">
        <v>15</v>
      </c>
      <c r="F5" s="470">
        <v>10</v>
      </c>
      <c r="G5" s="470">
        <v>1</v>
      </c>
      <c r="H5" s="470">
        <v>15</v>
      </c>
      <c r="I5" s="470">
        <v>1</v>
      </c>
      <c r="J5" s="470">
        <v>10</v>
      </c>
      <c r="K5" s="470">
        <v>1</v>
      </c>
      <c r="L5" s="472">
        <f>M5/60</f>
        <v>1.0833333333333333</v>
      </c>
      <c r="M5" s="470">
        <f t="shared" ref="M5:M21" si="0">D5+E5+F5+H5+J5</f>
        <v>65</v>
      </c>
      <c r="N5" s="473"/>
      <c r="O5" s="462">
        <f>N5*L5</f>
        <v>0</v>
      </c>
      <c r="P5" s="462">
        <f>O5/Q5</f>
        <v>0</v>
      </c>
      <c r="Q5" s="462">
        <v>8</v>
      </c>
    </row>
    <row r="6" spans="1:17" x14ac:dyDescent="0.35">
      <c r="A6" s="661"/>
      <c r="B6" s="470" t="s">
        <v>1404</v>
      </c>
      <c r="C6" s="661"/>
      <c r="D6" s="470">
        <v>20</v>
      </c>
      <c r="E6" s="471">
        <v>15</v>
      </c>
      <c r="F6" s="470">
        <v>10</v>
      </c>
      <c r="G6" s="470">
        <v>1</v>
      </c>
      <c r="H6" s="470">
        <v>15</v>
      </c>
      <c r="I6" s="470">
        <v>1</v>
      </c>
      <c r="J6" s="470">
        <v>10</v>
      </c>
      <c r="K6" s="470">
        <v>1</v>
      </c>
      <c r="L6" s="472">
        <f t="shared" ref="L6:L21" si="1">M6/60</f>
        <v>1.1666666666666667</v>
      </c>
      <c r="M6" s="470">
        <f t="shared" si="0"/>
        <v>70</v>
      </c>
      <c r="N6" s="474"/>
      <c r="O6" s="462">
        <f t="shared" ref="O6:O21" si="2">N6*L6</f>
        <v>0</v>
      </c>
      <c r="P6" s="462">
        <f>O6/Q5</f>
        <v>0</v>
      </c>
      <c r="Q6" s="462">
        <v>8</v>
      </c>
    </row>
    <row r="7" spans="1:17" x14ac:dyDescent="0.35">
      <c r="A7" s="661"/>
      <c r="B7" s="470" t="s">
        <v>1405</v>
      </c>
      <c r="C7" s="661"/>
      <c r="D7" s="470">
        <v>25</v>
      </c>
      <c r="E7" s="471">
        <v>25</v>
      </c>
      <c r="F7" s="470">
        <v>15</v>
      </c>
      <c r="G7" s="470">
        <v>1</v>
      </c>
      <c r="H7" s="470">
        <v>20</v>
      </c>
      <c r="I7" s="470">
        <v>1</v>
      </c>
      <c r="J7" s="470">
        <v>15</v>
      </c>
      <c r="K7" s="470">
        <v>1</v>
      </c>
      <c r="L7" s="472">
        <f t="shared" si="1"/>
        <v>1.6666666666666667</v>
      </c>
      <c r="M7" s="470">
        <f t="shared" si="0"/>
        <v>100</v>
      </c>
      <c r="N7" s="474"/>
      <c r="O7" s="462">
        <f t="shared" si="2"/>
        <v>0</v>
      </c>
      <c r="P7" s="462">
        <f t="shared" ref="P7:P21" si="3">O7/Q7</f>
        <v>0</v>
      </c>
      <c r="Q7" s="462">
        <v>8</v>
      </c>
    </row>
    <row r="8" spans="1:17" x14ac:dyDescent="0.35">
      <c r="A8" s="661"/>
      <c r="B8" s="470" t="s">
        <v>84</v>
      </c>
      <c r="C8" s="661"/>
      <c r="D8" s="470">
        <v>30</v>
      </c>
      <c r="E8" s="471">
        <v>30</v>
      </c>
      <c r="F8" s="470">
        <v>15</v>
      </c>
      <c r="G8" s="470">
        <v>1</v>
      </c>
      <c r="H8" s="470">
        <v>20</v>
      </c>
      <c r="I8" s="470">
        <v>1</v>
      </c>
      <c r="J8" s="470">
        <v>15</v>
      </c>
      <c r="K8" s="470">
        <v>1</v>
      </c>
      <c r="L8" s="472">
        <f t="shared" si="1"/>
        <v>1.8333333333333333</v>
      </c>
      <c r="M8" s="470">
        <f t="shared" si="0"/>
        <v>110</v>
      </c>
      <c r="N8" s="474"/>
      <c r="O8" s="462">
        <f t="shared" si="2"/>
        <v>0</v>
      </c>
      <c r="P8" s="462">
        <f t="shared" si="3"/>
        <v>0</v>
      </c>
      <c r="Q8" s="462">
        <v>8</v>
      </c>
    </row>
    <row r="9" spans="1:17" x14ac:dyDescent="0.35">
      <c r="A9" s="661"/>
      <c r="B9" s="470" t="s">
        <v>82</v>
      </c>
      <c r="C9" s="661"/>
      <c r="D9" s="470">
        <v>45</v>
      </c>
      <c r="E9" s="471">
        <v>40</v>
      </c>
      <c r="F9" s="470">
        <v>25</v>
      </c>
      <c r="G9" s="470">
        <v>1</v>
      </c>
      <c r="H9" s="470">
        <v>30</v>
      </c>
      <c r="I9" s="470">
        <v>1</v>
      </c>
      <c r="J9" s="470">
        <v>25</v>
      </c>
      <c r="K9" s="470">
        <v>1</v>
      </c>
      <c r="L9" s="472">
        <f t="shared" si="1"/>
        <v>2.75</v>
      </c>
      <c r="M9" s="470">
        <f t="shared" si="0"/>
        <v>165</v>
      </c>
      <c r="N9" s="474"/>
      <c r="O9" s="462">
        <f t="shared" si="2"/>
        <v>0</v>
      </c>
      <c r="P9" s="462">
        <f t="shared" si="3"/>
        <v>0</v>
      </c>
      <c r="Q9" s="462">
        <v>8</v>
      </c>
    </row>
    <row r="10" spans="1:17" x14ac:dyDescent="0.35">
      <c r="A10" s="661"/>
      <c r="B10" s="470" t="s">
        <v>120</v>
      </c>
      <c r="C10" s="661"/>
      <c r="D10" s="470">
        <v>55</v>
      </c>
      <c r="E10" s="471">
        <v>45</v>
      </c>
      <c r="F10" s="470">
        <v>30</v>
      </c>
      <c r="G10" s="470">
        <v>1</v>
      </c>
      <c r="H10" s="470">
        <v>40</v>
      </c>
      <c r="I10" s="470">
        <v>1</v>
      </c>
      <c r="J10" s="470">
        <v>30</v>
      </c>
      <c r="K10" s="470">
        <v>1</v>
      </c>
      <c r="L10" s="472">
        <f t="shared" si="1"/>
        <v>3.3333333333333335</v>
      </c>
      <c r="M10" s="470">
        <f t="shared" si="0"/>
        <v>200</v>
      </c>
      <c r="N10" s="474"/>
      <c r="O10" s="462">
        <f t="shared" si="2"/>
        <v>0</v>
      </c>
      <c r="P10" s="462">
        <f t="shared" si="3"/>
        <v>0</v>
      </c>
      <c r="Q10" s="462">
        <v>8</v>
      </c>
    </row>
    <row r="11" spans="1:17" x14ac:dyDescent="0.35">
      <c r="A11" s="661"/>
      <c r="B11" s="470" t="s">
        <v>80</v>
      </c>
      <c r="C11" s="661"/>
      <c r="D11" s="470">
        <v>90</v>
      </c>
      <c r="E11" s="471">
        <v>50</v>
      </c>
      <c r="F11" s="470">
        <v>40</v>
      </c>
      <c r="G11" s="470">
        <v>1</v>
      </c>
      <c r="H11" s="470">
        <v>50</v>
      </c>
      <c r="I11" s="470">
        <v>1</v>
      </c>
      <c r="J11" s="470">
        <v>40</v>
      </c>
      <c r="K11" s="470">
        <v>1</v>
      </c>
      <c r="L11" s="472">
        <f t="shared" si="1"/>
        <v>4.5</v>
      </c>
      <c r="M11" s="470">
        <f t="shared" si="0"/>
        <v>270</v>
      </c>
      <c r="N11" s="474"/>
      <c r="O11" s="462">
        <f t="shared" si="2"/>
        <v>0</v>
      </c>
      <c r="P11" s="462">
        <f t="shared" si="3"/>
        <v>0</v>
      </c>
      <c r="Q11" s="462">
        <v>8</v>
      </c>
    </row>
    <row r="12" spans="1:17" x14ac:dyDescent="0.35">
      <c r="A12" s="661"/>
      <c r="B12" s="470" t="s">
        <v>119</v>
      </c>
      <c r="C12" s="661"/>
      <c r="D12" s="470">
        <v>115</v>
      </c>
      <c r="E12" s="471">
        <v>60</v>
      </c>
      <c r="F12" s="470">
        <v>45</v>
      </c>
      <c r="G12" s="470">
        <v>1</v>
      </c>
      <c r="H12" s="470">
        <v>60</v>
      </c>
      <c r="I12" s="470">
        <v>1</v>
      </c>
      <c r="J12" s="470">
        <v>45</v>
      </c>
      <c r="K12" s="470">
        <v>1</v>
      </c>
      <c r="L12" s="472">
        <f t="shared" si="1"/>
        <v>5.416666666666667</v>
      </c>
      <c r="M12" s="470">
        <f t="shared" si="0"/>
        <v>325</v>
      </c>
      <c r="N12" s="474"/>
      <c r="O12" s="462">
        <f t="shared" si="2"/>
        <v>0</v>
      </c>
      <c r="P12" s="462">
        <f t="shared" si="3"/>
        <v>0</v>
      </c>
      <c r="Q12" s="462">
        <v>8</v>
      </c>
    </row>
    <row r="13" spans="1:17" x14ac:dyDescent="0.35">
      <c r="A13" s="661"/>
      <c r="B13" s="470" t="s">
        <v>179</v>
      </c>
      <c r="C13" s="661"/>
      <c r="D13" s="475">
        <v>140</v>
      </c>
      <c r="E13" s="475">
        <v>75</v>
      </c>
      <c r="F13" s="470">
        <v>55</v>
      </c>
      <c r="G13" s="470">
        <v>1</v>
      </c>
      <c r="H13" s="470">
        <v>70</v>
      </c>
      <c r="I13" s="470">
        <v>1</v>
      </c>
      <c r="J13" s="470">
        <v>55</v>
      </c>
      <c r="K13" s="470">
        <v>1</v>
      </c>
      <c r="L13" s="472">
        <f t="shared" si="1"/>
        <v>6.583333333333333</v>
      </c>
      <c r="M13" s="470">
        <f t="shared" si="0"/>
        <v>395</v>
      </c>
      <c r="N13" s="474"/>
      <c r="O13" s="462">
        <f t="shared" si="2"/>
        <v>0</v>
      </c>
      <c r="P13" s="462">
        <f t="shared" si="3"/>
        <v>0</v>
      </c>
      <c r="Q13" s="462">
        <v>8</v>
      </c>
    </row>
    <row r="14" spans="1:17" x14ac:dyDescent="0.35">
      <c r="A14" s="661"/>
      <c r="B14" s="470" t="s">
        <v>118</v>
      </c>
      <c r="C14" s="661"/>
      <c r="D14" s="470">
        <v>150</v>
      </c>
      <c r="E14" s="471">
        <v>80</v>
      </c>
      <c r="F14" s="470">
        <v>70</v>
      </c>
      <c r="G14" s="470">
        <v>1</v>
      </c>
      <c r="H14" s="470">
        <v>85</v>
      </c>
      <c r="I14" s="470">
        <v>1</v>
      </c>
      <c r="J14" s="470">
        <v>70</v>
      </c>
      <c r="K14" s="470">
        <v>1</v>
      </c>
      <c r="L14" s="472">
        <f t="shared" si="1"/>
        <v>7.583333333333333</v>
      </c>
      <c r="M14" s="470">
        <f t="shared" si="0"/>
        <v>455</v>
      </c>
      <c r="N14" s="474"/>
      <c r="O14" s="462">
        <f t="shared" si="2"/>
        <v>0</v>
      </c>
      <c r="P14" s="462">
        <f t="shared" si="3"/>
        <v>0</v>
      </c>
      <c r="Q14" s="462">
        <v>8</v>
      </c>
    </row>
    <row r="15" spans="1:17" x14ac:dyDescent="0.35">
      <c r="A15" s="661"/>
      <c r="B15" s="470" t="s">
        <v>688</v>
      </c>
      <c r="C15" s="661"/>
      <c r="D15" s="475">
        <v>180</v>
      </c>
      <c r="E15" s="475">
        <v>90</v>
      </c>
      <c r="F15" s="470">
        <v>85</v>
      </c>
      <c r="G15" s="470">
        <v>1</v>
      </c>
      <c r="H15" s="470">
        <v>100</v>
      </c>
      <c r="I15" s="470">
        <v>1</v>
      </c>
      <c r="J15" s="470">
        <v>85</v>
      </c>
      <c r="K15" s="470">
        <v>1</v>
      </c>
      <c r="L15" s="472">
        <f t="shared" si="1"/>
        <v>9</v>
      </c>
      <c r="M15" s="470">
        <f t="shared" si="0"/>
        <v>540</v>
      </c>
      <c r="N15" s="474"/>
      <c r="O15" s="462">
        <f t="shared" si="2"/>
        <v>0</v>
      </c>
      <c r="P15" s="462">
        <f t="shared" si="3"/>
        <v>0</v>
      </c>
      <c r="Q15" s="462">
        <v>8</v>
      </c>
    </row>
    <row r="16" spans="1:17" x14ac:dyDescent="0.35">
      <c r="A16" s="661"/>
      <c r="B16" s="470" t="s">
        <v>171</v>
      </c>
      <c r="C16" s="661"/>
      <c r="D16" s="470">
        <v>210</v>
      </c>
      <c r="E16" s="471">
        <v>100</v>
      </c>
      <c r="F16" s="470">
        <v>90</v>
      </c>
      <c r="G16" s="470">
        <v>1</v>
      </c>
      <c r="H16" s="470">
        <v>120</v>
      </c>
      <c r="I16" s="470">
        <v>1</v>
      </c>
      <c r="J16" s="470">
        <v>90</v>
      </c>
      <c r="K16" s="470">
        <v>1</v>
      </c>
      <c r="L16" s="472">
        <f t="shared" si="1"/>
        <v>10.166666666666666</v>
      </c>
      <c r="M16" s="470">
        <f t="shared" si="0"/>
        <v>610</v>
      </c>
      <c r="N16" s="474"/>
      <c r="O16" s="462">
        <f t="shared" si="2"/>
        <v>0</v>
      </c>
      <c r="P16" s="462">
        <f t="shared" si="3"/>
        <v>0</v>
      </c>
      <c r="Q16" s="462">
        <v>8</v>
      </c>
    </row>
    <row r="17" spans="1:17" x14ac:dyDescent="0.35">
      <c r="A17" s="661"/>
      <c r="B17" s="470" t="s">
        <v>195</v>
      </c>
      <c r="C17" s="661"/>
      <c r="D17" s="470">
        <v>230</v>
      </c>
      <c r="E17" s="471">
        <v>120</v>
      </c>
      <c r="F17" s="470">
        <v>100</v>
      </c>
      <c r="G17" s="470">
        <v>1</v>
      </c>
      <c r="H17" s="470">
        <v>130</v>
      </c>
      <c r="I17" s="470">
        <v>1</v>
      </c>
      <c r="J17" s="470">
        <v>100</v>
      </c>
      <c r="K17" s="470">
        <v>1</v>
      </c>
      <c r="L17" s="472">
        <f t="shared" si="1"/>
        <v>11.333333333333334</v>
      </c>
      <c r="M17" s="470">
        <f t="shared" si="0"/>
        <v>680</v>
      </c>
      <c r="N17" s="474"/>
      <c r="O17" s="462">
        <f t="shared" si="2"/>
        <v>0</v>
      </c>
      <c r="P17" s="462">
        <f t="shared" si="3"/>
        <v>0</v>
      </c>
      <c r="Q17" s="462">
        <v>8</v>
      </c>
    </row>
    <row r="18" spans="1:17" x14ac:dyDescent="0.35">
      <c r="A18" s="661"/>
      <c r="B18" s="470" t="s">
        <v>1406</v>
      </c>
      <c r="C18" s="661"/>
      <c r="D18" s="470">
        <v>250</v>
      </c>
      <c r="E18" s="471">
        <v>135</v>
      </c>
      <c r="F18" s="470">
        <v>120</v>
      </c>
      <c r="G18" s="470">
        <v>1</v>
      </c>
      <c r="H18" s="470">
        <v>145</v>
      </c>
      <c r="I18" s="470">
        <v>1</v>
      </c>
      <c r="J18" s="470">
        <v>120</v>
      </c>
      <c r="K18" s="470">
        <v>1</v>
      </c>
      <c r="L18" s="472">
        <f t="shared" si="1"/>
        <v>12.833333333333334</v>
      </c>
      <c r="M18" s="470">
        <f t="shared" si="0"/>
        <v>770</v>
      </c>
      <c r="N18" s="474"/>
      <c r="O18" s="462">
        <f t="shared" si="2"/>
        <v>0</v>
      </c>
      <c r="P18" s="462">
        <f t="shared" si="3"/>
        <v>0</v>
      </c>
      <c r="Q18" s="462">
        <v>8</v>
      </c>
    </row>
    <row r="19" spans="1:17" x14ac:dyDescent="0.35">
      <c r="A19" s="661"/>
      <c r="B19" s="470" t="s">
        <v>1407</v>
      </c>
      <c r="C19" s="661"/>
      <c r="D19" s="470">
        <v>300</v>
      </c>
      <c r="E19" s="471">
        <v>160</v>
      </c>
      <c r="F19" s="470">
        <v>140</v>
      </c>
      <c r="G19" s="470">
        <v>1</v>
      </c>
      <c r="H19" s="470">
        <v>160</v>
      </c>
      <c r="I19" s="470">
        <v>1</v>
      </c>
      <c r="J19" s="470">
        <v>140</v>
      </c>
      <c r="K19" s="470">
        <v>1</v>
      </c>
      <c r="L19" s="472">
        <f t="shared" si="1"/>
        <v>15</v>
      </c>
      <c r="M19" s="470">
        <f t="shared" si="0"/>
        <v>900</v>
      </c>
      <c r="N19" s="474"/>
      <c r="O19" s="462">
        <f t="shared" si="2"/>
        <v>0</v>
      </c>
      <c r="P19" s="462">
        <f t="shared" si="3"/>
        <v>0</v>
      </c>
      <c r="Q19" s="462">
        <v>8</v>
      </c>
    </row>
    <row r="20" spans="1:17" x14ac:dyDescent="0.35">
      <c r="A20" s="661"/>
      <c r="B20" s="470" t="s">
        <v>1408</v>
      </c>
      <c r="C20" s="661"/>
      <c r="D20" s="470">
        <v>335</v>
      </c>
      <c r="E20" s="471">
        <v>200</v>
      </c>
      <c r="F20" s="470">
        <v>180</v>
      </c>
      <c r="G20" s="470">
        <v>1</v>
      </c>
      <c r="H20" s="470">
        <v>200</v>
      </c>
      <c r="I20" s="470">
        <v>1</v>
      </c>
      <c r="J20" s="470">
        <v>180</v>
      </c>
      <c r="K20" s="470">
        <v>1</v>
      </c>
      <c r="L20" s="472">
        <f t="shared" si="1"/>
        <v>18.25</v>
      </c>
      <c r="M20" s="470">
        <f t="shared" si="0"/>
        <v>1095</v>
      </c>
      <c r="N20" s="474"/>
      <c r="O20" s="462">
        <f t="shared" si="2"/>
        <v>0</v>
      </c>
      <c r="P20" s="462">
        <f t="shared" si="3"/>
        <v>0</v>
      </c>
      <c r="Q20" s="462">
        <v>8</v>
      </c>
    </row>
    <row r="21" spans="1:17" x14ac:dyDescent="0.35">
      <c r="A21" s="661"/>
      <c r="B21" s="470" t="s">
        <v>1409</v>
      </c>
      <c r="C21" s="661"/>
      <c r="D21" s="470">
        <v>355</v>
      </c>
      <c r="E21" s="471">
        <v>240</v>
      </c>
      <c r="F21" s="470">
        <v>210</v>
      </c>
      <c r="G21" s="470">
        <v>1</v>
      </c>
      <c r="H21" s="470">
        <v>230</v>
      </c>
      <c r="I21" s="470">
        <v>1</v>
      </c>
      <c r="J21" s="470">
        <v>210</v>
      </c>
      <c r="K21" s="470">
        <v>1</v>
      </c>
      <c r="L21" s="472">
        <f t="shared" si="1"/>
        <v>20.75</v>
      </c>
      <c r="M21" s="470">
        <f t="shared" si="0"/>
        <v>1245</v>
      </c>
      <c r="N21" s="474"/>
      <c r="O21" s="462">
        <f t="shared" si="2"/>
        <v>0</v>
      </c>
      <c r="P21" s="462">
        <f t="shared" si="3"/>
        <v>0</v>
      </c>
      <c r="Q21" s="462">
        <v>8</v>
      </c>
    </row>
    <row r="23" spans="1:17" ht="18.5" x14ac:dyDescent="0.35">
      <c r="D23" s="662" t="s">
        <v>1385</v>
      </c>
      <c r="E23" s="662"/>
      <c r="F23" s="662"/>
      <c r="G23" s="662"/>
      <c r="H23" s="662"/>
      <c r="I23" s="662"/>
      <c r="J23" s="662"/>
      <c r="K23" s="662"/>
      <c r="L23" s="464"/>
    </row>
    <row r="24" spans="1:17" ht="18.5" x14ac:dyDescent="0.35">
      <c r="D24" s="662"/>
      <c r="E24" s="662"/>
      <c r="F24" s="662"/>
      <c r="G24" s="662"/>
      <c r="H24" s="662"/>
      <c r="I24" s="662"/>
      <c r="J24" s="662"/>
      <c r="K24" s="662"/>
      <c r="L24" s="464"/>
    </row>
    <row r="25" spans="1:17" ht="18.5" x14ac:dyDescent="0.45">
      <c r="A25" s="672" t="s">
        <v>1386</v>
      </c>
      <c r="B25" s="672" t="s">
        <v>1387</v>
      </c>
      <c r="C25" s="672" t="s">
        <v>1388</v>
      </c>
      <c r="D25" s="672" t="s">
        <v>1389</v>
      </c>
      <c r="E25" s="672" t="s">
        <v>1390</v>
      </c>
      <c r="F25" s="673" t="s">
        <v>1391</v>
      </c>
      <c r="G25" s="673"/>
      <c r="H25" s="673"/>
      <c r="I25" s="673"/>
      <c r="J25" s="673"/>
      <c r="K25" s="673"/>
      <c r="L25" s="669" t="s">
        <v>1392</v>
      </c>
      <c r="M25" s="670" t="s">
        <v>1393</v>
      </c>
      <c r="N25" s="659" t="s">
        <v>1394</v>
      </c>
      <c r="O25" s="462" t="s">
        <v>1395</v>
      </c>
      <c r="P25" s="462" t="s">
        <v>1395</v>
      </c>
    </row>
    <row r="26" spans="1:17" x14ac:dyDescent="0.35">
      <c r="A26" s="672"/>
      <c r="B26" s="672"/>
      <c r="C26" s="672"/>
      <c r="D26" s="672"/>
      <c r="E26" s="672"/>
      <c r="F26" s="476" t="s">
        <v>1396</v>
      </c>
      <c r="G26" s="476" t="s">
        <v>1397</v>
      </c>
      <c r="H26" s="476" t="s">
        <v>1398</v>
      </c>
      <c r="I26" s="476" t="s">
        <v>1397</v>
      </c>
      <c r="J26" s="476" t="s">
        <v>1399</v>
      </c>
      <c r="K26" s="476" t="s">
        <v>1397</v>
      </c>
      <c r="L26" s="669"/>
      <c r="M26" s="670"/>
      <c r="N26" s="660"/>
      <c r="O26" s="462" t="s">
        <v>1400</v>
      </c>
      <c r="P26" s="462" t="s">
        <v>1401</v>
      </c>
    </row>
    <row r="27" spans="1:17" x14ac:dyDescent="0.35">
      <c r="A27" s="661" t="s">
        <v>1402</v>
      </c>
      <c r="B27" s="470" t="s">
        <v>1403</v>
      </c>
      <c r="C27" s="661">
        <v>300</v>
      </c>
      <c r="D27" s="470">
        <v>15</v>
      </c>
      <c r="E27" s="470">
        <v>20</v>
      </c>
      <c r="F27" s="470">
        <v>10</v>
      </c>
      <c r="G27" s="470">
        <v>1</v>
      </c>
      <c r="H27" s="470">
        <v>15</v>
      </c>
      <c r="I27" s="470">
        <v>1</v>
      </c>
      <c r="J27" s="470">
        <f>F27</f>
        <v>10</v>
      </c>
      <c r="K27" s="470">
        <v>1</v>
      </c>
      <c r="L27" s="472">
        <f>M27/60</f>
        <v>1.1666666666666667</v>
      </c>
      <c r="M27" s="470">
        <f t="shared" ref="M27:M43" si="4">D27+E27+F27+H27+J27</f>
        <v>70</v>
      </c>
      <c r="N27" s="474"/>
      <c r="O27" s="462">
        <f>N27*L27</f>
        <v>0</v>
      </c>
      <c r="P27" s="462">
        <f>O27/Q27</f>
        <v>0</v>
      </c>
      <c r="Q27" s="462">
        <v>8</v>
      </c>
    </row>
    <row r="28" spans="1:17" x14ac:dyDescent="0.35">
      <c r="A28" s="661"/>
      <c r="B28" s="470" t="s">
        <v>1404</v>
      </c>
      <c r="C28" s="661"/>
      <c r="D28" s="470">
        <v>20</v>
      </c>
      <c r="E28" s="470">
        <v>25</v>
      </c>
      <c r="F28" s="470">
        <v>10</v>
      </c>
      <c r="G28" s="470">
        <v>1</v>
      </c>
      <c r="H28" s="470">
        <v>15</v>
      </c>
      <c r="I28" s="470">
        <v>1</v>
      </c>
      <c r="J28" s="470">
        <f t="shared" ref="J28:J43" si="5">F28</f>
        <v>10</v>
      </c>
      <c r="K28" s="470">
        <v>1</v>
      </c>
      <c r="L28" s="472">
        <f t="shared" ref="L28:L43" si="6">M28/60</f>
        <v>1.3333333333333333</v>
      </c>
      <c r="M28" s="470">
        <f t="shared" si="4"/>
        <v>80</v>
      </c>
      <c r="N28" s="474"/>
      <c r="O28" s="462">
        <f t="shared" ref="O28:O43" si="7">N28*L28</f>
        <v>0</v>
      </c>
      <c r="P28" s="462">
        <f t="shared" ref="P28:P43" si="8">O28/Q28</f>
        <v>0</v>
      </c>
      <c r="Q28" s="462">
        <v>8</v>
      </c>
    </row>
    <row r="29" spans="1:17" x14ac:dyDescent="0.35">
      <c r="A29" s="661"/>
      <c r="B29" s="470" t="s">
        <v>1405</v>
      </c>
      <c r="C29" s="661"/>
      <c r="D29" s="470">
        <v>25</v>
      </c>
      <c r="E29" s="470">
        <v>30</v>
      </c>
      <c r="F29" s="470">
        <v>15</v>
      </c>
      <c r="G29" s="470">
        <v>1</v>
      </c>
      <c r="H29" s="470">
        <v>20</v>
      </c>
      <c r="I29" s="470">
        <v>1</v>
      </c>
      <c r="J29" s="470">
        <f t="shared" si="5"/>
        <v>15</v>
      </c>
      <c r="K29" s="470">
        <v>1</v>
      </c>
      <c r="L29" s="472">
        <f t="shared" si="6"/>
        <v>1.75</v>
      </c>
      <c r="M29" s="470">
        <f t="shared" si="4"/>
        <v>105</v>
      </c>
      <c r="N29" s="474"/>
      <c r="O29" s="462">
        <f t="shared" si="7"/>
        <v>0</v>
      </c>
      <c r="P29" s="462">
        <f t="shared" si="8"/>
        <v>0</v>
      </c>
      <c r="Q29" s="462">
        <v>8</v>
      </c>
    </row>
    <row r="30" spans="1:17" x14ac:dyDescent="0.35">
      <c r="A30" s="661"/>
      <c r="B30" s="470" t="s">
        <v>84</v>
      </c>
      <c r="C30" s="661"/>
      <c r="D30" s="470">
        <v>30</v>
      </c>
      <c r="E30" s="470">
        <v>40</v>
      </c>
      <c r="F30" s="470">
        <v>15</v>
      </c>
      <c r="G30" s="470">
        <v>1</v>
      </c>
      <c r="H30" s="470">
        <v>20</v>
      </c>
      <c r="I30" s="470">
        <v>1</v>
      </c>
      <c r="J30" s="470">
        <f t="shared" si="5"/>
        <v>15</v>
      </c>
      <c r="K30" s="470">
        <v>1</v>
      </c>
      <c r="L30" s="472">
        <f t="shared" si="6"/>
        <v>2</v>
      </c>
      <c r="M30" s="470">
        <f t="shared" si="4"/>
        <v>120</v>
      </c>
      <c r="N30" s="474"/>
      <c r="O30" s="462">
        <f t="shared" si="7"/>
        <v>0</v>
      </c>
      <c r="P30" s="462">
        <f t="shared" si="8"/>
        <v>0</v>
      </c>
      <c r="Q30" s="462">
        <v>8</v>
      </c>
    </row>
    <row r="31" spans="1:17" x14ac:dyDescent="0.35">
      <c r="A31" s="661"/>
      <c r="B31" s="470" t="s">
        <v>82</v>
      </c>
      <c r="C31" s="661"/>
      <c r="D31" s="470">
        <v>45</v>
      </c>
      <c r="E31" s="470">
        <v>55</v>
      </c>
      <c r="F31" s="470">
        <v>25</v>
      </c>
      <c r="G31" s="470">
        <v>1</v>
      </c>
      <c r="H31" s="470">
        <v>30</v>
      </c>
      <c r="I31" s="470">
        <v>1</v>
      </c>
      <c r="J31" s="470">
        <f t="shared" si="5"/>
        <v>25</v>
      </c>
      <c r="K31" s="470">
        <v>1</v>
      </c>
      <c r="L31" s="472">
        <f t="shared" si="6"/>
        <v>3</v>
      </c>
      <c r="M31" s="470">
        <f t="shared" si="4"/>
        <v>180</v>
      </c>
      <c r="N31" s="474"/>
      <c r="O31" s="462">
        <f t="shared" si="7"/>
        <v>0</v>
      </c>
      <c r="P31" s="462">
        <f t="shared" si="8"/>
        <v>0</v>
      </c>
      <c r="Q31" s="462">
        <v>8</v>
      </c>
    </row>
    <row r="32" spans="1:17" x14ac:dyDescent="0.35">
      <c r="A32" s="661"/>
      <c r="B32" s="470" t="s">
        <v>120</v>
      </c>
      <c r="C32" s="661"/>
      <c r="D32" s="470">
        <v>55</v>
      </c>
      <c r="E32" s="470">
        <v>70</v>
      </c>
      <c r="F32" s="470">
        <v>30</v>
      </c>
      <c r="G32" s="470">
        <v>1</v>
      </c>
      <c r="H32" s="470">
        <v>40</v>
      </c>
      <c r="I32" s="470">
        <v>1</v>
      </c>
      <c r="J32" s="470">
        <f t="shared" si="5"/>
        <v>30</v>
      </c>
      <c r="K32" s="470">
        <v>1</v>
      </c>
      <c r="L32" s="472">
        <f t="shared" si="6"/>
        <v>3.75</v>
      </c>
      <c r="M32" s="470">
        <f t="shared" si="4"/>
        <v>225</v>
      </c>
      <c r="N32" s="474"/>
      <c r="O32" s="462">
        <f t="shared" si="7"/>
        <v>0</v>
      </c>
      <c r="P32" s="462">
        <f t="shared" si="8"/>
        <v>0</v>
      </c>
      <c r="Q32" s="462">
        <v>8</v>
      </c>
    </row>
    <row r="33" spans="1:17" x14ac:dyDescent="0.35">
      <c r="A33" s="661"/>
      <c r="B33" s="470" t="s">
        <v>80</v>
      </c>
      <c r="C33" s="661"/>
      <c r="D33" s="470">
        <v>115</v>
      </c>
      <c r="E33" s="470">
        <v>80</v>
      </c>
      <c r="F33" s="470">
        <v>40</v>
      </c>
      <c r="G33" s="470">
        <v>1</v>
      </c>
      <c r="H33" s="470">
        <v>50</v>
      </c>
      <c r="I33" s="470">
        <v>1</v>
      </c>
      <c r="J33" s="470">
        <f t="shared" si="5"/>
        <v>40</v>
      </c>
      <c r="K33" s="470">
        <v>1</v>
      </c>
      <c r="L33" s="472">
        <f t="shared" si="6"/>
        <v>5.416666666666667</v>
      </c>
      <c r="M33" s="470">
        <f t="shared" si="4"/>
        <v>325</v>
      </c>
      <c r="N33" s="474"/>
      <c r="O33" s="462">
        <f t="shared" si="7"/>
        <v>0</v>
      </c>
      <c r="P33" s="462">
        <f t="shared" si="8"/>
        <v>0</v>
      </c>
      <c r="Q33" s="462">
        <v>8</v>
      </c>
    </row>
    <row r="34" spans="1:17" x14ac:dyDescent="0.35">
      <c r="A34" s="661"/>
      <c r="B34" s="470" t="s">
        <v>119</v>
      </c>
      <c r="C34" s="661"/>
      <c r="D34" s="470">
        <v>125</v>
      </c>
      <c r="E34" s="470">
        <v>95</v>
      </c>
      <c r="F34" s="470">
        <v>45</v>
      </c>
      <c r="G34" s="470">
        <v>1</v>
      </c>
      <c r="H34" s="470">
        <v>60</v>
      </c>
      <c r="I34" s="470">
        <v>1</v>
      </c>
      <c r="J34" s="470">
        <f t="shared" si="5"/>
        <v>45</v>
      </c>
      <c r="K34" s="470">
        <v>1</v>
      </c>
      <c r="L34" s="472">
        <f t="shared" si="6"/>
        <v>6.166666666666667</v>
      </c>
      <c r="M34" s="470">
        <f t="shared" si="4"/>
        <v>370</v>
      </c>
      <c r="N34" s="474"/>
      <c r="O34" s="462">
        <f t="shared" si="7"/>
        <v>0</v>
      </c>
      <c r="P34" s="462">
        <f t="shared" si="8"/>
        <v>0</v>
      </c>
      <c r="Q34" s="462">
        <v>8</v>
      </c>
    </row>
    <row r="35" spans="1:17" x14ac:dyDescent="0.35">
      <c r="A35" s="661"/>
      <c r="B35" s="470" t="s">
        <v>179</v>
      </c>
      <c r="C35" s="661"/>
      <c r="D35" s="470">
        <v>155</v>
      </c>
      <c r="E35" s="470">
        <v>110</v>
      </c>
      <c r="F35" s="470">
        <v>55</v>
      </c>
      <c r="G35" s="470">
        <v>1</v>
      </c>
      <c r="H35" s="470">
        <v>70</v>
      </c>
      <c r="I35" s="470">
        <v>1</v>
      </c>
      <c r="J35" s="470">
        <f t="shared" si="5"/>
        <v>55</v>
      </c>
      <c r="K35" s="470">
        <v>1</v>
      </c>
      <c r="L35" s="472">
        <f t="shared" si="6"/>
        <v>7.416666666666667</v>
      </c>
      <c r="M35" s="470">
        <f t="shared" si="4"/>
        <v>445</v>
      </c>
      <c r="N35" s="474"/>
      <c r="O35" s="462">
        <f t="shared" si="7"/>
        <v>0</v>
      </c>
      <c r="P35" s="462">
        <f t="shared" si="8"/>
        <v>0</v>
      </c>
      <c r="Q35" s="462">
        <v>8</v>
      </c>
    </row>
    <row r="36" spans="1:17" x14ac:dyDescent="0.35">
      <c r="A36" s="661"/>
      <c r="B36" s="470" t="s">
        <v>118</v>
      </c>
      <c r="C36" s="661"/>
      <c r="D36" s="470">
        <v>165</v>
      </c>
      <c r="E36" s="470">
        <v>125</v>
      </c>
      <c r="F36" s="470">
        <v>70</v>
      </c>
      <c r="G36" s="470">
        <v>1</v>
      </c>
      <c r="H36" s="470">
        <v>85</v>
      </c>
      <c r="I36" s="470">
        <v>1</v>
      </c>
      <c r="J36" s="470">
        <f t="shared" si="5"/>
        <v>70</v>
      </c>
      <c r="K36" s="470">
        <v>1</v>
      </c>
      <c r="L36" s="472">
        <f t="shared" si="6"/>
        <v>8.5833333333333339</v>
      </c>
      <c r="M36" s="470">
        <f t="shared" si="4"/>
        <v>515</v>
      </c>
      <c r="N36" s="474"/>
      <c r="O36" s="462">
        <f t="shared" si="7"/>
        <v>0</v>
      </c>
      <c r="P36" s="462">
        <f t="shared" si="8"/>
        <v>0</v>
      </c>
      <c r="Q36" s="462">
        <v>8</v>
      </c>
    </row>
    <row r="37" spans="1:17" x14ac:dyDescent="0.35">
      <c r="A37" s="661"/>
      <c r="B37" s="470" t="s">
        <v>688</v>
      </c>
      <c r="C37" s="661"/>
      <c r="D37" s="470">
        <v>210</v>
      </c>
      <c r="E37" s="470">
        <v>145</v>
      </c>
      <c r="F37" s="470">
        <v>85</v>
      </c>
      <c r="G37" s="470">
        <v>1</v>
      </c>
      <c r="H37" s="470">
        <v>100</v>
      </c>
      <c r="I37" s="470">
        <v>1</v>
      </c>
      <c r="J37" s="470">
        <f t="shared" si="5"/>
        <v>85</v>
      </c>
      <c r="K37" s="470">
        <v>1</v>
      </c>
      <c r="L37" s="472">
        <f t="shared" si="6"/>
        <v>10.416666666666666</v>
      </c>
      <c r="M37" s="470">
        <f t="shared" si="4"/>
        <v>625</v>
      </c>
      <c r="N37" s="474"/>
      <c r="O37" s="462">
        <f t="shared" si="7"/>
        <v>0</v>
      </c>
      <c r="P37" s="462">
        <f t="shared" si="8"/>
        <v>0</v>
      </c>
      <c r="Q37" s="462">
        <v>8</v>
      </c>
    </row>
    <row r="38" spans="1:17" x14ac:dyDescent="0.35">
      <c r="A38" s="661"/>
      <c r="B38" s="470" t="s">
        <v>171</v>
      </c>
      <c r="C38" s="661"/>
      <c r="D38" s="470">
        <v>240</v>
      </c>
      <c r="E38" s="470">
        <v>160</v>
      </c>
      <c r="F38" s="470">
        <v>90</v>
      </c>
      <c r="G38" s="470">
        <v>1</v>
      </c>
      <c r="H38" s="470">
        <v>120</v>
      </c>
      <c r="I38" s="470">
        <v>1</v>
      </c>
      <c r="J38" s="470">
        <f t="shared" si="5"/>
        <v>90</v>
      </c>
      <c r="K38" s="470">
        <v>1</v>
      </c>
      <c r="L38" s="472">
        <f t="shared" si="6"/>
        <v>11.666666666666666</v>
      </c>
      <c r="M38" s="470">
        <f t="shared" si="4"/>
        <v>700</v>
      </c>
      <c r="N38" s="474"/>
      <c r="O38" s="462">
        <f t="shared" si="7"/>
        <v>0</v>
      </c>
      <c r="P38" s="462">
        <f t="shared" si="8"/>
        <v>0</v>
      </c>
      <c r="Q38" s="462">
        <v>8</v>
      </c>
    </row>
    <row r="39" spans="1:17" x14ac:dyDescent="0.35">
      <c r="A39" s="661"/>
      <c r="B39" s="470" t="s">
        <v>195</v>
      </c>
      <c r="C39" s="661"/>
      <c r="D39" s="470">
        <v>270</v>
      </c>
      <c r="E39" s="470">
        <v>180</v>
      </c>
      <c r="F39" s="470">
        <v>100</v>
      </c>
      <c r="G39" s="470">
        <v>1</v>
      </c>
      <c r="H39" s="470">
        <v>130</v>
      </c>
      <c r="I39" s="470">
        <v>1</v>
      </c>
      <c r="J39" s="470">
        <f t="shared" si="5"/>
        <v>100</v>
      </c>
      <c r="K39" s="470">
        <v>1</v>
      </c>
      <c r="L39" s="472">
        <f t="shared" si="6"/>
        <v>13</v>
      </c>
      <c r="M39" s="470">
        <f t="shared" si="4"/>
        <v>780</v>
      </c>
      <c r="N39" s="474"/>
      <c r="O39" s="462">
        <f t="shared" si="7"/>
        <v>0</v>
      </c>
      <c r="P39" s="462">
        <f t="shared" si="8"/>
        <v>0</v>
      </c>
      <c r="Q39" s="462">
        <v>8</v>
      </c>
    </row>
    <row r="40" spans="1:17" x14ac:dyDescent="0.35">
      <c r="A40" s="661"/>
      <c r="B40" s="470" t="s">
        <v>1406</v>
      </c>
      <c r="C40" s="661"/>
      <c r="D40" s="470">
        <v>300</v>
      </c>
      <c r="E40" s="470">
        <v>210</v>
      </c>
      <c r="F40" s="470">
        <v>120</v>
      </c>
      <c r="G40" s="470">
        <v>1</v>
      </c>
      <c r="H40" s="470">
        <v>145</v>
      </c>
      <c r="I40" s="470">
        <v>1</v>
      </c>
      <c r="J40" s="470">
        <f t="shared" si="5"/>
        <v>120</v>
      </c>
      <c r="K40" s="470">
        <v>1</v>
      </c>
      <c r="L40" s="472">
        <f t="shared" si="6"/>
        <v>14.916666666666666</v>
      </c>
      <c r="M40" s="470">
        <f t="shared" si="4"/>
        <v>895</v>
      </c>
      <c r="N40" s="474"/>
      <c r="O40" s="462">
        <f t="shared" si="7"/>
        <v>0</v>
      </c>
      <c r="P40" s="462">
        <f t="shared" si="8"/>
        <v>0</v>
      </c>
      <c r="Q40" s="462">
        <v>8</v>
      </c>
    </row>
    <row r="41" spans="1:17" x14ac:dyDescent="0.35">
      <c r="A41" s="661"/>
      <c r="B41" s="470" t="s">
        <v>1407</v>
      </c>
      <c r="C41" s="661"/>
      <c r="D41" s="470">
        <v>330</v>
      </c>
      <c r="E41" s="470">
        <v>225</v>
      </c>
      <c r="F41" s="470">
        <v>140</v>
      </c>
      <c r="G41" s="470">
        <v>1</v>
      </c>
      <c r="H41" s="470">
        <v>160</v>
      </c>
      <c r="I41" s="470">
        <v>1</v>
      </c>
      <c r="J41" s="470">
        <f t="shared" si="5"/>
        <v>140</v>
      </c>
      <c r="K41" s="470">
        <v>1</v>
      </c>
      <c r="L41" s="472">
        <f t="shared" si="6"/>
        <v>16.583333333333332</v>
      </c>
      <c r="M41" s="470">
        <f t="shared" si="4"/>
        <v>995</v>
      </c>
      <c r="N41" s="474"/>
      <c r="O41" s="462">
        <f t="shared" si="7"/>
        <v>0</v>
      </c>
      <c r="P41" s="462">
        <f t="shared" si="8"/>
        <v>0</v>
      </c>
      <c r="Q41" s="462">
        <v>8</v>
      </c>
    </row>
    <row r="42" spans="1:17" x14ac:dyDescent="0.35">
      <c r="A42" s="661"/>
      <c r="B42" s="470" t="s">
        <v>1408</v>
      </c>
      <c r="C42" s="661"/>
      <c r="D42" s="470">
        <v>395</v>
      </c>
      <c r="E42" s="470">
        <v>250</v>
      </c>
      <c r="F42" s="470">
        <v>180</v>
      </c>
      <c r="G42" s="470">
        <v>1</v>
      </c>
      <c r="H42" s="470">
        <v>200</v>
      </c>
      <c r="I42" s="470">
        <v>1</v>
      </c>
      <c r="J42" s="470">
        <f t="shared" si="5"/>
        <v>180</v>
      </c>
      <c r="K42" s="470">
        <v>1</v>
      </c>
      <c r="L42" s="472">
        <f t="shared" si="6"/>
        <v>20.083333333333332</v>
      </c>
      <c r="M42" s="470">
        <f t="shared" si="4"/>
        <v>1205</v>
      </c>
      <c r="N42" s="474"/>
      <c r="O42" s="462">
        <f t="shared" si="7"/>
        <v>0</v>
      </c>
      <c r="P42" s="462">
        <f t="shared" si="8"/>
        <v>0</v>
      </c>
      <c r="Q42" s="462">
        <v>8</v>
      </c>
    </row>
    <row r="43" spans="1:17" x14ac:dyDescent="0.35">
      <c r="A43" s="661"/>
      <c r="B43" s="470" t="s">
        <v>1409</v>
      </c>
      <c r="C43" s="661"/>
      <c r="D43" s="470">
        <v>415</v>
      </c>
      <c r="E43" s="470">
        <v>280</v>
      </c>
      <c r="F43" s="470">
        <v>210</v>
      </c>
      <c r="G43" s="470">
        <v>1</v>
      </c>
      <c r="H43" s="470">
        <v>230</v>
      </c>
      <c r="I43" s="470">
        <v>1</v>
      </c>
      <c r="J43" s="470">
        <f t="shared" si="5"/>
        <v>210</v>
      </c>
      <c r="K43" s="470">
        <v>1</v>
      </c>
      <c r="L43" s="472">
        <f t="shared" si="6"/>
        <v>22.416666666666668</v>
      </c>
      <c r="M43" s="470">
        <f t="shared" si="4"/>
        <v>1345</v>
      </c>
      <c r="N43" s="474"/>
      <c r="O43" s="462">
        <f t="shared" si="7"/>
        <v>0</v>
      </c>
      <c r="P43" s="462">
        <f t="shared" si="8"/>
        <v>0</v>
      </c>
      <c r="Q43" s="462">
        <v>8</v>
      </c>
    </row>
    <row r="45" spans="1:17" ht="18.5" x14ac:dyDescent="0.35">
      <c r="D45" s="671" t="s">
        <v>1385</v>
      </c>
      <c r="E45" s="671"/>
      <c r="F45" s="671"/>
      <c r="G45" s="671"/>
      <c r="H45" s="671"/>
      <c r="I45" s="671"/>
      <c r="J45" s="671"/>
      <c r="K45" s="671"/>
      <c r="L45" s="464"/>
    </row>
    <row r="46" spans="1:17" ht="18.5" x14ac:dyDescent="0.35">
      <c r="D46" s="671"/>
      <c r="E46" s="671"/>
      <c r="F46" s="671"/>
      <c r="G46" s="671"/>
      <c r="H46" s="671"/>
      <c r="I46" s="671"/>
      <c r="J46" s="671"/>
      <c r="K46" s="671"/>
      <c r="L46" s="464"/>
    </row>
    <row r="47" spans="1:17" ht="18.5" x14ac:dyDescent="0.45">
      <c r="A47" s="672" t="s">
        <v>1386</v>
      </c>
      <c r="B47" s="672" t="s">
        <v>1387</v>
      </c>
      <c r="C47" s="672" t="s">
        <v>1388</v>
      </c>
      <c r="D47" s="672" t="s">
        <v>1389</v>
      </c>
      <c r="E47" s="672" t="s">
        <v>1390</v>
      </c>
      <c r="F47" s="673" t="s">
        <v>1391</v>
      </c>
      <c r="G47" s="673"/>
      <c r="H47" s="673"/>
      <c r="I47" s="673"/>
      <c r="J47" s="673"/>
      <c r="K47" s="673"/>
      <c r="L47" s="669" t="s">
        <v>1392</v>
      </c>
      <c r="M47" s="670" t="s">
        <v>1393</v>
      </c>
      <c r="N47" s="659" t="s">
        <v>1394</v>
      </c>
      <c r="O47" s="462" t="s">
        <v>1395</v>
      </c>
      <c r="P47" s="462" t="s">
        <v>1395</v>
      </c>
    </row>
    <row r="48" spans="1:17" x14ac:dyDescent="0.35">
      <c r="A48" s="672"/>
      <c r="B48" s="672"/>
      <c r="C48" s="672"/>
      <c r="D48" s="672"/>
      <c r="E48" s="672"/>
      <c r="F48" s="476" t="s">
        <v>1396</v>
      </c>
      <c r="G48" s="476" t="s">
        <v>1397</v>
      </c>
      <c r="H48" s="476" t="s">
        <v>1398</v>
      </c>
      <c r="I48" s="476" t="s">
        <v>1397</v>
      </c>
      <c r="J48" s="476" t="s">
        <v>1399</v>
      </c>
      <c r="K48" s="476" t="s">
        <v>1397</v>
      </c>
      <c r="L48" s="669"/>
      <c r="M48" s="670"/>
      <c r="N48" s="660"/>
      <c r="O48" s="462" t="s">
        <v>1400</v>
      </c>
      <c r="P48" s="462" t="s">
        <v>1401</v>
      </c>
    </row>
    <row r="49" spans="1:16" x14ac:dyDescent="0.35">
      <c r="A49" s="661" t="s">
        <v>1410</v>
      </c>
      <c r="B49" s="470" t="s">
        <v>1403</v>
      </c>
      <c r="C49" s="661">
        <v>150</v>
      </c>
      <c r="D49" s="470">
        <v>20</v>
      </c>
      <c r="E49" s="470">
        <v>20</v>
      </c>
      <c r="F49" s="470">
        <v>5</v>
      </c>
      <c r="G49" s="470">
        <v>1</v>
      </c>
      <c r="H49" s="470">
        <v>10</v>
      </c>
      <c r="I49" s="470">
        <v>1</v>
      </c>
      <c r="J49" s="470">
        <f>F49</f>
        <v>5</v>
      </c>
      <c r="K49" s="470">
        <v>1</v>
      </c>
      <c r="L49" s="472">
        <f>M49/60</f>
        <v>1</v>
      </c>
      <c r="M49" s="470">
        <f t="shared" ref="M49:M66" si="9">D49+E49+F49+H49+J49</f>
        <v>60</v>
      </c>
      <c r="N49" s="474"/>
      <c r="O49" s="462">
        <f>N49*L49</f>
        <v>0</v>
      </c>
      <c r="P49" s="462">
        <f>O49/8</f>
        <v>0</v>
      </c>
    </row>
    <row r="50" spans="1:16" x14ac:dyDescent="0.35">
      <c r="A50" s="661"/>
      <c r="B50" s="470" t="s">
        <v>1404</v>
      </c>
      <c r="C50" s="661"/>
      <c r="D50" s="470">
        <v>25</v>
      </c>
      <c r="E50" s="470">
        <v>35</v>
      </c>
      <c r="F50" s="470">
        <v>10</v>
      </c>
      <c r="G50" s="470">
        <v>1</v>
      </c>
      <c r="H50" s="470">
        <v>15</v>
      </c>
      <c r="I50" s="470">
        <v>1</v>
      </c>
      <c r="J50" s="470">
        <f t="shared" ref="J50:J66" si="10">F50</f>
        <v>10</v>
      </c>
      <c r="K50" s="470">
        <v>1</v>
      </c>
      <c r="L50" s="472">
        <f t="shared" ref="L50:L66" si="11">M50/60</f>
        <v>1.5833333333333333</v>
      </c>
      <c r="M50" s="470">
        <f t="shared" si="9"/>
        <v>95</v>
      </c>
      <c r="N50" s="474"/>
      <c r="O50" s="462">
        <f t="shared" ref="O50:O66" si="12">N50*L50</f>
        <v>0</v>
      </c>
      <c r="P50" s="462">
        <f t="shared" ref="P50:P66" si="13">O50/8</f>
        <v>0</v>
      </c>
    </row>
    <row r="51" spans="1:16" x14ac:dyDescent="0.35">
      <c r="A51" s="661"/>
      <c r="B51" s="470" t="s">
        <v>86</v>
      </c>
      <c r="C51" s="661"/>
      <c r="D51" s="470">
        <v>30</v>
      </c>
      <c r="E51" s="470">
        <v>45</v>
      </c>
      <c r="F51" s="470">
        <v>15</v>
      </c>
      <c r="G51" s="470">
        <v>1</v>
      </c>
      <c r="H51" s="470">
        <v>20</v>
      </c>
      <c r="I51" s="470">
        <v>1</v>
      </c>
      <c r="J51" s="470">
        <f t="shared" si="10"/>
        <v>15</v>
      </c>
      <c r="K51" s="470">
        <v>1</v>
      </c>
      <c r="L51" s="472">
        <f t="shared" si="11"/>
        <v>2.0833333333333335</v>
      </c>
      <c r="M51" s="470">
        <f t="shared" si="9"/>
        <v>125</v>
      </c>
      <c r="N51" s="474"/>
      <c r="O51" s="462">
        <f t="shared" si="12"/>
        <v>0</v>
      </c>
      <c r="P51" s="462">
        <f t="shared" si="13"/>
        <v>0</v>
      </c>
    </row>
    <row r="52" spans="1:16" x14ac:dyDescent="0.35">
      <c r="A52" s="661"/>
      <c r="B52" s="470" t="s">
        <v>85</v>
      </c>
      <c r="C52" s="661"/>
      <c r="D52" s="470">
        <v>35</v>
      </c>
      <c r="E52" s="470">
        <v>60</v>
      </c>
      <c r="F52" s="470">
        <v>20</v>
      </c>
      <c r="G52" s="470">
        <v>1</v>
      </c>
      <c r="H52" s="470">
        <v>25</v>
      </c>
      <c r="I52" s="470">
        <v>1</v>
      </c>
      <c r="J52" s="470">
        <v>20</v>
      </c>
      <c r="K52" s="470">
        <v>1</v>
      </c>
      <c r="L52" s="472">
        <f t="shared" si="11"/>
        <v>2.6666666666666665</v>
      </c>
      <c r="M52" s="470">
        <f t="shared" si="9"/>
        <v>160</v>
      </c>
      <c r="N52" s="474"/>
      <c r="O52" s="462">
        <f t="shared" si="12"/>
        <v>0</v>
      </c>
      <c r="P52" s="462">
        <f t="shared" si="13"/>
        <v>0</v>
      </c>
    </row>
    <row r="53" spans="1:16" x14ac:dyDescent="0.35">
      <c r="A53" s="661"/>
      <c r="B53" s="470" t="s">
        <v>84</v>
      </c>
      <c r="C53" s="661"/>
      <c r="D53" s="470">
        <v>40</v>
      </c>
      <c r="E53" s="470">
        <v>80</v>
      </c>
      <c r="F53" s="470">
        <v>30</v>
      </c>
      <c r="G53" s="470">
        <v>1</v>
      </c>
      <c r="H53" s="470">
        <v>35</v>
      </c>
      <c r="I53" s="470">
        <v>1</v>
      </c>
      <c r="J53" s="470">
        <f t="shared" si="10"/>
        <v>30</v>
      </c>
      <c r="K53" s="470">
        <v>1</v>
      </c>
      <c r="L53" s="472">
        <f t="shared" si="11"/>
        <v>3.5833333333333335</v>
      </c>
      <c r="M53" s="470">
        <f t="shared" si="9"/>
        <v>215</v>
      </c>
      <c r="N53" s="474"/>
      <c r="O53" s="462">
        <f t="shared" si="12"/>
        <v>0</v>
      </c>
      <c r="P53" s="462">
        <f t="shared" si="13"/>
        <v>0</v>
      </c>
    </row>
    <row r="54" spans="1:16" x14ac:dyDescent="0.35">
      <c r="A54" s="661"/>
      <c r="B54" s="470" t="s">
        <v>82</v>
      </c>
      <c r="C54" s="661"/>
      <c r="D54" s="470">
        <v>45</v>
      </c>
      <c r="E54" s="470">
        <v>95</v>
      </c>
      <c r="F54" s="470">
        <v>40</v>
      </c>
      <c r="G54" s="470">
        <v>1</v>
      </c>
      <c r="H54" s="470">
        <v>45</v>
      </c>
      <c r="I54" s="470">
        <v>1</v>
      </c>
      <c r="J54" s="470">
        <f t="shared" si="10"/>
        <v>40</v>
      </c>
      <c r="K54" s="470">
        <v>1</v>
      </c>
      <c r="L54" s="472">
        <f t="shared" si="11"/>
        <v>4.416666666666667</v>
      </c>
      <c r="M54" s="470">
        <f t="shared" si="9"/>
        <v>265</v>
      </c>
      <c r="N54" s="474"/>
      <c r="O54" s="462">
        <f t="shared" si="12"/>
        <v>0</v>
      </c>
      <c r="P54" s="462">
        <f t="shared" si="13"/>
        <v>0</v>
      </c>
    </row>
    <row r="55" spans="1:16" x14ac:dyDescent="0.35">
      <c r="A55" s="661"/>
      <c r="B55" s="470" t="s">
        <v>120</v>
      </c>
      <c r="C55" s="661"/>
      <c r="D55" s="470">
        <v>50</v>
      </c>
      <c r="E55" s="470">
        <v>115</v>
      </c>
      <c r="F55" s="470">
        <v>50</v>
      </c>
      <c r="G55" s="470">
        <v>1</v>
      </c>
      <c r="H55" s="470">
        <v>55</v>
      </c>
      <c r="I55" s="470">
        <v>1</v>
      </c>
      <c r="J55" s="470">
        <f t="shared" si="10"/>
        <v>50</v>
      </c>
      <c r="K55" s="470">
        <v>1</v>
      </c>
      <c r="L55" s="472">
        <f t="shared" si="11"/>
        <v>5.333333333333333</v>
      </c>
      <c r="M55" s="470">
        <f t="shared" si="9"/>
        <v>320</v>
      </c>
      <c r="N55" s="474"/>
      <c r="O55" s="462">
        <f t="shared" si="12"/>
        <v>0</v>
      </c>
      <c r="P55" s="462">
        <f t="shared" si="13"/>
        <v>0</v>
      </c>
    </row>
    <row r="56" spans="1:16" x14ac:dyDescent="0.35">
      <c r="A56" s="661"/>
      <c r="B56" s="470" t="s">
        <v>80</v>
      </c>
      <c r="C56" s="661"/>
      <c r="D56" s="470">
        <v>70</v>
      </c>
      <c r="E56" s="470">
        <v>135</v>
      </c>
      <c r="F56" s="470">
        <v>55</v>
      </c>
      <c r="G56" s="470">
        <v>1</v>
      </c>
      <c r="H56" s="470">
        <v>60</v>
      </c>
      <c r="I56" s="470">
        <v>1</v>
      </c>
      <c r="J56" s="470">
        <f t="shared" si="10"/>
        <v>55</v>
      </c>
      <c r="K56" s="470">
        <v>1</v>
      </c>
      <c r="L56" s="472">
        <f t="shared" si="11"/>
        <v>6.25</v>
      </c>
      <c r="M56" s="470">
        <f t="shared" si="9"/>
        <v>375</v>
      </c>
      <c r="N56" s="474"/>
      <c r="O56" s="462">
        <f t="shared" si="12"/>
        <v>0</v>
      </c>
      <c r="P56" s="462">
        <f t="shared" si="13"/>
        <v>0</v>
      </c>
    </row>
    <row r="57" spans="1:16" x14ac:dyDescent="0.35">
      <c r="A57" s="661"/>
      <c r="B57" s="470" t="s">
        <v>119</v>
      </c>
      <c r="C57" s="661"/>
      <c r="D57" s="470">
        <v>90</v>
      </c>
      <c r="E57" s="470">
        <v>160</v>
      </c>
      <c r="F57" s="470">
        <v>65</v>
      </c>
      <c r="G57" s="470">
        <v>1</v>
      </c>
      <c r="H57" s="470">
        <v>75</v>
      </c>
      <c r="I57" s="470">
        <v>1</v>
      </c>
      <c r="J57" s="470">
        <f t="shared" si="10"/>
        <v>65</v>
      </c>
      <c r="K57" s="470">
        <v>1</v>
      </c>
      <c r="L57" s="472">
        <f t="shared" si="11"/>
        <v>7.583333333333333</v>
      </c>
      <c r="M57" s="470">
        <f t="shared" si="9"/>
        <v>455</v>
      </c>
      <c r="N57" s="474"/>
      <c r="O57" s="462">
        <f t="shared" si="12"/>
        <v>0</v>
      </c>
      <c r="P57" s="462">
        <f t="shared" si="13"/>
        <v>0</v>
      </c>
    </row>
    <row r="58" spans="1:16" x14ac:dyDescent="0.35">
      <c r="A58" s="661"/>
      <c r="B58" s="470" t="s">
        <v>179</v>
      </c>
      <c r="C58" s="661"/>
      <c r="D58" s="470">
        <v>105</v>
      </c>
      <c r="E58" s="470">
        <v>175</v>
      </c>
      <c r="F58" s="470">
        <v>75</v>
      </c>
      <c r="G58" s="470">
        <v>1</v>
      </c>
      <c r="H58" s="470">
        <v>85</v>
      </c>
      <c r="I58" s="470">
        <v>1</v>
      </c>
      <c r="J58" s="470">
        <f t="shared" si="10"/>
        <v>75</v>
      </c>
      <c r="K58" s="470">
        <v>1</v>
      </c>
      <c r="L58" s="472">
        <f t="shared" si="11"/>
        <v>8.5833333333333339</v>
      </c>
      <c r="M58" s="470">
        <f t="shared" si="9"/>
        <v>515</v>
      </c>
      <c r="N58" s="474"/>
      <c r="O58" s="462">
        <f t="shared" si="12"/>
        <v>0</v>
      </c>
      <c r="P58" s="462">
        <f t="shared" si="13"/>
        <v>0</v>
      </c>
    </row>
    <row r="59" spans="1:16" x14ac:dyDescent="0.35">
      <c r="A59" s="661"/>
      <c r="B59" s="470" t="s">
        <v>118</v>
      </c>
      <c r="C59" s="661"/>
      <c r="D59" s="470">
        <v>120</v>
      </c>
      <c r="E59" s="470">
        <v>195</v>
      </c>
      <c r="F59" s="470">
        <v>85</v>
      </c>
      <c r="G59" s="470">
        <v>1</v>
      </c>
      <c r="H59" s="470">
        <v>95</v>
      </c>
      <c r="I59" s="470">
        <v>1</v>
      </c>
      <c r="J59" s="470">
        <f t="shared" si="10"/>
        <v>85</v>
      </c>
      <c r="K59" s="470">
        <v>1</v>
      </c>
      <c r="L59" s="472">
        <f t="shared" si="11"/>
        <v>9.6666666666666661</v>
      </c>
      <c r="M59" s="470">
        <f t="shared" si="9"/>
        <v>580</v>
      </c>
      <c r="N59" s="474"/>
      <c r="O59" s="462">
        <f t="shared" si="12"/>
        <v>0</v>
      </c>
      <c r="P59" s="462">
        <f t="shared" si="13"/>
        <v>0</v>
      </c>
    </row>
    <row r="60" spans="1:16" x14ac:dyDescent="0.35">
      <c r="A60" s="661"/>
      <c r="B60" s="470" t="s">
        <v>688</v>
      </c>
      <c r="C60" s="661"/>
      <c r="D60" s="470">
        <v>140</v>
      </c>
      <c r="E60" s="470">
        <v>220</v>
      </c>
      <c r="F60" s="470">
        <v>95</v>
      </c>
      <c r="G60" s="470">
        <v>1</v>
      </c>
      <c r="H60" s="470">
        <v>105</v>
      </c>
      <c r="I60" s="470">
        <v>1</v>
      </c>
      <c r="J60" s="470">
        <f t="shared" si="10"/>
        <v>95</v>
      </c>
      <c r="K60" s="470">
        <v>1</v>
      </c>
      <c r="L60" s="472">
        <f t="shared" si="11"/>
        <v>10.916666666666666</v>
      </c>
      <c r="M60" s="470">
        <f t="shared" si="9"/>
        <v>655</v>
      </c>
      <c r="N60" s="474"/>
      <c r="O60" s="462">
        <f t="shared" si="12"/>
        <v>0</v>
      </c>
      <c r="P60" s="462">
        <f t="shared" si="13"/>
        <v>0</v>
      </c>
    </row>
    <row r="61" spans="1:16" x14ac:dyDescent="0.35">
      <c r="A61" s="661"/>
      <c r="B61" s="470" t="s">
        <v>171</v>
      </c>
      <c r="C61" s="661"/>
      <c r="D61" s="470">
        <v>160</v>
      </c>
      <c r="E61" s="470">
        <v>240</v>
      </c>
      <c r="F61" s="470">
        <v>110</v>
      </c>
      <c r="G61" s="470">
        <v>1</v>
      </c>
      <c r="H61" s="470">
        <v>120</v>
      </c>
      <c r="I61" s="470">
        <v>1</v>
      </c>
      <c r="J61" s="470">
        <f t="shared" si="10"/>
        <v>110</v>
      </c>
      <c r="K61" s="470">
        <v>1</v>
      </c>
      <c r="L61" s="472">
        <f t="shared" si="11"/>
        <v>12.333333333333334</v>
      </c>
      <c r="M61" s="470">
        <f t="shared" si="9"/>
        <v>740</v>
      </c>
      <c r="N61" s="474"/>
      <c r="O61" s="462">
        <f t="shared" si="12"/>
        <v>0</v>
      </c>
      <c r="P61" s="462">
        <f t="shared" si="13"/>
        <v>0</v>
      </c>
    </row>
    <row r="62" spans="1:16" x14ac:dyDescent="0.35">
      <c r="A62" s="661"/>
      <c r="B62" s="470" t="s">
        <v>195</v>
      </c>
      <c r="C62" s="661"/>
      <c r="D62" s="470">
        <v>210</v>
      </c>
      <c r="E62" s="470">
        <v>265</v>
      </c>
      <c r="F62" s="470">
        <v>120</v>
      </c>
      <c r="G62" s="470">
        <v>1</v>
      </c>
      <c r="H62" s="470">
        <v>130</v>
      </c>
      <c r="I62" s="470">
        <v>1</v>
      </c>
      <c r="J62" s="470">
        <f t="shared" si="10"/>
        <v>120</v>
      </c>
      <c r="K62" s="470">
        <v>1</v>
      </c>
      <c r="L62" s="472">
        <f t="shared" si="11"/>
        <v>14.083333333333334</v>
      </c>
      <c r="M62" s="470">
        <f t="shared" si="9"/>
        <v>845</v>
      </c>
      <c r="N62" s="474"/>
      <c r="O62" s="462">
        <f t="shared" si="12"/>
        <v>0</v>
      </c>
      <c r="P62" s="462">
        <f t="shared" si="13"/>
        <v>0</v>
      </c>
    </row>
    <row r="63" spans="1:16" x14ac:dyDescent="0.35">
      <c r="A63" s="661"/>
      <c r="B63" s="470" t="s">
        <v>1406</v>
      </c>
      <c r="C63" s="661"/>
      <c r="D63" s="470">
        <v>240</v>
      </c>
      <c r="E63" s="470">
        <v>280</v>
      </c>
      <c r="F63" s="470">
        <v>135</v>
      </c>
      <c r="G63" s="470">
        <v>1</v>
      </c>
      <c r="H63" s="470">
        <v>145</v>
      </c>
      <c r="I63" s="470">
        <v>1</v>
      </c>
      <c r="J63" s="470">
        <f t="shared" si="10"/>
        <v>135</v>
      </c>
      <c r="K63" s="470">
        <v>1</v>
      </c>
      <c r="L63" s="472">
        <f t="shared" si="11"/>
        <v>15.583333333333334</v>
      </c>
      <c r="M63" s="470">
        <f t="shared" si="9"/>
        <v>935</v>
      </c>
      <c r="N63" s="474"/>
      <c r="O63" s="462">
        <f t="shared" si="12"/>
        <v>0</v>
      </c>
      <c r="P63" s="462">
        <f t="shared" si="13"/>
        <v>0</v>
      </c>
    </row>
    <row r="64" spans="1:16" x14ac:dyDescent="0.35">
      <c r="A64" s="661"/>
      <c r="B64" s="470" t="s">
        <v>1407</v>
      </c>
      <c r="C64" s="661"/>
      <c r="D64" s="470">
        <v>300</v>
      </c>
      <c r="E64" s="470">
        <v>300</v>
      </c>
      <c r="F64" s="470">
        <v>145</v>
      </c>
      <c r="G64" s="470">
        <v>1</v>
      </c>
      <c r="H64" s="470">
        <v>155</v>
      </c>
      <c r="I64" s="470">
        <v>1</v>
      </c>
      <c r="J64" s="470">
        <f t="shared" si="10"/>
        <v>145</v>
      </c>
      <c r="K64" s="470">
        <v>1</v>
      </c>
      <c r="L64" s="472">
        <f t="shared" si="11"/>
        <v>17.416666666666668</v>
      </c>
      <c r="M64" s="470">
        <f t="shared" si="9"/>
        <v>1045</v>
      </c>
      <c r="N64" s="474"/>
      <c r="O64" s="462">
        <f t="shared" si="12"/>
        <v>0</v>
      </c>
      <c r="P64" s="462">
        <f t="shared" si="13"/>
        <v>0</v>
      </c>
    </row>
    <row r="65" spans="1:16" x14ac:dyDescent="0.35">
      <c r="A65" s="661"/>
      <c r="B65" s="470" t="s">
        <v>1408</v>
      </c>
      <c r="C65" s="661"/>
      <c r="D65" s="470">
        <v>315</v>
      </c>
      <c r="E65" s="470">
        <v>325</v>
      </c>
      <c r="F65" s="470">
        <v>155</v>
      </c>
      <c r="G65" s="470">
        <v>1</v>
      </c>
      <c r="H65" s="470">
        <v>165</v>
      </c>
      <c r="I65" s="470">
        <v>1</v>
      </c>
      <c r="J65" s="470">
        <f t="shared" si="10"/>
        <v>155</v>
      </c>
      <c r="K65" s="470">
        <v>1</v>
      </c>
      <c r="L65" s="472">
        <f t="shared" si="11"/>
        <v>18.583333333333332</v>
      </c>
      <c r="M65" s="470">
        <f t="shared" si="9"/>
        <v>1115</v>
      </c>
      <c r="N65" s="474"/>
      <c r="O65" s="462">
        <f t="shared" si="12"/>
        <v>0</v>
      </c>
      <c r="P65" s="462">
        <f t="shared" si="13"/>
        <v>0</v>
      </c>
    </row>
    <row r="66" spans="1:16" x14ac:dyDescent="0.35">
      <c r="A66" s="661"/>
      <c r="B66" s="470" t="s">
        <v>1409</v>
      </c>
      <c r="C66" s="661"/>
      <c r="D66" s="470">
        <v>350</v>
      </c>
      <c r="E66" s="470">
        <v>350</v>
      </c>
      <c r="F66" s="470">
        <v>160</v>
      </c>
      <c r="G66" s="470">
        <v>1</v>
      </c>
      <c r="H66" s="470">
        <v>175</v>
      </c>
      <c r="I66" s="470">
        <v>1</v>
      </c>
      <c r="J66" s="470">
        <f t="shared" si="10"/>
        <v>160</v>
      </c>
      <c r="K66" s="470">
        <v>1</v>
      </c>
      <c r="L66" s="472">
        <f t="shared" si="11"/>
        <v>19.916666666666668</v>
      </c>
      <c r="M66" s="470">
        <f t="shared" si="9"/>
        <v>1195</v>
      </c>
      <c r="N66" s="474"/>
      <c r="O66" s="462">
        <f t="shared" si="12"/>
        <v>0</v>
      </c>
      <c r="P66" s="462">
        <f t="shared" si="13"/>
        <v>0</v>
      </c>
    </row>
    <row r="68" spans="1:16" ht="18.5" x14ac:dyDescent="0.35">
      <c r="B68" s="462">
        <v>6</v>
      </c>
      <c r="C68" s="463">
        <f>B68*D54</f>
        <v>270</v>
      </c>
      <c r="D68" s="662" t="s">
        <v>1385</v>
      </c>
      <c r="E68" s="662"/>
      <c r="F68" s="662"/>
      <c r="G68" s="662"/>
      <c r="H68" s="662"/>
      <c r="I68" s="662"/>
      <c r="J68" s="662"/>
      <c r="K68" s="662"/>
      <c r="L68" s="464"/>
    </row>
    <row r="69" spans="1:16" ht="18.5" x14ac:dyDescent="0.35">
      <c r="A69" s="465"/>
      <c r="B69" s="465">
        <v>60</v>
      </c>
      <c r="C69" s="466">
        <f>C68/B69</f>
        <v>4.5</v>
      </c>
      <c r="D69" s="662"/>
      <c r="E69" s="662"/>
      <c r="F69" s="662"/>
      <c r="G69" s="662"/>
      <c r="H69" s="662"/>
      <c r="I69" s="662"/>
      <c r="J69" s="662"/>
      <c r="K69" s="662"/>
      <c r="L69" s="467"/>
    </row>
    <row r="70" spans="1:16" ht="18.5" x14ac:dyDescent="0.45">
      <c r="A70" s="663" t="s">
        <v>1386</v>
      </c>
      <c r="B70" s="663" t="s">
        <v>1387</v>
      </c>
      <c r="C70" s="663" t="s">
        <v>1388</v>
      </c>
      <c r="D70" s="663" t="s">
        <v>1389</v>
      </c>
      <c r="E70" s="665" t="s">
        <v>1390</v>
      </c>
      <c r="F70" s="666" t="s">
        <v>1391</v>
      </c>
      <c r="G70" s="667"/>
      <c r="H70" s="667"/>
      <c r="I70" s="667"/>
      <c r="J70" s="667"/>
      <c r="K70" s="668"/>
      <c r="L70" s="657" t="s">
        <v>1392</v>
      </c>
      <c r="M70" s="658" t="s">
        <v>1393</v>
      </c>
      <c r="N70" s="659" t="s">
        <v>1394</v>
      </c>
      <c r="O70" s="462" t="s">
        <v>1395</v>
      </c>
      <c r="P70" s="462" t="s">
        <v>1395</v>
      </c>
    </row>
    <row r="71" spans="1:16" x14ac:dyDescent="0.35">
      <c r="A71" s="664"/>
      <c r="B71" s="664"/>
      <c r="C71" s="664"/>
      <c r="D71" s="664"/>
      <c r="E71" s="665"/>
      <c r="F71" s="468" t="s">
        <v>1396</v>
      </c>
      <c r="G71" s="468" t="s">
        <v>1397</v>
      </c>
      <c r="H71" s="468" t="s">
        <v>1398</v>
      </c>
      <c r="I71" s="469" t="s">
        <v>1397</v>
      </c>
      <c r="J71" s="469" t="s">
        <v>1399</v>
      </c>
      <c r="K71" s="469" t="s">
        <v>1397</v>
      </c>
      <c r="L71" s="657"/>
      <c r="M71" s="658"/>
      <c r="N71" s="660"/>
      <c r="O71" s="462" t="s">
        <v>1400</v>
      </c>
      <c r="P71" s="462" t="s">
        <v>1401</v>
      </c>
    </row>
    <row r="72" spans="1:16" x14ac:dyDescent="0.35">
      <c r="A72" s="661" t="s">
        <v>1410</v>
      </c>
      <c r="B72" s="470" t="s">
        <v>1403</v>
      </c>
      <c r="C72" s="661">
        <v>300</v>
      </c>
      <c r="D72" s="470">
        <v>20</v>
      </c>
      <c r="E72" s="470">
        <f>E49+15</f>
        <v>35</v>
      </c>
      <c r="F72" s="470">
        <f>F49+5</f>
        <v>10</v>
      </c>
      <c r="G72" s="470">
        <v>1</v>
      </c>
      <c r="H72" s="470">
        <f>H49+5</f>
        <v>15</v>
      </c>
      <c r="I72" s="470">
        <v>1</v>
      </c>
      <c r="J72" s="470">
        <f>F72</f>
        <v>10</v>
      </c>
      <c r="K72" s="470">
        <v>1</v>
      </c>
      <c r="L72" s="470">
        <f>M72/60</f>
        <v>1.5</v>
      </c>
      <c r="M72" s="470">
        <f t="shared" ref="M72:M89" si="14">D72+E72+F72+H72+J72</f>
        <v>90</v>
      </c>
      <c r="N72" s="474"/>
      <c r="O72" s="462">
        <f>N72*L72</f>
        <v>0</v>
      </c>
      <c r="P72" s="462">
        <f>O72/8</f>
        <v>0</v>
      </c>
    </row>
    <row r="73" spans="1:16" x14ac:dyDescent="0.35">
      <c r="A73" s="661"/>
      <c r="B73" s="470" t="s">
        <v>1404</v>
      </c>
      <c r="C73" s="661"/>
      <c r="D73" s="470">
        <v>25</v>
      </c>
      <c r="E73" s="470">
        <f t="shared" ref="E73:E89" si="15">E50+15</f>
        <v>50</v>
      </c>
      <c r="F73" s="470">
        <f t="shared" ref="F73:F89" si="16">F50+5</f>
        <v>15</v>
      </c>
      <c r="G73" s="470">
        <v>1</v>
      </c>
      <c r="H73" s="470">
        <f t="shared" ref="H73:H89" si="17">H50+5</f>
        <v>20</v>
      </c>
      <c r="I73" s="470">
        <v>1</v>
      </c>
      <c r="J73" s="470">
        <f>F73</f>
        <v>15</v>
      </c>
      <c r="K73" s="470">
        <v>1</v>
      </c>
      <c r="L73" s="472">
        <f t="shared" ref="L73:L89" si="18">M73/60</f>
        <v>2.0833333333333335</v>
      </c>
      <c r="M73" s="470">
        <f t="shared" si="14"/>
        <v>125</v>
      </c>
      <c r="N73" s="474"/>
      <c r="O73" s="462">
        <f t="shared" ref="O73:O89" si="19">N73*L73</f>
        <v>0</v>
      </c>
      <c r="P73" s="462">
        <f t="shared" ref="P73:P89" si="20">O73/8</f>
        <v>0</v>
      </c>
    </row>
    <row r="74" spans="1:16" x14ac:dyDescent="0.35">
      <c r="A74" s="661"/>
      <c r="B74" s="470" t="s">
        <v>1411</v>
      </c>
      <c r="C74" s="661"/>
      <c r="D74" s="470">
        <v>30</v>
      </c>
      <c r="E74" s="470">
        <f t="shared" si="15"/>
        <v>60</v>
      </c>
      <c r="F74" s="470">
        <f t="shared" si="16"/>
        <v>20</v>
      </c>
      <c r="G74" s="470">
        <v>1</v>
      </c>
      <c r="H74" s="470">
        <f t="shared" si="17"/>
        <v>25</v>
      </c>
      <c r="I74" s="470">
        <v>1</v>
      </c>
      <c r="J74" s="470">
        <f>F74</f>
        <v>20</v>
      </c>
      <c r="K74" s="470">
        <v>1</v>
      </c>
      <c r="L74" s="472">
        <f t="shared" si="18"/>
        <v>2.5833333333333335</v>
      </c>
      <c r="M74" s="470">
        <f t="shared" si="14"/>
        <v>155</v>
      </c>
      <c r="N74" s="474"/>
      <c r="O74" s="462">
        <f t="shared" si="19"/>
        <v>0</v>
      </c>
      <c r="P74" s="462">
        <f t="shared" si="20"/>
        <v>0</v>
      </c>
    </row>
    <row r="75" spans="1:16" x14ac:dyDescent="0.35">
      <c r="A75" s="661"/>
      <c r="B75" s="470" t="s">
        <v>85</v>
      </c>
      <c r="C75" s="661"/>
      <c r="D75" s="470">
        <v>40</v>
      </c>
      <c r="E75" s="470">
        <f t="shared" si="15"/>
        <v>75</v>
      </c>
      <c r="F75" s="470">
        <f t="shared" si="16"/>
        <v>25</v>
      </c>
      <c r="G75" s="470">
        <v>1</v>
      </c>
      <c r="H75" s="470">
        <f t="shared" si="17"/>
        <v>30</v>
      </c>
      <c r="I75" s="470">
        <v>1</v>
      </c>
      <c r="J75" s="470">
        <v>25</v>
      </c>
      <c r="K75" s="470">
        <v>1</v>
      </c>
      <c r="L75" s="472">
        <f t="shared" si="18"/>
        <v>3.25</v>
      </c>
      <c r="M75" s="470">
        <f t="shared" si="14"/>
        <v>195</v>
      </c>
      <c r="N75" s="474"/>
      <c r="O75" s="462">
        <f t="shared" si="19"/>
        <v>0</v>
      </c>
      <c r="P75" s="462">
        <f t="shared" si="20"/>
        <v>0</v>
      </c>
    </row>
    <row r="76" spans="1:16" x14ac:dyDescent="0.35">
      <c r="A76" s="661"/>
      <c r="B76" s="470" t="s">
        <v>84</v>
      </c>
      <c r="C76" s="661"/>
      <c r="D76" s="470">
        <v>45</v>
      </c>
      <c r="E76" s="470">
        <f t="shared" si="15"/>
        <v>95</v>
      </c>
      <c r="F76" s="470">
        <f t="shared" si="16"/>
        <v>35</v>
      </c>
      <c r="G76" s="470">
        <v>1</v>
      </c>
      <c r="H76" s="470">
        <f t="shared" si="17"/>
        <v>40</v>
      </c>
      <c r="I76" s="470">
        <v>1</v>
      </c>
      <c r="J76" s="470">
        <f t="shared" ref="J76:J89" si="21">F76</f>
        <v>35</v>
      </c>
      <c r="K76" s="470">
        <v>1</v>
      </c>
      <c r="L76" s="472">
        <f t="shared" si="18"/>
        <v>4.166666666666667</v>
      </c>
      <c r="M76" s="470">
        <f t="shared" si="14"/>
        <v>250</v>
      </c>
      <c r="N76" s="474"/>
      <c r="O76" s="462">
        <f t="shared" si="19"/>
        <v>0</v>
      </c>
      <c r="P76" s="462">
        <f t="shared" si="20"/>
        <v>0</v>
      </c>
    </row>
    <row r="77" spans="1:16" x14ac:dyDescent="0.35">
      <c r="A77" s="661"/>
      <c r="B77" s="470" t="s">
        <v>82</v>
      </c>
      <c r="C77" s="661"/>
      <c r="D77" s="470">
        <v>50</v>
      </c>
      <c r="E77" s="470">
        <f t="shared" si="15"/>
        <v>110</v>
      </c>
      <c r="F77" s="470">
        <f t="shared" si="16"/>
        <v>45</v>
      </c>
      <c r="G77" s="470">
        <v>1</v>
      </c>
      <c r="H77" s="470">
        <f t="shared" si="17"/>
        <v>50</v>
      </c>
      <c r="I77" s="470">
        <v>1</v>
      </c>
      <c r="J77" s="470">
        <f t="shared" si="21"/>
        <v>45</v>
      </c>
      <c r="K77" s="470">
        <v>1</v>
      </c>
      <c r="L77" s="472">
        <f t="shared" si="18"/>
        <v>5</v>
      </c>
      <c r="M77" s="470">
        <f t="shared" si="14"/>
        <v>300</v>
      </c>
      <c r="N77" s="474"/>
      <c r="O77" s="462">
        <f t="shared" si="19"/>
        <v>0</v>
      </c>
      <c r="P77" s="462">
        <f t="shared" si="20"/>
        <v>0</v>
      </c>
    </row>
    <row r="78" spans="1:16" x14ac:dyDescent="0.35">
      <c r="A78" s="661"/>
      <c r="B78" s="470" t="s">
        <v>120</v>
      </c>
      <c r="C78" s="661"/>
      <c r="D78" s="470">
        <v>55</v>
      </c>
      <c r="E78" s="470">
        <f t="shared" si="15"/>
        <v>130</v>
      </c>
      <c r="F78" s="470">
        <f t="shared" si="16"/>
        <v>55</v>
      </c>
      <c r="G78" s="470">
        <v>1</v>
      </c>
      <c r="H78" s="470">
        <f t="shared" si="17"/>
        <v>60</v>
      </c>
      <c r="I78" s="470">
        <v>1</v>
      </c>
      <c r="J78" s="470">
        <f t="shared" si="21"/>
        <v>55</v>
      </c>
      <c r="K78" s="470">
        <v>1</v>
      </c>
      <c r="L78" s="472">
        <f t="shared" si="18"/>
        <v>5.916666666666667</v>
      </c>
      <c r="M78" s="470">
        <f t="shared" si="14"/>
        <v>355</v>
      </c>
      <c r="N78" s="474"/>
      <c r="O78" s="462">
        <f t="shared" si="19"/>
        <v>0</v>
      </c>
      <c r="P78" s="462">
        <f t="shared" si="20"/>
        <v>0</v>
      </c>
    </row>
    <row r="79" spans="1:16" x14ac:dyDescent="0.35">
      <c r="A79" s="661"/>
      <c r="B79" s="470" t="s">
        <v>80</v>
      </c>
      <c r="C79" s="661"/>
      <c r="D79" s="470">
        <v>85</v>
      </c>
      <c r="E79" s="470">
        <f t="shared" si="15"/>
        <v>150</v>
      </c>
      <c r="F79" s="470">
        <f t="shared" si="16"/>
        <v>60</v>
      </c>
      <c r="G79" s="470">
        <v>1</v>
      </c>
      <c r="H79" s="470">
        <f t="shared" si="17"/>
        <v>65</v>
      </c>
      <c r="I79" s="470">
        <v>1</v>
      </c>
      <c r="J79" s="470">
        <f t="shared" si="21"/>
        <v>60</v>
      </c>
      <c r="K79" s="470">
        <v>1</v>
      </c>
      <c r="L79" s="472">
        <f t="shared" si="18"/>
        <v>7</v>
      </c>
      <c r="M79" s="470">
        <f t="shared" si="14"/>
        <v>420</v>
      </c>
      <c r="N79" s="474"/>
      <c r="O79" s="462">
        <f t="shared" si="19"/>
        <v>0</v>
      </c>
      <c r="P79" s="462">
        <f t="shared" si="20"/>
        <v>0</v>
      </c>
    </row>
    <row r="80" spans="1:16" x14ac:dyDescent="0.35">
      <c r="A80" s="661"/>
      <c r="B80" s="470" t="s">
        <v>119</v>
      </c>
      <c r="C80" s="661"/>
      <c r="D80" s="470">
        <v>105</v>
      </c>
      <c r="E80" s="470">
        <f t="shared" si="15"/>
        <v>175</v>
      </c>
      <c r="F80" s="470">
        <f t="shared" si="16"/>
        <v>70</v>
      </c>
      <c r="G80" s="470">
        <v>1</v>
      </c>
      <c r="H80" s="470">
        <f t="shared" si="17"/>
        <v>80</v>
      </c>
      <c r="I80" s="470">
        <v>1</v>
      </c>
      <c r="J80" s="470">
        <f t="shared" si="21"/>
        <v>70</v>
      </c>
      <c r="K80" s="470">
        <v>1</v>
      </c>
      <c r="L80" s="472">
        <f t="shared" si="18"/>
        <v>8.3333333333333339</v>
      </c>
      <c r="M80" s="470">
        <f t="shared" si="14"/>
        <v>500</v>
      </c>
      <c r="N80" s="474"/>
      <c r="O80" s="462">
        <f t="shared" si="19"/>
        <v>0</v>
      </c>
      <c r="P80" s="462">
        <f t="shared" si="20"/>
        <v>0</v>
      </c>
    </row>
    <row r="81" spans="1:16" x14ac:dyDescent="0.35">
      <c r="A81" s="661"/>
      <c r="B81" s="470" t="s">
        <v>179</v>
      </c>
      <c r="C81" s="661"/>
      <c r="D81" s="470">
        <v>130</v>
      </c>
      <c r="E81" s="470">
        <f t="shared" si="15"/>
        <v>190</v>
      </c>
      <c r="F81" s="470">
        <f t="shared" si="16"/>
        <v>80</v>
      </c>
      <c r="G81" s="470">
        <v>1</v>
      </c>
      <c r="H81" s="470">
        <f t="shared" si="17"/>
        <v>90</v>
      </c>
      <c r="I81" s="470">
        <v>1</v>
      </c>
      <c r="J81" s="470">
        <f t="shared" si="21"/>
        <v>80</v>
      </c>
      <c r="K81" s="470">
        <v>1</v>
      </c>
      <c r="L81" s="472">
        <f t="shared" si="18"/>
        <v>9.5</v>
      </c>
      <c r="M81" s="470">
        <f t="shared" si="14"/>
        <v>570</v>
      </c>
      <c r="N81" s="474"/>
      <c r="O81" s="462">
        <f t="shared" si="19"/>
        <v>0</v>
      </c>
      <c r="P81" s="462">
        <f t="shared" si="20"/>
        <v>0</v>
      </c>
    </row>
    <row r="82" spans="1:16" x14ac:dyDescent="0.35">
      <c r="A82" s="661"/>
      <c r="B82" s="470" t="s">
        <v>118</v>
      </c>
      <c r="C82" s="661"/>
      <c r="D82" s="470">
        <v>140</v>
      </c>
      <c r="E82" s="470">
        <f t="shared" si="15"/>
        <v>210</v>
      </c>
      <c r="F82" s="470">
        <f t="shared" si="16"/>
        <v>90</v>
      </c>
      <c r="G82" s="470">
        <v>1</v>
      </c>
      <c r="H82" s="470">
        <f t="shared" si="17"/>
        <v>100</v>
      </c>
      <c r="I82" s="470">
        <v>1</v>
      </c>
      <c r="J82" s="470">
        <f t="shared" si="21"/>
        <v>90</v>
      </c>
      <c r="K82" s="470">
        <v>1</v>
      </c>
      <c r="L82" s="472">
        <f t="shared" si="18"/>
        <v>10.5</v>
      </c>
      <c r="M82" s="470">
        <f t="shared" si="14"/>
        <v>630</v>
      </c>
      <c r="N82" s="474"/>
      <c r="O82" s="462">
        <f t="shared" si="19"/>
        <v>0</v>
      </c>
      <c r="P82" s="462">
        <f t="shared" si="20"/>
        <v>0</v>
      </c>
    </row>
    <row r="83" spans="1:16" x14ac:dyDescent="0.35">
      <c r="A83" s="661"/>
      <c r="B83" s="470" t="s">
        <v>688</v>
      </c>
      <c r="C83" s="661"/>
      <c r="D83" s="470">
        <v>160</v>
      </c>
      <c r="E83" s="470">
        <f t="shared" si="15"/>
        <v>235</v>
      </c>
      <c r="F83" s="470">
        <f t="shared" si="16"/>
        <v>100</v>
      </c>
      <c r="G83" s="470">
        <v>1</v>
      </c>
      <c r="H83" s="470">
        <f t="shared" si="17"/>
        <v>110</v>
      </c>
      <c r="I83" s="470">
        <v>1</v>
      </c>
      <c r="J83" s="470">
        <f t="shared" si="21"/>
        <v>100</v>
      </c>
      <c r="K83" s="470">
        <v>1</v>
      </c>
      <c r="L83" s="472">
        <f t="shared" si="18"/>
        <v>11.75</v>
      </c>
      <c r="M83" s="470">
        <f t="shared" si="14"/>
        <v>705</v>
      </c>
      <c r="N83" s="474"/>
      <c r="O83" s="462">
        <f t="shared" si="19"/>
        <v>0</v>
      </c>
      <c r="P83" s="462">
        <f t="shared" si="20"/>
        <v>0</v>
      </c>
    </row>
    <row r="84" spans="1:16" x14ac:dyDescent="0.35">
      <c r="A84" s="661"/>
      <c r="B84" s="470" t="s">
        <v>171</v>
      </c>
      <c r="C84" s="661"/>
      <c r="D84" s="470">
        <v>190</v>
      </c>
      <c r="E84" s="470">
        <f t="shared" si="15"/>
        <v>255</v>
      </c>
      <c r="F84" s="470">
        <f t="shared" si="16"/>
        <v>115</v>
      </c>
      <c r="G84" s="470">
        <v>1</v>
      </c>
      <c r="H84" s="470">
        <f t="shared" si="17"/>
        <v>125</v>
      </c>
      <c r="I84" s="470">
        <v>1</v>
      </c>
      <c r="J84" s="470">
        <f t="shared" si="21"/>
        <v>115</v>
      </c>
      <c r="K84" s="470">
        <v>1</v>
      </c>
      <c r="L84" s="472">
        <f t="shared" si="18"/>
        <v>13.333333333333334</v>
      </c>
      <c r="M84" s="470">
        <f t="shared" si="14"/>
        <v>800</v>
      </c>
      <c r="N84" s="474"/>
      <c r="O84" s="462">
        <f t="shared" si="19"/>
        <v>0</v>
      </c>
      <c r="P84" s="462">
        <f t="shared" si="20"/>
        <v>0</v>
      </c>
    </row>
    <row r="85" spans="1:16" x14ac:dyDescent="0.35">
      <c r="A85" s="661"/>
      <c r="B85" s="470" t="s">
        <v>195</v>
      </c>
      <c r="C85" s="661"/>
      <c r="D85" s="470">
        <v>250</v>
      </c>
      <c r="E85" s="470">
        <f t="shared" si="15"/>
        <v>280</v>
      </c>
      <c r="F85" s="470">
        <f t="shared" si="16"/>
        <v>125</v>
      </c>
      <c r="G85" s="470">
        <v>1</v>
      </c>
      <c r="H85" s="470">
        <f t="shared" si="17"/>
        <v>135</v>
      </c>
      <c r="I85" s="470">
        <v>1</v>
      </c>
      <c r="J85" s="470">
        <f t="shared" si="21"/>
        <v>125</v>
      </c>
      <c r="K85" s="470">
        <v>1</v>
      </c>
      <c r="L85" s="472">
        <f t="shared" si="18"/>
        <v>15.25</v>
      </c>
      <c r="M85" s="470">
        <f t="shared" si="14"/>
        <v>915</v>
      </c>
      <c r="N85" s="474"/>
      <c r="O85" s="462">
        <f t="shared" si="19"/>
        <v>0</v>
      </c>
      <c r="P85" s="462">
        <f t="shared" si="20"/>
        <v>0</v>
      </c>
    </row>
    <row r="86" spans="1:16" x14ac:dyDescent="0.35">
      <c r="A86" s="661"/>
      <c r="B86" s="470" t="s">
        <v>1406</v>
      </c>
      <c r="C86" s="661"/>
      <c r="D86" s="470">
        <v>300</v>
      </c>
      <c r="E86" s="470">
        <f t="shared" si="15"/>
        <v>295</v>
      </c>
      <c r="F86" s="470">
        <f t="shared" si="16"/>
        <v>140</v>
      </c>
      <c r="G86" s="470">
        <v>1</v>
      </c>
      <c r="H86" s="470">
        <f t="shared" si="17"/>
        <v>150</v>
      </c>
      <c r="I86" s="470">
        <v>1</v>
      </c>
      <c r="J86" s="470">
        <f t="shared" si="21"/>
        <v>140</v>
      </c>
      <c r="K86" s="470">
        <v>1</v>
      </c>
      <c r="L86" s="472">
        <f t="shared" si="18"/>
        <v>17.083333333333332</v>
      </c>
      <c r="M86" s="470">
        <f t="shared" si="14"/>
        <v>1025</v>
      </c>
      <c r="N86" s="474"/>
      <c r="O86" s="462">
        <f t="shared" si="19"/>
        <v>0</v>
      </c>
      <c r="P86" s="462">
        <f t="shared" si="20"/>
        <v>0</v>
      </c>
    </row>
    <row r="87" spans="1:16" x14ac:dyDescent="0.35">
      <c r="A87" s="661"/>
      <c r="B87" s="470" t="s">
        <v>1407</v>
      </c>
      <c r="C87" s="661"/>
      <c r="D87" s="470">
        <v>320</v>
      </c>
      <c r="E87" s="470">
        <f t="shared" si="15"/>
        <v>315</v>
      </c>
      <c r="F87" s="470">
        <f t="shared" si="16"/>
        <v>150</v>
      </c>
      <c r="G87" s="470">
        <v>1</v>
      </c>
      <c r="H87" s="470">
        <f t="shared" si="17"/>
        <v>160</v>
      </c>
      <c r="I87" s="470">
        <v>1</v>
      </c>
      <c r="J87" s="470">
        <f t="shared" si="21"/>
        <v>150</v>
      </c>
      <c r="K87" s="470">
        <v>1</v>
      </c>
      <c r="L87" s="472">
        <f t="shared" si="18"/>
        <v>18.25</v>
      </c>
      <c r="M87" s="470">
        <f t="shared" si="14"/>
        <v>1095</v>
      </c>
      <c r="N87" s="474"/>
      <c r="O87" s="462">
        <f t="shared" si="19"/>
        <v>0</v>
      </c>
      <c r="P87" s="462">
        <f t="shared" si="20"/>
        <v>0</v>
      </c>
    </row>
    <row r="88" spans="1:16" x14ac:dyDescent="0.35">
      <c r="A88" s="661"/>
      <c r="B88" s="470" t="s">
        <v>1408</v>
      </c>
      <c r="C88" s="661"/>
      <c r="D88" s="470">
        <v>340</v>
      </c>
      <c r="E88" s="470">
        <f t="shared" si="15"/>
        <v>340</v>
      </c>
      <c r="F88" s="470">
        <f t="shared" si="16"/>
        <v>160</v>
      </c>
      <c r="G88" s="470">
        <v>1</v>
      </c>
      <c r="H88" s="470">
        <f t="shared" si="17"/>
        <v>170</v>
      </c>
      <c r="I88" s="470">
        <v>1</v>
      </c>
      <c r="J88" s="470">
        <f t="shared" si="21"/>
        <v>160</v>
      </c>
      <c r="K88" s="470">
        <v>1</v>
      </c>
      <c r="L88" s="472">
        <f t="shared" si="18"/>
        <v>19.5</v>
      </c>
      <c r="M88" s="470">
        <f t="shared" si="14"/>
        <v>1170</v>
      </c>
      <c r="N88" s="474"/>
      <c r="O88" s="462">
        <f t="shared" si="19"/>
        <v>0</v>
      </c>
      <c r="P88" s="462">
        <f t="shared" si="20"/>
        <v>0</v>
      </c>
    </row>
    <row r="89" spans="1:16" x14ac:dyDescent="0.35">
      <c r="A89" s="661"/>
      <c r="B89" s="470" t="s">
        <v>1409</v>
      </c>
      <c r="C89" s="661"/>
      <c r="D89" s="470">
        <v>390</v>
      </c>
      <c r="E89" s="470">
        <f t="shared" si="15"/>
        <v>365</v>
      </c>
      <c r="F89" s="470">
        <f t="shared" si="16"/>
        <v>165</v>
      </c>
      <c r="G89" s="470">
        <v>1</v>
      </c>
      <c r="H89" s="470">
        <f t="shared" si="17"/>
        <v>180</v>
      </c>
      <c r="I89" s="470">
        <v>1</v>
      </c>
      <c r="J89" s="470">
        <f t="shared" si="21"/>
        <v>165</v>
      </c>
      <c r="K89" s="470">
        <v>1</v>
      </c>
      <c r="L89" s="472">
        <f t="shared" si="18"/>
        <v>21.083333333333332</v>
      </c>
      <c r="M89" s="470">
        <f t="shared" si="14"/>
        <v>1265</v>
      </c>
      <c r="N89" s="474"/>
      <c r="O89" s="462">
        <f t="shared" si="19"/>
        <v>0</v>
      </c>
      <c r="P89" s="462">
        <f t="shared" si="20"/>
        <v>0</v>
      </c>
    </row>
    <row r="91" spans="1:16" ht="18.5" x14ac:dyDescent="0.35">
      <c r="A91" s="463"/>
      <c r="D91" s="674" t="s">
        <v>1385</v>
      </c>
      <c r="E91" s="675"/>
      <c r="F91" s="675"/>
      <c r="G91" s="675"/>
      <c r="H91" s="675"/>
      <c r="I91" s="675"/>
      <c r="J91" s="675"/>
      <c r="K91" s="675"/>
      <c r="L91" s="675"/>
      <c r="M91" s="676"/>
      <c r="O91" s="464"/>
    </row>
    <row r="92" spans="1:16" ht="18.5" x14ac:dyDescent="0.35">
      <c r="A92" s="466"/>
      <c r="B92" s="465"/>
      <c r="C92" s="466"/>
      <c r="D92" s="677"/>
      <c r="E92" s="678"/>
      <c r="F92" s="678"/>
      <c r="G92" s="678"/>
      <c r="H92" s="678"/>
      <c r="I92" s="678"/>
      <c r="J92" s="678"/>
      <c r="K92" s="678"/>
      <c r="L92" s="678"/>
      <c r="M92" s="679"/>
      <c r="O92" s="467"/>
    </row>
    <row r="93" spans="1:16" ht="18.5" x14ac:dyDescent="0.45">
      <c r="A93" s="663" t="s">
        <v>1386</v>
      </c>
      <c r="B93" s="663" t="s">
        <v>1387</v>
      </c>
      <c r="C93" s="663" t="s">
        <v>1388</v>
      </c>
      <c r="D93" s="663" t="s">
        <v>1389</v>
      </c>
      <c r="E93" s="477" t="s">
        <v>1390</v>
      </c>
      <c r="F93" s="666" t="s">
        <v>1391</v>
      </c>
      <c r="G93" s="667"/>
      <c r="H93" s="667"/>
      <c r="I93" s="667"/>
      <c r="J93" s="667"/>
      <c r="K93" s="668"/>
      <c r="L93" s="478" t="s">
        <v>1392</v>
      </c>
      <c r="M93" s="479" t="s">
        <v>1393</v>
      </c>
      <c r="N93" s="480" t="s">
        <v>1394</v>
      </c>
      <c r="O93" s="462" t="s">
        <v>1395</v>
      </c>
      <c r="P93" s="462" t="s">
        <v>1395</v>
      </c>
    </row>
    <row r="94" spans="1:16" x14ac:dyDescent="0.35">
      <c r="A94" s="664"/>
      <c r="B94" s="664"/>
      <c r="C94" s="664"/>
      <c r="D94" s="664"/>
      <c r="E94" s="481"/>
      <c r="F94" s="468" t="s">
        <v>1396</v>
      </c>
      <c r="G94" s="468" t="s">
        <v>1397</v>
      </c>
      <c r="H94" s="468" t="s">
        <v>1398</v>
      </c>
      <c r="I94" s="469" t="s">
        <v>1397</v>
      </c>
      <c r="J94" s="469" t="s">
        <v>1399</v>
      </c>
      <c r="K94" s="469" t="s">
        <v>1397</v>
      </c>
      <c r="L94" s="482"/>
      <c r="M94" s="483"/>
      <c r="N94" s="484"/>
      <c r="O94" s="462" t="s">
        <v>1400</v>
      </c>
      <c r="P94" s="462" t="s">
        <v>1401</v>
      </c>
    </row>
    <row r="95" spans="1:16" x14ac:dyDescent="0.35">
      <c r="A95" s="661" t="s">
        <v>1412</v>
      </c>
      <c r="B95" s="485" t="s">
        <v>1403</v>
      </c>
      <c r="C95" s="661">
        <v>800</v>
      </c>
      <c r="D95" s="470">
        <v>15</v>
      </c>
      <c r="E95" s="470">
        <v>15</v>
      </c>
      <c r="F95" s="470">
        <v>10</v>
      </c>
      <c r="G95" s="470">
        <v>1</v>
      </c>
      <c r="H95" s="470">
        <v>15</v>
      </c>
      <c r="I95" s="470">
        <v>1</v>
      </c>
      <c r="J95" s="470">
        <v>10</v>
      </c>
      <c r="K95" s="470">
        <v>1</v>
      </c>
      <c r="L95" s="472">
        <f>M95/60</f>
        <v>1.0833333333333333</v>
      </c>
      <c r="M95" s="470">
        <f t="shared" ref="M95:M118" si="22">D95+E95+F95+H95+J95</f>
        <v>65</v>
      </c>
      <c r="N95" s="474"/>
      <c r="O95" s="462">
        <f>N95*L95</f>
        <v>0</v>
      </c>
      <c r="P95" s="462">
        <f>O95/8</f>
        <v>0</v>
      </c>
    </row>
    <row r="96" spans="1:16" x14ac:dyDescent="0.35">
      <c r="A96" s="661"/>
      <c r="B96" s="485" t="s">
        <v>1404</v>
      </c>
      <c r="C96" s="661"/>
      <c r="D96" s="470">
        <v>20</v>
      </c>
      <c r="E96" s="470">
        <v>15</v>
      </c>
      <c r="F96" s="470">
        <v>10</v>
      </c>
      <c r="G96" s="470">
        <v>1</v>
      </c>
      <c r="H96" s="470">
        <v>15</v>
      </c>
      <c r="I96" s="470">
        <v>1</v>
      </c>
      <c r="J96" s="470">
        <v>10</v>
      </c>
      <c r="K96" s="470">
        <v>1</v>
      </c>
      <c r="L96" s="472">
        <f t="shared" ref="L96:L118" si="23">M96/60</f>
        <v>1.1666666666666667</v>
      </c>
      <c r="M96" s="470">
        <f t="shared" si="22"/>
        <v>70</v>
      </c>
      <c r="N96" s="474"/>
      <c r="O96" s="462">
        <f t="shared" ref="O96:O118" si="24">N96*L96</f>
        <v>0</v>
      </c>
      <c r="P96" s="462">
        <f t="shared" ref="P96:P118" si="25">O96/8</f>
        <v>0</v>
      </c>
    </row>
    <row r="97" spans="1:16" x14ac:dyDescent="0.35">
      <c r="A97" s="661"/>
      <c r="B97" s="485" t="s">
        <v>1411</v>
      </c>
      <c r="C97" s="661"/>
      <c r="D97" s="470">
        <v>25</v>
      </c>
      <c r="E97" s="470">
        <v>25</v>
      </c>
      <c r="F97" s="470">
        <v>15</v>
      </c>
      <c r="G97" s="470">
        <v>1</v>
      </c>
      <c r="H97" s="470">
        <v>20</v>
      </c>
      <c r="I97" s="470">
        <v>1</v>
      </c>
      <c r="J97" s="470">
        <v>15</v>
      </c>
      <c r="K97" s="470">
        <v>1</v>
      </c>
      <c r="L97" s="472">
        <f t="shared" si="23"/>
        <v>1.6666666666666667</v>
      </c>
      <c r="M97" s="470">
        <f t="shared" si="22"/>
        <v>100</v>
      </c>
      <c r="N97" s="474"/>
      <c r="O97" s="462">
        <f t="shared" si="24"/>
        <v>0</v>
      </c>
      <c r="P97" s="462">
        <f t="shared" si="25"/>
        <v>0</v>
      </c>
    </row>
    <row r="98" spans="1:16" x14ac:dyDescent="0.35">
      <c r="A98" s="661" t="s">
        <v>90</v>
      </c>
      <c r="B98" s="485" t="s">
        <v>1403</v>
      </c>
      <c r="C98" s="661">
        <v>800</v>
      </c>
      <c r="D98" s="470">
        <v>20</v>
      </c>
      <c r="E98" s="470">
        <v>20</v>
      </c>
      <c r="F98" s="470">
        <v>5</v>
      </c>
      <c r="G98" s="470">
        <v>1</v>
      </c>
      <c r="H98" s="470">
        <v>10</v>
      </c>
      <c r="I98" s="470">
        <v>1</v>
      </c>
      <c r="J98" s="470">
        <f>F98</f>
        <v>5</v>
      </c>
      <c r="K98" s="470">
        <v>1</v>
      </c>
      <c r="L98" s="472">
        <f t="shared" si="23"/>
        <v>1</v>
      </c>
      <c r="M98" s="470">
        <f t="shared" si="22"/>
        <v>60</v>
      </c>
      <c r="N98" s="474"/>
      <c r="O98" s="462">
        <f t="shared" si="24"/>
        <v>0</v>
      </c>
      <c r="P98" s="462">
        <f t="shared" si="25"/>
        <v>0</v>
      </c>
    </row>
    <row r="99" spans="1:16" x14ac:dyDescent="0.35">
      <c r="A99" s="661"/>
      <c r="B99" s="485" t="s">
        <v>1404</v>
      </c>
      <c r="C99" s="661"/>
      <c r="D99" s="470">
        <v>25</v>
      </c>
      <c r="E99" s="470">
        <v>35</v>
      </c>
      <c r="F99" s="470">
        <v>10</v>
      </c>
      <c r="G99" s="470">
        <v>1</v>
      </c>
      <c r="H99" s="470">
        <v>15</v>
      </c>
      <c r="I99" s="470">
        <v>1</v>
      </c>
      <c r="J99" s="470">
        <f t="shared" ref="J99:J100" si="26">F99</f>
        <v>10</v>
      </c>
      <c r="K99" s="470">
        <v>1</v>
      </c>
      <c r="L99" s="472">
        <f t="shared" si="23"/>
        <v>1.5833333333333333</v>
      </c>
      <c r="M99" s="470">
        <f t="shared" si="22"/>
        <v>95</v>
      </c>
      <c r="N99" s="474"/>
      <c r="O99" s="462">
        <f t="shared" si="24"/>
        <v>0</v>
      </c>
      <c r="P99" s="462">
        <f t="shared" si="25"/>
        <v>0</v>
      </c>
    </row>
    <row r="100" spans="1:16" x14ac:dyDescent="0.35">
      <c r="A100" s="661"/>
      <c r="B100" s="485" t="s">
        <v>1411</v>
      </c>
      <c r="C100" s="661"/>
      <c r="D100" s="470">
        <v>30</v>
      </c>
      <c r="E100" s="470">
        <v>45</v>
      </c>
      <c r="F100" s="470">
        <v>15</v>
      </c>
      <c r="G100" s="470">
        <v>1</v>
      </c>
      <c r="H100" s="470">
        <v>20</v>
      </c>
      <c r="I100" s="470">
        <v>1</v>
      </c>
      <c r="J100" s="470">
        <f t="shared" si="26"/>
        <v>15</v>
      </c>
      <c r="K100" s="470">
        <v>1</v>
      </c>
      <c r="L100" s="472">
        <f t="shared" si="23"/>
        <v>2.0833333333333335</v>
      </c>
      <c r="M100" s="470">
        <f t="shared" si="22"/>
        <v>125</v>
      </c>
      <c r="N100" s="474"/>
      <c r="O100" s="462">
        <f t="shared" si="24"/>
        <v>0</v>
      </c>
      <c r="P100" s="462">
        <f t="shared" si="25"/>
        <v>0</v>
      </c>
    </row>
    <row r="101" spans="1:16" x14ac:dyDescent="0.35">
      <c r="A101" s="661" t="s">
        <v>94</v>
      </c>
      <c r="B101" s="485" t="s">
        <v>1403</v>
      </c>
      <c r="C101" s="661">
        <v>800</v>
      </c>
      <c r="D101" s="470">
        <v>10</v>
      </c>
      <c r="E101" s="470">
        <v>15</v>
      </c>
      <c r="F101" s="470">
        <v>10</v>
      </c>
      <c r="G101" s="470">
        <v>1</v>
      </c>
      <c r="H101" s="470">
        <v>15</v>
      </c>
      <c r="I101" s="470">
        <v>1</v>
      </c>
      <c r="J101" s="470">
        <v>10</v>
      </c>
      <c r="K101" s="470">
        <v>1</v>
      </c>
      <c r="L101" s="472">
        <f t="shared" si="23"/>
        <v>1</v>
      </c>
      <c r="M101" s="470">
        <f t="shared" si="22"/>
        <v>60</v>
      </c>
      <c r="N101" s="474"/>
      <c r="O101" s="462">
        <f t="shared" si="24"/>
        <v>0</v>
      </c>
      <c r="P101" s="462">
        <f t="shared" si="25"/>
        <v>0</v>
      </c>
    </row>
    <row r="102" spans="1:16" x14ac:dyDescent="0.35">
      <c r="A102" s="661"/>
      <c r="B102" s="485" t="s">
        <v>1404</v>
      </c>
      <c r="C102" s="661"/>
      <c r="D102" s="470">
        <v>15</v>
      </c>
      <c r="E102" s="470">
        <v>15</v>
      </c>
      <c r="F102" s="470">
        <v>10</v>
      </c>
      <c r="G102" s="470">
        <v>1</v>
      </c>
      <c r="H102" s="470">
        <v>15</v>
      </c>
      <c r="I102" s="470">
        <v>1</v>
      </c>
      <c r="J102" s="470">
        <v>10</v>
      </c>
      <c r="K102" s="470">
        <v>1</v>
      </c>
      <c r="L102" s="472">
        <f t="shared" si="23"/>
        <v>1.0833333333333333</v>
      </c>
      <c r="M102" s="470">
        <f t="shared" si="22"/>
        <v>65</v>
      </c>
      <c r="N102" s="474"/>
      <c r="O102" s="462">
        <f t="shared" si="24"/>
        <v>0</v>
      </c>
      <c r="P102" s="462">
        <f t="shared" si="25"/>
        <v>0</v>
      </c>
    </row>
    <row r="103" spans="1:16" x14ac:dyDescent="0.35">
      <c r="A103" s="661"/>
      <c r="B103" s="485" t="s">
        <v>1411</v>
      </c>
      <c r="C103" s="661"/>
      <c r="D103" s="470">
        <v>15</v>
      </c>
      <c r="E103" s="470">
        <v>25</v>
      </c>
      <c r="F103" s="470">
        <v>15</v>
      </c>
      <c r="G103" s="470">
        <v>1</v>
      </c>
      <c r="H103" s="470">
        <v>20</v>
      </c>
      <c r="I103" s="470">
        <v>1</v>
      </c>
      <c r="J103" s="470">
        <v>15</v>
      </c>
      <c r="K103" s="470">
        <v>1</v>
      </c>
      <c r="L103" s="472">
        <f t="shared" si="23"/>
        <v>1.5</v>
      </c>
      <c r="M103" s="470">
        <f t="shared" si="22"/>
        <v>90</v>
      </c>
      <c r="N103" s="474"/>
      <c r="O103" s="462">
        <f t="shared" si="24"/>
        <v>0</v>
      </c>
      <c r="P103" s="462">
        <f t="shared" si="25"/>
        <v>0</v>
      </c>
    </row>
    <row r="104" spans="1:16" x14ac:dyDescent="0.35">
      <c r="A104" s="661" t="s">
        <v>92</v>
      </c>
      <c r="B104" s="485" t="s">
        <v>1403</v>
      </c>
      <c r="C104" s="661">
        <v>800</v>
      </c>
      <c r="D104" s="470">
        <v>10</v>
      </c>
      <c r="E104" s="470">
        <v>25</v>
      </c>
      <c r="F104" s="470">
        <v>5</v>
      </c>
      <c r="G104" s="470">
        <v>1</v>
      </c>
      <c r="H104" s="470">
        <v>10</v>
      </c>
      <c r="I104" s="470">
        <v>1</v>
      </c>
      <c r="J104" s="470">
        <f>F104</f>
        <v>5</v>
      </c>
      <c r="K104" s="470">
        <v>1</v>
      </c>
      <c r="L104" s="472">
        <f t="shared" si="23"/>
        <v>0.91666666666666663</v>
      </c>
      <c r="M104" s="470">
        <f t="shared" si="22"/>
        <v>55</v>
      </c>
      <c r="N104" s="474"/>
      <c r="O104" s="462">
        <f t="shared" si="24"/>
        <v>0</v>
      </c>
      <c r="P104" s="462">
        <f t="shared" si="25"/>
        <v>0</v>
      </c>
    </row>
    <row r="105" spans="1:16" x14ac:dyDescent="0.35">
      <c r="A105" s="661"/>
      <c r="B105" s="485" t="s">
        <v>1404</v>
      </c>
      <c r="C105" s="661"/>
      <c r="D105" s="470">
        <v>15</v>
      </c>
      <c r="E105" s="470">
        <v>40</v>
      </c>
      <c r="F105" s="470">
        <v>10</v>
      </c>
      <c r="G105" s="470">
        <v>1</v>
      </c>
      <c r="H105" s="470">
        <v>15</v>
      </c>
      <c r="I105" s="470">
        <v>1</v>
      </c>
      <c r="J105" s="470">
        <f t="shared" ref="J105:J106" si="27">F105</f>
        <v>10</v>
      </c>
      <c r="K105" s="470">
        <v>1</v>
      </c>
      <c r="L105" s="472">
        <f t="shared" si="23"/>
        <v>1.5</v>
      </c>
      <c r="M105" s="470">
        <f t="shared" si="22"/>
        <v>90</v>
      </c>
      <c r="N105" s="474"/>
      <c r="O105" s="462">
        <f t="shared" si="24"/>
        <v>0</v>
      </c>
      <c r="P105" s="462">
        <f t="shared" si="25"/>
        <v>0</v>
      </c>
    </row>
    <row r="106" spans="1:16" x14ac:dyDescent="0.35">
      <c r="A106" s="661"/>
      <c r="B106" s="485" t="s">
        <v>1411</v>
      </c>
      <c r="C106" s="661"/>
      <c r="D106" s="470">
        <v>20</v>
      </c>
      <c r="E106" s="470">
        <v>55</v>
      </c>
      <c r="F106" s="470">
        <v>15</v>
      </c>
      <c r="G106" s="470">
        <v>1</v>
      </c>
      <c r="H106" s="470">
        <v>20</v>
      </c>
      <c r="I106" s="470">
        <v>1</v>
      </c>
      <c r="J106" s="470">
        <f t="shared" si="27"/>
        <v>15</v>
      </c>
      <c r="K106" s="470">
        <v>1</v>
      </c>
      <c r="L106" s="472">
        <f t="shared" si="23"/>
        <v>2.0833333333333335</v>
      </c>
      <c r="M106" s="470">
        <f t="shared" si="22"/>
        <v>125</v>
      </c>
      <c r="N106" s="474"/>
      <c r="O106" s="462">
        <f t="shared" si="24"/>
        <v>0</v>
      </c>
      <c r="P106" s="462">
        <f t="shared" si="25"/>
        <v>0</v>
      </c>
    </row>
    <row r="107" spans="1:16" x14ac:dyDescent="0.35">
      <c r="A107" s="661" t="s">
        <v>1412</v>
      </c>
      <c r="B107" s="485" t="s">
        <v>1403</v>
      </c>
      <c r="C107" s="661">
        <v>1500</v>
      </c>
      <c r="D107" s="470">
        <v>15</v>
      </c>
      <c r="E107" s="470">
        <v>20</v>
      </c>
      <c r="F107" s="470">
        <v>10</v>
      </c>
      <c r="G107" s="470">
        <v>1</v>
      </c>
      <c r="H107" s="470">
        <v>15</v>
      </c>
      <c r="I107" s="470">
        <v>1</v>
      </c>
      <c r="J107" s="470">
        <f>F107</f>
        <v>10</v>
      </c>
      <c r="K107" s="470">
        <v>1</v>
      </c>
      <c r="L107" s="472">
        <f t="shared" si="23"/>
        <v>1.1666666666666667</v>
      </c>
      <c r="M107" s="470">
        <f t="shared" si="22"/>
        <v>70</v>
      </c>
      <c r="N107" s="474"/>
      <c r="O107" s="462">
        <f t="shared" si="24"/>
        <v>0</v>
      </c>
      <c r="P107" s="462">
        <f t="shared" si="25"/>
        <v>0</v>
      </c>
    </row>
    <row r="108" spans="1:16" x14ac:dyDescent="0.35">
      <c r="A108" s="661"/>
      <c r="B108" s="485" t="s">
        <v>1404</v>
      </c>
      <c r="C108" s="661"/>
      <c r="D108" s="470">
        <v>20</v>
      </c>
      <c r="E108" s="470">
        <v>25</v>
      </c>
      <c r="F108" s="470">
        <v>10</v>
      </c>
      <c r="G108" s="470">
        <v>1</v>
      </c>
      <c r="H108" s="470">
        <v>15</v>
      </c>
      <c r="I108" s="470">
        <v>1</v>
      </c>
      <c r="J108" s="470">
        <f t="shared" ref="J108:J109" si="28">F108</f>
        <v>10</v>
      </c>
      <c r="K108" s="470">
        <v>1</v>
      </c>
      <c r="L108" s="472">
        <f t="shared" si="23"/>
        <v>1.3333333333333333</v>
      </c>
      <c r="M108" s="470">
        <f t="shared" si="22"/>
        <v>80</v>
      </c>
      <c r="N108" s="474"/>
      <c r="O108" s="462">
        <f t="shared" si="24"/>
        <v>0</v>
      </c>
      <c r="P108" s="462">
        <f t="shared" si="25"/>
        <v>0</v>
      </c>
    </row>
    <row r="109" spans="1:16" x14ac:dyDescent="0.35">
      <c r="A109" s="661"/>
      <c r="B109" s="485" t="s">
        <v>1411</v>
      </c>
      <c r="C109" s="661"/>
      <c r="D109" s="470">
        <v>30</v>
      </c>
      <c r="E109" s="470">
        <v>30</v>
      </c>
      <c r="F109" s="470">
        <v>15</v>
      </c>
      <c r="G109" s="470">
        <v>1</v>
      </c>
      <c r="H109" s="470">
        <v>20</v>
      </c>
      <c r="I109" s="470">
        <v>1</v>
      </c>
      <c r="J109" s="470">
        <f t="shared" si="28"/>
        <v>15</v>
      </c>
      <c r="K109" s="470">
        <v>1</v>
      </c>
      <c r="L109" s="472">
        <f t="shared" si="23"/>
        <v>1.8333333333333333</v>
      </c>
      <c r="M109" s="470">
        <f t="shared" si="22"/>
        <v>110</v>
      </c>
      <c r="N109" s="474"/>
      <c r="O109" s="462">
        <f t="shared" si="24"/>
        <v>0</v>
      </c>
      <c r="P109" s="462">
        <f t="shared" si="25"/>
        <v>0</v>
      </c>
    </row>
    <row r="110" spans="1:16" x14ac:dyDescent="0.35">
      <c r="A110" s="661" t="s">
        <v>90</v>
      </c>
      <c r="B110" s="485" t="s">
        <v>1403</v>
      </c>
      <c r="C110" s="661">
        <v>1500</v>
      </c>
      <c r="D110" s="470">
        <v>20</v>
      </c>
      <c r="E110" s="470">
        <v>35</v>
      </c>
      <c r="F110" s="470">
        <v>10</v>
      </c>
      <c r="G110" s="470">
        <v>1</v>
      </c>
      <c r="H110" s="470">
        <v>15</v>
      </c>
      <c r="I110" s="470">
        <v>1</v>
      </c>
      <c r="J110" s="470">
        <v>10</v>
      </c>
      <c r="K110" s="470">
        <v>1</v>
      </c>
      <c r="L110" s="472">
        <f t="shared" si="23"/>
        <v>1.5</v>
      </c>
      <c r="M110" s="470">
        <f t="shared" si="22"/>
        <v>90</v>
      </c>
      <c r="N110" s="474"/>
      <c r="O110" s="462">
        <f t="shared" si="24"/>
        <v>0</v>
      </c>
      <c r="P110" s="462">
        <f t="shared" si="25"/>
        <v>0</v>
      </c>
    </row>
    <row r="111" spans="1:16" x14ac:dyDescent="0.35">
      <c r="A111" s="661"/>
      <c r="B111" s="485" t="s">
        <v>1404</v>
      </c>
      <c r="C111" s="661"/>
      <c r="D111" s="470">
        <v>25</v>
      </c>
      <c r="E111" s="470">
        <v>50</v>
      </c>
      <c r="F111" s="470">
        <v>15</v>
      </c>
      <c r="G111" s="470">
        <v>1</v>
      </c>
      <c r="H111" s="470">
        <v>20</v>
      </c>
      <c r="I111" s="470">
        <v>1</v>
      </c>
      <c r="J111" s="470">
        <v>15</v>
      </c>
      <c r="K111" s="470">
        <v>1</v>
      </c>
      <c r="L111" s="472">
        <f t="shared" si="23"/>
        <v>2.0833333333333335</v>
      </c>
      <c r="M111" s="470">
        <f t="shared" si="22"/>
        <v>125</v>
      </c>
      <c r="N111" s="474"/>
      <c r="O111" s="462">
        <f t="shared" si="24"/>
        <v>0</v>
      </c>
      <c r="P111" s="462">
        <f t="shared" si="25"/>
        <v>0</v>
      </c>
    </row>
    <row r="112" spans="1:16" x14ac:dyDescent="0.35">
      <c r="A112" s="661"/>
      <c r="B112" s="485" t="s">
        <v>1411</v>
      </c>
      <c r="C112" s="661"/>
      <c r="D112" s="470">
        <v>30</v>
      </c>
      <c r="E112" s="470">
        <v>60</v>
      </c>
      <c r="F112" s="470">
        <v>20</v>
      </c>
      <c r="G112" s="470">
        <v>1</v>
      </c>
      <c r="H112" s="470">
        <v>25</v>
      </c>
      <c r="I112" s="470">
        <v>1</v>
      </c>
      <c r="J112" s="470">
        <v>20</v>
      </c>
      <c r="K112" s="470">
        <v>1</v>
      </c>
      <c r="L112" s="472">
        <f t="shared" si="23"/>
        <v>2.5833333333333335</v>
      </c>
      <c r="M112" s="470">
        <f t="shared" si="22"/>
        <v>155</v>
      </c>
      <c r="N112" s="474"/>
      <c r="O112" s="462">
        <f t="shared" si="24"/>
        <v>0</v>
      </c>
      <c r="P112" s="462">
        <f t="shared" si="25"/>
        <v>0</v>
      </c>
    </row>
    <row r="113" spans="1:16" x14ac:dyDescent="0.35">
      <c r="A113" s="661" t="s">
        <v>94</v>
      </c>
      <c r="B113" s="485" t="s">
        <v>1403</v>
      </c>
      <c r="C113" s="661">
        <v>1500</v>
      </c>
      <c r="D113" s="470">
        <v>10</v>
      </c>
      <c r="E113" s="470">
        <v>15</v>
      </c>
      <c r="F113" s="470">
        <v>10</v>
      </c>
      <c r="G113" s="470">
        <v>1</v>
      </c>
      <c r="H113" s="470">
        <v>15</v>
      </c>
      <c r="I113" s="470">
        <v>1</v>
      </c>
      <c r="J113" s="470">
        <f>F113</f>
        <v>10</v>
      </c>
      <c r="K113" s="470">
        <v>1</v>
      </c>
      <c r="L113" s="472">
        <f t="shared" si="23"/>
        <v>1</v>
      </c>
      <c r="M113" s="470">
        <f t="shared" si="22"/>
        <v>60</v>
      </c>
      <c r="N113" s="474"/>
      <c r="O113" s="462">
        <f t="shared" si="24"/>
        <v>0</v>
      </c>
      <c r="P113" s="462">
        <f t="shared" si="25"/>
        <v>0</v>
      </c>
    </row>
    <row r="114" spans="1:16" x14ac:dyDescent="0.35">
      <c r="A114" s="661"/>
      <c r="B114" s="485" t="s">
        <v>1404</v>
      </c>
      <c r="C114" s="661"/>
      <c r="D114" s="470">
        <v>15</v>
      </c>
      <c r="E114" s="470">
        <v>15</v>
      </c>
      <c r="F114" s="470">
        <v>10</v>
      </c>
      <c r="G114" s="470">
        <v>1</v>
      </c>
      <c r="H114" s="470">
        <v>15</v>
      </c>
      <c r="I114" s="470">
        <v>1</v>
      </c>
      <c r="J114" s="470">
        <f t="shared" ref="J114:J115" si="29">F114</f>
        <v>10</v>
      </c>
      <c r="K114" s="470">
        <v>1</v>
      </c>
      <c r="L114" s="472">
        <f t="shared" si="23"/>
        <v>1.0833333333333333</v>
      </c>
      <c r="M114" s="470">
        <f t="shared" si="22"/>
        <v>65</v>
      </c>
      <c r="N114" s="474"/>
      <c r="O114" s="462">
        <f t="shared" si="24"/>
        <v>0</v>
      </c>
      <c r="P114" s="462">
        <f t="shared" si="25"/>
        <v>0</v>
      </c>
    </row>
    <row r="115" spans="1:16" x14ac:dyDescent="0.35">
      <c r="A115" s="661"/>
      <c r="B115" s="485" t="s">
        <v>1411</v>
      </c>
      <c r="C115" s="661"/>
      <c r="D115" s="470">
        <v>15</v>
      </c>
      <c r="E115" s="470">
        <v>25</v>
      </c>
      <c r="F115" s="470">
        <v>15</v>
      </c>
      <c r="G115" s="470">
        <v>1</v>
      </c>
      <c r="H115" s="470">
        <v>20</v>
      </c>
      <c r="I115" s="470">
        <v>1</v>
      </c>
      <c r="J115" s="470">
        <f t="shared" si="29"/>
        <v>15</v>
      </c>
      <c r="K115" s="470">
        <v>1</v>
      </c>
      <c r="L115" s="472">
        <f t="shared" si="23"/>
        <v>1.5</v>
      </c>
      <c r="M115" s="470">
        <f t="shared" si="22"/>
        <v>90</v>
      </c>
      <c r="N115" s="474"/>
      <c r="O115" s="462">
        <f t="shared" si="24"/>
        <v>0</v>
      </c>
      <c r="P115" s="462">
        <f t="shared" si="25"/>
        <v>0</v>
      </c>
    </row>
    <row r="116" spans="1:16" x14ac:dyDescent="0.35">
      <c r="A116" s="661" t="s">
        <v>92</v>
      </c>
      <c r="B116" s="485" t="s">
        <v>1403</v>
      </c>
      <c r="C116" s="661">
        <v>1500</v>
      </c>
      <c r="D116" s="470">
        <v>10</v>
      </c>
      <c r="E116" s="462">
        <v>40</v>
      </c>
      <c r="F116" s="486">
        <v>10</v>
      </c>
      <c r="G116" s="486">
        <v>1</v>
      </c>
      <c r="H116" s="486">
        <v>15</v>
      </c>
      <c r="I116" s="486">
        <v>1</v>
      </c>
      <c r="J116" s="486">
        <v>10</v>
      </c>
      <c r="K116" s="486">
        <v>1</v>
      </c>
      <c r="L116" s="472">
        <f t="shared" si="23"/>
        <v>1.4166666666666667</v>
      </c>
      <c r="M116" s="470">
        <f t="shared" si="22"/>
        <v>85</v>
      </c>
      <c r="N116" s="474"/>
      <c r="O116" s="462">
        <f t="shared" si="24"/>
        <v>0</v>
      </c>
      <c r="P116" s="462">
        <f t="shared" si="25"/>
        <v>0</v>
      </c>
    </row>
    <row r="117" spans="1:16" x14ac:dyDescent="0.35">
      <c r="A117" s="661"/>
      <c r="B117" s="485" t="s">
        <v>1404</v>
      </c>
      <c r="C117" s="661"/>
      <c r="D117" s="470">
        <v>20</v>
      </c>
      <c r="E117" s="462">
        <v>55</v>
      </c>
      <c r="F117" s="470">
        <v>15</v>
      </c>
      <c r="G117" s="470">
        <v>1</v>
      </c>
      <c r="H117" s="470">
        <v>20</v>
      </c>
      <c r="I117" s="470">
        <v>1</v>
      </c>
      <c r="J117" s="470">
        <v>15</v>
      </c>
      <c r="K117" s="470">
        <v>1</v>
      </c>
      <c r="L117" s="472">
        <f t="shared" si="23"/>
        <v>2.0833333333333335</v>
      </c>
      <c r="M117" s="470">
        <f t="shared" si="22"/>
        <v>125</v>
      </c>
      <c r="N117" s="474"/>
      <c r="O117" s="462">
        <f t="shared" si="24"/>
        <v>0</v>
      </c>
      <c r="P117" s="462">
        <f t="shared" si="25"/>
        <v>0</v>
      </c>
    </row>
    <row r="118" spans="1:16" x14ac:dyDescent="0.35">
      <c r="A118" s="661"/>
      <c r="B118" s="485" t="s">
        <v>1411</v>
      </c>
      <c r="C118" s="661"/>
      <c r="D118" s="470">
        <v>30</v>
      </c>
      <c r="E118" s="462">
        <v>70</v>
      </c>
      <c r="F118" s="470">
        <v>20</v>
      </c>
      <c r="G118" s="470">
        <v>1</v>
      </c>
      <c r="H118" s="470">
        <v>25</v>
      </c>
      <c r="I118" s="470">
        <v>1</v>
      </c>
      <c r="J118" s="470">
        <v>20</v>
      </c>
      <c r="K118" s="470">
        <v>1</v>
      </c>
      <c r="L118" s="472">
        <f t="shared" si="23"/>
        <v>2.75</v>
      </c>
      <c r="M118" s="470">
        <f t="shared" si="22"/>
        <v>165</v>
      </c>
      <c r="N118" s="474"/>
      <c r="O118" s="462">
        <f t="shared" si="24"/>
        <v>0</v>
      </c>
      <c r="P118" s="462">
        <f t="shared" si="25"/>
        <v>0</v>
      </c>
    </row>
    <row r="120" spans="1:16" ht="18.5" x14ac:dyDescent="0.35">
      <c r="B120" s="463"/>
      <c r="D120" s="662" t="s">
        <v>1385</v>
      </c>
      <c r="E120" s="662"/>
      <c r="F120" s="662"/>
      <c r="G120" s="662"/>
      <c r="H120" s="662"/>
      <c r="I120" s="662"/>
      <c r="J120" s="662"/>
      <c r="K120" s="662"/>
      <c r="L120" s="464"/>
    </row>
    <row r="121" spans="1:16" ht="18.5" x14ac:dyDescent="0.35">
      <c r="A121" s="465"/>
      <c r="B121" s="466"/>
      <c r="C121" s="466"/>
      <c r="D121" s="662"/>
      <c r="E121" s="662"/>
      <c r="F121" s="662"/>
      <c r="G121" s="662"/>
      <c r="H121" s="662"/>
      <c r="I121" s="662"/>
      <c r="J121" s="662"/>
      <c r="K121" s="662"/>
      <c r="L121" s="467"/>
    </row>
    <row r="122" spans="1:16" ht="18.5" x14ac:dyDescent="0.45">
      <c r="A122" s="663" t="s">
        <v>1386</v>
      </c>
      <c r="B122" s="663" t="s">
        <v>1387</v>
      </c>
      <c r="C122" s="663" t="s">
        <v>1388</v>
      </c>
      <c r="D122" s="663" t="s">
        <v>1389</v>
      </c>
      <c r="E122" s="665" t="s">
        <v>1390</v>
      </c>
      <c r="F122" s="666" t="s">
        <v>1391</v>
      </c>
      <c r="G122" s="667"/>
      <c r="H122" s="667"/>
      <c r="I122" s="667"/>
      <c r="J122" s="667"/>
      <c r="K122" s="668"/>
      <c r="L122" s="657" t="s">
        <v>1392</v>
      </c>
      <c r="M122" s="658" t="s">
        <v>1393</v>
      </c>
      <c r="N122" s="659" t="s">
        <v>1394</v>
      </c>
      <c r="O122" s="462" t="s">
        <v>1395</v>
      </c>
      <c r="P122" s="462" t="s">
        <v>1395</v>
      </c>
    </row>
    <row r="123" spans="1:16" x14ac:dyDescent="0.35">
      <c r="A123" s="664"/>
      <c r="B123" s="664"/>
      <c r="C123" s="664"/>
      <c r="D123" s="664"/>
      <c r="E123" s="665"/>
      <c r="F123" s="468" t="s">
        <v>1396</v>
      </c>
      <c r="G123" s="468" t="s">
        <v>1397</v>
      </c>
      <c r="H123" s="468" t="s">
        <v>1398</v>
      </c>
      <c r="I123" s="469" t="s">
        <v>1397</v>
      </c>
      <c r="J123" s="469" t="s">
        <v>1399</v>
      </c>
      <c r="K123" s="469" t="s">
        <v>1397</v>
      </c>
      <c r="L123" s="657"/>
      <c r="M123" s="658"/>
      <c r="N123" s="660"/>
      <c r="O123" s="462" t="s">
        <v>1400</v>
      </c>
      <c r="P123" s="462" t="s">
        <v>1401</v>
      </c>
    </row>
    <row r="124" spans="1:16" x14ac:dyDescent="0.35">
      <c r="A124" s="661" t="s">
        <v>1413</v>
      </c>
      <c r="B124" s="485" t="s">
        <v>1403</v>
      </c>
      <c r="C124" s="661">
        <v>150</v>
      </c>
      <c r="D124" s="470">
        <v>15</v>
      </c>
      <c r="E124" s="470">
        <v>25</v>
      </c>
      <c r="F124" s="470">
        <v>5</v>
      </c>
      <c r="G124" s="470">
        <v>1</v>
      </c>
      <c r="H124" s="470">
        <v>10</v>
      </c>
      <c r="I124" s="470">
        <v>1</v>
      </c>
      <c r="J124" s="470">
        <f>F124</f>
        <v>5</v>
      </c>
      <c r="K124" s="470">
        <v>1</v>
      </c>
      <c r="L124" s="470">
        <f>M124/60</f>
        <v>1</v>
      </c>
      <c r="M124" s="470">
        <f t="shared" ref="M124:M141" si="30">D124+E124+F124+H124+J124</f>
        <v>60</v>
      </c>
      <c r="N124" s="474"/>
      <c r="O124" s="462">
        <f>N124*L124</f>
        <v>0</v>
      </c>
      <c r="P124" s="462">
        <f>O124/8</f>
        <v>0</v>
      </c>
    </row>
    <row r="125" spans="1:16" x14ac:dyDescent="0.35">
      <c r="A125" s="661"/>
      <c r="B125" s="485" t="s">
        <v>1404</v>
      </c>
      <c r="C125" s="661"/>
      <c r="D125" s="470">
        <v>20</v>
      </c>
      <c r="E125" s="470">
        <v>40</v>
      </c>
      <c r="F125" s="470">
        <v>10</v>
      </c>
      <c r="G125" s="470">
        <v>1</v>
      </c>
      <c r="H125" s="470">
        <v>15</v>
      </c>
      <c r="I125" s="470">
        <v>1</v>
      </c>
      <c r="J125" s="470">
        <f t="shared" ref="J125:J141" si="31">F125</f>
        <v>10</v>
      </c>
      <c r="K125" s="470">
        <v>1</v>
      </c>
      <c r="L125" s="487">
        <f t="shared" ref="L125:L141" si="32">M125/60</f>
        <v>1.5833333333333333</v>
      </c>
      <c r="M125" s="470">
        <f t="shared" si="30"/>
        <v>95</v>
      </c>
      <c r="N125" s="474"/>
      <c r="O125" s="462">
        <f t="shared" ref="O125:O141" si="33">N125*L125</f>
        <v>0</v>
      </c>
      <c r="P125" s="462">
        <f t="shared" ref="P125:P141" si="34">O125/8</f>
        <v>0</v>
      </c>
    </row>
    <row r="126" spans="1:16" x14ac:dyDescent="0.35">
      <c r="A126" s="661"/>
      <c r="B126" s="485" t="s">
        <v>86</v>
      </c>
      <c r="C126" s="661"/>
      <c r="D126" s="470">
        <v>20</v>
      </c>
      <c r="E126" s="470">
        <v>55</v>
      </c>
      <c r="F126" s="470">
        <v>15</v>
      </c>
      <c r="G126" s="470">
        <v>1</v>
      </c>
      <c r="H126" s="470">
        <v>20</v>
      </c>
      <c r="I126" s="470">
        <v>1</v>
      </c>
      <c r="J126" s="470">
        <f t="shared" si="31"/>
        <v>15</v>
      </c>
      <c r="K126" s="470">
        <v>1</v>
      </c>
      <c r="L126" s="487">
        <f t="shared" si="32"/>
        <v>2.0833333333333335</v>
      </c>
      <c r="M126" s="470">
        <f t="shared" si="30"/>
        <v>125</v>
      </c>
      <c r="N126" s="474"/>
      <c r="O126" s="462">
        <f t="shared" si="33"/>
        <v>0</v>
      </c>
      <c r="P126" s="462">
        <f t="shared" si="34"/>
        <v>0</v>
      </c>
    </row>
    <row r="127" spans="1:16" x14ac:dyDescent="0.35">
      <c r="A127" s="661"/>
      <c r="B127" s="485" t="s">
        <v>85</v>
      </c>
      <c r="C127" s="661"/>
      <c r="D127" s="470">
        <v>25</v>
      </c>
      <c r="E127" s="470">
        <v>65</v>
      </c>
      <c r="F127" s="470">
        <v>20</v>
      </c>
      <c r="G127" s="470">
        <v>1</v>
      </c>
      <c r="H127" s="470">
        <v>25</v>
      </c>
      <c r="I127" s="470">
        <v>1</v>
      </c>
      <c r="J127" s="470">
        <v>20</v>
      </c>
      <c r="K127" s="470">
        <v>1</v>
      </c>
      <c r="L127" s="487">
        <f t="shared" si="32"/>
        <v>2.5833333333333335</v>
      </c>
      <c r="M127" s="470">
        <f t="shared" si="30"/>
        <v>155</v>
      </c>
      <c r="N127" s="474"/>
      <c r="O127" s="462">
        <f t="shared" si="33"/>
        <v>0</v>
      </c>
      <c r="P127" s="462">
        <f t="shared" si="34"/>
        <v>0</v>
      </c>
    </row>
    <row r="128" spans="1:16" x14ac:dyDescent="0.35">
      <c r="A128" s="661"/>
      <c r="B128" s="485" t="s">
        <v>84</v>
      </c>
      <c r="C128" s="661"/>
      <c r="D128" s="470">
        <v>30</v>
      </c>
      <c r="E128" s="470">
        <v>75</v>
      </c>
      <c r="F128" s="470">
        <v>30</v>
      </c>
      <c r="G128" s="470">
        <v>1</v>
      </c>
      <c r="H128" s="470">
        <v>35</v>
      </c>
      <c r="I128" s="470">
        <v>1</v>
      </c>
      <c r="J128" s="470">
        <f t="shared" si="31"/>
        <v>30</v>
      </c>
      <c r="K128" s="470">
        <v>1</v>
      </c>
      <c r="L128" s="487">
        <f t="shared" si="32"/>
        <v>3.3333333333333335</v>
      </c>
      <c r="M128" s="470">
        <f t="shared" si="30"/>
        <v>200</v>
      </c>
      <c r="N128" s="474"/>
      <c r="O128" s="462">
        <f t="shared" si="33"/>
        <v>0</v>
      </c>
      <c r="P128" s="462">
        <f t="shared" si="34"/>
        <v>0</v>
      </c>
    </row>
    <row r="129" spans="1:16" x14ac:dyDescent="0.35">
      <c r="A129" s="661"/>
      <c r="B129" s="485" t="s">
        <v>82</v>
      </c>
      <c r="C129" s="661"/>
      <c r="D129" s="470">
        <v>35</v>
      </c>
      <c r="E129" s="470">
        <v>90</v>
      </c>
      <c r="F129" s="470">
        <v>40</v>
      </c>
      <c r="G129" s="470">
        <v>1</v>
      </c>
      <c r="H129" s="470">
        <v>45</v>
      </c>
      <c r="I129" s="470">
        <v>1</v>
      </c>
      <c r="J129" s="470">
        <f t="shared" si="31"/>
        <v>40</v>
      </c>
      <c r="K129" s="470">
        <v>1</v>
      </c>
      <c r="L129" s="487">
        <f t="shared" si="32"/>
        <v>4.166666666666667</v>
      </c>
      <c r="M129" s="470">
        <f t="shared" si="30"/>
        <v>250</v>
      </c>
      <c r="N129" s="474"/>
      <c r="O129" s="462">
        <f t="shared" si="33"/>
        <v>0</v>
      </c>
      <c r="P129" s="462">
        <f t="shared" si="34"/>
        <v>0</v>
      </c>
    </row>
    <row r="130" spans="1:16" x14ac:dyDescent="0.35">
      <c r="A130" s="661"/>
      <c r="B130" s="485" t="s">
        <v>120</v>
      </c>
      <c r="C130" s="661"/>
      <c r="D130" s="470">
        <v>40</v>
      </c>
      <c r="E130" s="470">
        <v>105</v>
      </c>
      <c r="F130" s="470">
        <v>50</v>
      </c>
      <c r="G130" s="470">
        <v>1</v>
      </c>
      <c r="H130" s="470">
        <v>55</v>
      </c>
      <c r="I130" s="470">
        <v>1</v>
      </c>
      <c r="J130" s="470">
        <f t="shared" si="31"/>
        <v>50</v>
      </c>
      <c r="K130" s="470">
        <v>1</v>
      </c>
      <c r="L130" s="487">
        <f t="shared" si="32"/>
        <v>5</v>
      </c>
      <c r="M130" s="470">
        <f t="shared" si="30"/>
        <v>300</v>
      </c>
      <c r="N130" s="474"/>
      <c r="O130" s="462">
        <f t="shared" si="33"/>
        <v>0</v>
      </c>
      <c r="P130" s="462">
        <f t="shared" si="34"/>
        <v>0</v>
      </c>
    </row>
    <row r="131" spans="1:16" x14ac:dyDescent="0.35">
      <c r="A131" s="661"/>
      <c r="B131" s="485" t="s">
        <v>80</v>
      </c>
      <c r="C131" s="661"/>
      <c r="D131" s="470">
        <v>45</v>
      </c>
      <c r="E131" s="470">
        <v>135</v>
      </c>
      <c r="F131" s="470">
        <v>55</v>
      </c>
      <c r="G131" s="470">
        <v>1</v>
      </c>
      <c r="H131" s="470">
        <v>60</v>
      </c>
      <c r="I131" s="470">
        <v>1</v>
      </c>
      <c r="J131" s="470">
        <f t="shared" si="31"/>
        <v>55</v>
      </c>
      <c r="K131" s="470">
        <v>1</v>
      </c>
      <c r="L131" s="487">
        <f t="shared" si="32"/>
        <v>5.833333333333333</v>
      </c>
      <c r="M131" s="470">
        <f t="shared" si="30"/>
        <v>350</v>
      </c>
      <c r="N131" s="474"/>
      <c r="O131" s="462">
        <f t="shared" si="33"/>
        <v>0</v>
      </c>
      <c r="P131" s="462">
        <f t="shared" si="34"/>
        <v>0</v>
      </c>
    </row>
    <row r="132" spans="1:16" x14ac:dyDescent="0.35">
      <c r="A132" s="661"/>
      <c r="B132" s="485" t="s">
        <v>119</v>
      </c>
      <c r="C132" s="661"/>
      <c r="D132" s="470">
        <v>60</v>
      </c>
      <c r="E132" s="470">
        <v>160</v>
      </c>
      <c r="F132" s="470">
        <v>65</v>
      </c>
      <c r="G132" s="470">
        <v>1</v>
      </c>
      <c r="H132" s="470">
        <v>75</v>
      </c>
      <c r="I132" s="470">
        <v>1</v>
      </c>
      <c r="J132" s="470">
        <f t="shared" si="31"/>
        <v>65</v>
      </c>
      <c r="K132" s="470">
        <v>1</v>
      </c>
      <c r="L132" s="487">
        <f t="shared" si="32"/>
        <v>7.083333333333333</v>
      </c>
      <c r="M132" s="470">
        <f t="shared" si="30"/>
        <v>425</v>
      </c>
      <c r="N132" s="474"/>
      <c r="O132" s="462">
        <f t="shared" si="33"/>
        <v>0</v>
      </c>
      <c r="P132" s="462">
        <f t="shared" si="34"/>
        <v>0</v>
      </c>
    </row>
    <row r="133" spans="1:16" x14ac:dyDescent="0.35">
      <c r="A133" s="661"/>
      <c r="B133" s="485" t="s">
        <v>179</v>
      </c>
      <c r="C133" s="661"/>
      <c r="D133" s="470">
        <v>75</v>
      </c>
      <c r="E133" s="470">
        <v>175</v>
      </c>
      <c r="F133" s="470">
        <v>75</v>
      </c>
      <c r="G133" s="470">
        <v>1</v>
      </c>
      <c r="H133" s="470">
        <v>85</v>
      </c>
      <c r="I133" s="470">
        <v>1</v>
      </c>
      <c r="J133" s="470">
        <f t="shared" si="31"/>
        <v>75</v>
      </c>
      <c r="K133" s="470">
        <v>1</v>
      </c>
      <c r="L133" s="487">
        <f t="shared" si="32"/>
        <v>8.0833333333333339</v>
      </c>
      <c r="M133" s="470">
        <f t="shared" si="30"/>
        <v>485</v>
      </c>
      <c r="N133" s="474"/>
      <c r="O133" s="462">
        <f t="shared" si="33"/>
        <v>0</v>
      </c>
      <c r="P133" s="462">
        <f t="shared" si="34"/>
        <v>0</v>
      </c>
    </row>
    <row r="134" spans="1:16" x14ac:dyDescent="0.35">
      <c r="A134" s="661"/>
      <c r="B134" s="485" t="s">
        <v>118</v>
      </c>
      <c r="C134" s="661"/>
      <c r="D134" s="470">
        <v>90</v>
      </c>
      <c r="E134" s="470">
        <v>195</v>
      </c>
      <c r="F134" s="470">
        <v>85</v>
      </c>
      <c r="G134" s="470">
        <v>1</v>
      </c>
      <c r="H134" s="470">
        <v>95</v>
      </c>
      <c r="I134" s="470">
        <v>1</v>
      </c>
      <c r="J134" s="470">
        <f t="shared" si="31"/>
        <v>85</v>
      </c>
      <c r="K134" s="470">
        <v>1</v>
      </c>
      <c r="L134" s="487">
        <f t="shared" si="32"/>
        <v>9.1666666666666661</v>
      </c>
      <c r="M134" s="470">
        <f t="shared" si="30"/>
        <v>550</v>
      </c>
      <c r="N134" s="474"/>
      <c r="O134" s="462">
        <f t="shared" si="33"/>
        <v>0</v>
      </c>
      <c r="P134" s="462">
        <f t="shared" si="34"/>
        <v>0</v>
      </c>
    </row>
    <row r="135" spans="1:16" x14ac:dyDescent="0.35">
      <c r="A135" s="661"/>
      <c r="B135" s="485" t="s">
        <v>688</v>
      </c>
      <c r="C135" s="661"/>
      <c r="D135" s="470">
        <v>110</v>
      </c>
      <c r="E135" s="470">
        <v>220</v>
      </c>
      <c r="F135" s="470">
        <v>95</v>
      </c>
      <c r="G135" s="470">
        <v>1</v>
      </c>
      <c r="H135" s="470">
        <v>105</v>
      </c>
      <c r="I135" s="470">
        <v>1</v>
      </c>
      <c r="J135" s="470">
        <f t="shared" si="31"/>
        <v>95</v>
      </c>
      <c r="K135" s="470">
        <v>1</v>
      </c>
      <c r="L135" s="487">
        <f t="shared" si="32"/>
        <v>10.416666666666666</v>
      </c>
      <c r="M135" s="470">
        <f t="shared" si="30"/>
        <v>625</v>
      </c>
      <c r="N135" s="474"/>
      <c r="O135" s="462">
        <f t="shared" si="33"/>
        <v>0</v>
      </c>
      <c r="P135" s="462">
        <f t="shared" si="34"/>
        <v>0</v>
      </c>
    </row>
    <row r="136" spans="1:16" x14ac:dyDescent="0.35">
      <c r="A136" s="661"/>
      <c r="B136" s="485" t="s">
        <v>171</v>
      </c>
      <c r="C136" s="661"/>
      <c r="D136" s="470">
        <v>150</v>
      </c>
      <c r="E136" s="470">
        <v>240</v>
      </c>
      <c r="F136" s="470">
        <v>110</v>
      </c>
      <c r="G136" s="470">
        <v>1</v>
      </c>
      <c r="H136" s="470">
        <v>120</v>
      </c>
      <c r="I136" s="470">
        <v>1</v>
      </c>
      <c r="J136" s="470">
        <f t="shared" si="31"/>
        <v>110</v>
      </c>
      <c r="K136" s="470">
        <v>1</v>
      </c>
      <c r="L136" s="487">
        <f t="shared" si="32"/>
        <v>12.166666666666666</v>
      </c>
      <c r="M136" s="470">
        <f t="shared" si="30"/>
        <v>730</v>
      </c>
      <c r="N136" s="474"/>
      <c r="O136" s="462">
        <f t="shared" si="33"/>
        <v>0</v>
      </c>
      <c r="P136" s="462">
        <f t="shared" si="34"/>
        <v>0</v>
      </c>
    </row>
    <row r="137" spans="1:16" x14ac:dyDescent="0.35">
      <c r="A137" s="661"/>
      <c r="B137" s="485" t="s">
        <v>195</v>
      </c>
      <c r="C137" s="661"/>
      <c r="D137" s="470">
        <v>180</v>
      </c>
      <c r="E137" s="470">
        <v>265</v>
      </c>
      <c r="F137" s="470">
        <v>120</v>
      </c>
      <c r="G137" s="470">
        <v>1</v>
      </c>
      <c r="H137" s="470">
        <v>130</v>
      </c>
      <c r="I137" s="470">
        <v>1</v>
      </c>
      <c r="J137" s="470">
        <f t="shared" si="31"/>
        <v>120</v>
      </c>
      <c r="K137" s="470">
        <v>1</v>
      </c>
      <c r="L137" s="487">
        <f t="shared" si="32"/>
        <v>13.583333333333334</v>
      </c>
      <c r="M137" s="470">
        <f t="shared" si="30"/>
        <v>815</v>
      </c>
      <c r="N137" s="474"/>
      <c r="O137" s="462">
        <f t="shared" si="33"/>
        <v>0</v>
      </c>
      <c r="P137" s="462">
        <f t="shared" si="34"/>
        <v>0</v>
      </c>
    </row>
    <row r="138" spans="1:16" x14ac:dyDescent="0.35">
      <c r="A138" s="661"/>
      <c r="B138" s="485" t="s">
        <v>1406</v>
      </c>
      <c r="C138" s="661"/>
      <c r="D138" s="470">
        <v>200</v>
      </c>
      <c r="E138" s="470">
        <v>280</v>
      </c>
      <c r="F138" s="470">
        <v>135</v>
      </c>
      <c r="G138" s="470">
        <v>1</v>
      </c>
      <c r="H138" s="470">
        <v>145</v>
      </c>
      <c r="I138" s="470">
        <v>1</v>
      </c>
      <c r="J138" s="470">
        <f t="shared" si="31"/>
        <v>135</v>
      </c>
      <c r="K138" s="470">
        <v>1</v>
      </c>
      <c r="L138" s="487">
        <f t="shared" si="32"/>
        <v>14.916666666666666</v>
      </c>
      <c r="M138" s="470">
        <f t="shared" si="30"/>
        <v>895</v>
      </c>
      <c r="N138" s="474"/>
      <c r="O138" s="462">
        <f t="shared" si="33"/>
        <v>0</v>
      </c>
      <c r="P138" s="462">
        <f t="shared" si="34"/>
        <v>0</v>
      </c>
    </row>
    <row r="139" spans="1:16" x14ac:dyDescent="0.35">
      <c r="A139" s="661"/>
      <c r="B139" s="485" t="s">
        <v>1407</v>
      </c>
      <c r="C139" s="661"/>
      <c r="D139" s="470">
        <v>220</v>
      </c>
      <c r="E139" s="470">
        <v>300</v>
      </c>
      <c r="F139" s="470">
        <v>145</v>
      </c>
      <c r="G139" s="470">
        <v>1</v>
      </c>
      <c r="H139" s="470">
        <v>155</v>
      </c>
      <c r="I139" s="470">
        <v>1</v>
      </c>
      <c r="J139" s="470">
        <f t="shared" si="31"/>
        <v>145</v>
      </c>
      <c r="K139" s="470">
        <v>1</v>
      </c>
      <c r="L139" s="487">
        <f t="shared" si="32"/>
        <v>16.083333333333332</v>
      </c>
      <c r="M139" s="470">
        <f t="shared" si="30"/>
        <v>965</v>
      </c>
      <c r="N139" s="474"/>
      <c r="O139" s="462">
        <f t="shared" si="33"/>
        <v>0</v>
      </c>
      <c r="P139" s="462">
        <f t="shared" si="34"/>
        <v>0</v>
      </c>
    </row>
    <row r="140" spans="1:16" x14ac:dyDescent="0.35">
      <c r="A140" s="661"/>
      <c r="B140" s="485" t="s">
        <v>1408</v>
      </c>
      <c r="C140" s="661"/>
      <c r="D140" s="470">
        <v>270</v>
      </c>
      <c r="E140" s="470">
        <v>325</v>
      </c>
      <c r="F140" s="470">
        <v>155</v>
      </c>
      <c r="G140" s="470">
        <v>1</v>
      </c>
      <c r="H140" s="470">
        <v>165</v>
      </c>
      <c r="I140" s="470">
        <v>1</v>
      </c>
      <c r="J140" s="470">
        <f t="shared" si="31"/>
        <v>155</v>
      </c>
      <c r="K140" s="470">
        <v>1</v>
      </c>
      <c r="L140" s="487">
        <f t="shared" si="32"/>
        <v>17.833333333333332</v>
      </c>
      <c r="M140" s="470">
        <f t="shared" si="30"/>
        <v>1070</v>
      </c>
      <c r="N140" s="474"/>
      <c r="O140" s="462">
        <f t="shared" si="33"/>
        <v>0</v>
      </c>
      <c r="P140" s="462">
        <f t="shared" si="34"/>
        <v>0</v>
      </c>
    </row>
    <row r="141" spans="1:16" x14ac:dyDescent="0.35">
      <c r="A141" s="661"/>
      <c r="B141" s="485" t="s">
        <v>1409</v>
      </c>
      <c r="C141" s="661"/>
      <c r="D141" s="470">
        <v>310</v>
      </c>
      <c r="E141" s="470">
        <v>350</v>
      </c>
      <c r="F141" s="470">
        <v>160</v>
      </c>
      <c r="G141" s="470">
        <v>1</v>
      </c>
      <c r="H141" s="470">
        <v>175</v>
      </c>
      <c r="I141" s="470">
        <v>1</v>
      </c>
      <c r="J141" s="470">
        <f t="shared" si="31"/>
        <v>160</v>
      </c>
      <c r="K141" s="470">
        <v>1</v>
      </c>
      <c r="L141" s="487">
        <f t="shared" si="32"/>
        <v>19.25</v>
      </c>
      <c r="M141" s="470">
        <f t="shared" si="30"/>
        <v>1155</v>
      </c>
      <c r="N141" s="474"/>
      <c r="O141" s="462">
        <f t="shared" si="33"/>
        <v>0</v>
      </c>
      <c r="P141" s="462">
        <f t="shared" si="34"/>
        <v>0</v>
      </c>
    </row>
    <row r="142" spans="1:16" x14ac:dyDescent="0.35">
      <c r="B142" s="463"/>
    </row>
    <row r="143" spans="1:16" ht="18.5" x14ac:dyDescent="0.35">
      <c r="B143" s="463"/>
      <c r="D143" s="662" t="s">
        <v>1385</v>
      </c>
      <c r="E143" s="662"/>
      <c r="F143" s="662"/>
      <c r="G143" s="662"/>
      <c r="H143" s="662"/>
      <c r="I143" s="662"/>
      <c r="J143" s="662"/>
      <c r="K143" s="662"/>
      <c r="L143" s="464"/>
    </row>
    <row r="144" spans="1:16" ht="18.5" x14ac:dyDescent="0.35">
      <c r="A144" s="465"/>
      <c r="B144" s="466"/>
      <c r="C144" s="466"/>
      <c r="D144" s="662"/>
      <c r="E144" s="662"/>
      <c r="F144" s="662"/>
      <c r="G144" s="662"/>
      <c r="H144" s="662"/>
      <c r="I144" s="662"/>
      <c r="J144" s="662"/>
      <c r="K144" s="662"/>
      <c r="L144" s="467"/>
    </row>
    <row r="145" spans="1:16" ht="18.5" x14ac:dyDescent="0.45">
      <c r="A145" s="663" t="s">
        <v>1386</v>
      </c>
      <c r="B145" s="663" t="s">
        <v>1387</v>
      </c>
      <c r="C145" s="663" t="s">
        <v>1388</v>
      </c>
      <c r="D145" s="663" t="s">
        <v>1389</v>
      </c>
      <c r="E145" s="665" t="s">
        <v>1390</v>
      </c>
      <c r="F145" s="666" t="s">
        <v>1391</v>
      </c>
      <c r="G145" s="667"/>
      <c r="H145" s="667"/>
      <c r="I145" s="667"/>
      <c r="J145" s="667"/>
      <c r="K145" s="668"/>
      <c r="L145" s="657" t="s">
        <v>1392</v>
      </c>
      <c r="M145" s="658" t="s">
        <v>1393</v>
      </c>
      <c r="N145" s="659" t="s">
        <v>1394</v>
      </c>
      <c r="O145" s="462" t="s">
        <v>1395</v>
      </c>
      <c r="P145" s="462" t="s">
        <v>1395</v>
      </c>
    </row>
    <row r="146" spans="1:16" x14ac:dyDescent="0.35">
      <c r="A146" s="664"/>
      <c r="B146" s="664"/>
      <c r="C146" s="664"/>
      <c r="D146" s="664"/>
      <c r="E146" s="665"/>
      <c r="F146" s="468" t="s">
        <v>1396</v>
      </c>
      <c r="G146" s="468" t="s">
        <v>1397</v>
      </c>
      <c r="H146" s="468" t="s">
        <v>1398</v>
      </c>
      <c r="I146" s="469" t="s">
        <v>1397</v>
      </c>
      <c r="J146" s="469" t="s">
        <v>1399</v>
      </c>
      <c r="K146" s="469" t="s">
        <v>1397</v>
      </c>
      <c r="L146" s="657"/>
      <c r="M146" s="658"/>
      <c r="N146" s="660"/>
      <c r="O146" s="462" t="s">
        <v>1400</v>
      </c>
      <c r="P146" s="462" t="s">
        <v>1401</v>
      </c>
    </row>
    <row r="147" spans="1:16" x14ac:dyDescent="0.35">
      <c r="A147" s="661" t="s">
        <v>1413</v>
      </c>
      <c r="B147" s="485" t="s">
        <v>1403</v>
      </c>
      <c r="C147" s="661">
        <v>300</v>
      </c>
      <c r="D147" s="470">
        <v>15</v>
      </c>
      <c r="E147" s="470">
        <f>E124+15</f>
        <v>40</v>
      </c>
      <c r="F147" s="470">
        <f>F124+5</f>
        <v>10</v>
      </c>
      <c r="G147" s="470">
        <v>1</v>
      </c>
      <c r="H147" s="470">
        <f>H124+5</f>
        <v>15</v>
      </c>
      <c r="I147" s="470">
        <v>1</v>
      </c>
      <c r="J147" s="470">
        <f>F147</f>
        <v>10</v>
      </c>
      <c r="K147" s="470">
        <v>1</v>
      </c>
      <c r="L147" s="470">
        <f>M147/60</f>
        <v>1.5</v>
      </c>
      <c r="M147" s="470">
        <f t="shared" ref="M147:M164" si="35">D147+E147+F147+H147+J147</f>
        <v>90</v>
      </c>
      <c r="N147" s="474"/>
      <c r="O147" s="462">
        <f>N147*L147</f>
        <v>0</v>
      </c>
      <c r="P147" s="462">
        <f>O147/8</f>
        <v>0</v>
      </c>
    </row>
    <row r="148" spans="1:16" x14ac:dyDescent="0.35">
      <c r="A148" s="661"/>
      <c r="B148" s="485" t="s">
        <v>1404</v>
      </c>
      <c r="C148" s="661"/>
      <c r="D148" s="470">
        <v>20</v>
      </c>
      <c r="E148" s="470">
        <f t="shared" ref="E148:E164" si="36">E125+15</f>
        <v>55</v>
      </c>
      <c r="F148" s="470">
        <f t="shared" ref="F148:F164" si="37">F125+5</f>
        <v>15</v>
      </c>
      <c r="G148" s="470">
        <v>1</v>
      </c>
      <c r="H148" s="470">
        <f t="shared" ref="H148:H164" si="38">H125+5</f>
        <v>20</v>
      </c>
      <c r="I148" s="470">
        <v>1</v>
      </c>
      <c r="J148" s="470">
        <f>F148</f>
        <v>15</v>
      </c>
      <c r="K148" s="470">
        <v>1</v>
      </c>
      <c r="L148" s="472">
        <f t="shared" ref="L148:L164" si="39">M148/60</f>
        <v>2.0833333333333335</v>
      </c>
      <c r="M148" s="470">
        <f t="shared" si="35"/>
        <v>125</v>
      </c>
      <c r="N148" s="474"/>
      <c r="O148" s="462">
        <f t="shared" ref="O148:O164" si="40">N148*L148</f>
        <v>0</v>
      </c>
      <c r="P148" s="462">
        <f t="shared" ref="P148:P164" si="41">O148/8</f>
        <v>0</v>
      </c>
    </row>
    <row r="149" spans="1:16" x14ac:dyDescent="0.35">
      <c r="A149" s="661"/>
      <c r="B149" s="485" t="s">
        <v>1411</v>
      </c>
      <c r="C149" s="661"/>
      <c r="D149" s="470">
        <v>20</v>
      </c>
      <c r="E149" s="470">
        <f t="shared" si="36"/>
        <v>70</v>
      </c>
      <c r="F149" s="470">
        <f t="shared" si="37"/>
        <v>20</v>
      </c>
      <c r="G149" s="470">
        <v>1</v>
      </c>
      <c r="H149" s="470">
        <f t="shared" si="38"/>
        <v>25</v>
      </c>
      <c r="I149" s="470">
        <v>1</v>
      </c>
      <c r="J149" s="470">
        <f>F149</f>
        <v>20</v>
      </c>
      <c r="K149" s="470">
        <v>1</v>
      </c>
      <c r="L149" s="472">
        <f t="shared" si="39"/>
        <v>2.5833333333333335</v>
      </c>
      <c r="M149" s="470">
        <f t="shared" si="35"/>
        <v>155</v>
      </c>
      <c r="N149" s="474"/>
      <c r="O149" s="462">
        <f t="shared" si="40"/>
        <v>0</v>
      </c>
      <c r="P149" s="462">
        <f t="shared" si="41"/>
        <v>0</v>
      </c>
    </row>
    <row r="150" spans="1:16" x14ac:dyDescent="0.35">
      <c r="A150" s="661"/>
      <c r="B150" s="485" t="s">
        <v>85</v>
      </c>
      <c r="C150" s="661"/>
      <c r="D150" s="470">
        <v>25</v>
      </c>
      <c r="E150" s="470">
        <f t="shared" si="36"/>
        <v>80</v>
      </c>
      <c r="F150" s="470">
        <f t="shared" si="37"/>
        <v>25</v>
      </c>
      <c r="G150" s="470">
        <v>1</v>
      </c>
      <c r="H150" s="470">
        <f t="shared" si="38"/>
        <v>30</v>
      </c>
      <c r="I150" s="470">
        <v>1</v>
      </c>
      <c r="J150" s="470">
        <v>25</v>
      </c>
      <c r="K150" s="470">
        <v>1</v>
      </c>
      <c r="L150" s="472">
        <f t="shared" si="39"/>
        <v>3.0833333333333335</v>
      </c>
      <c r="M150" s="470">
        <f t="shared" si="35"/>
        <v>185</v>
      </c>
      <c r="N150" s="474"/>
      <c r="O150" s="462">
        <f t="shared" si="40"/>
        <v>0</v>
      </c>
      <c r="P150" s="462">
        <f t="shared" si="41"/>
        <v>0</v>
      </c>
    </row>
    <row r="151" spans="1:16" x14ac:dyDescent="0.35">
      <c r="A151" s="661"/>
      <c r="B151" s="485" t="s">
        <v>84</v>
      </c>
      <c r="C151" s="661"/>
      <c r="D151" s="470">
        <v>30</v>
      </c>
      <c r="E151" s="470">
        <f t="shared" si="36"/>
        <v>90</v>
      </c>
      <c r="F151" s="470">
        <f t="shared" si="37"/>
        <v>35</v>
      </c>
      <c r="G151" s="470">
        <v>1</v>
      </c>
      <c r="H151" s="470">
        <f t="shared" si="38"/>
        <v>40</v>
      </c>
      <c r="I151" s="470">
        <v>1</v>
      </c>
      <c r="J151" s="470">
        <f t="shared" ref="J151:J164" si="42">F151</f>
        <v>35</v>
      </c>
      <c r="K151" s="470">
        <v>1</v>
      </c>
      <c r="L151" s="472">
        <f t="shared" si="39"/>
        <v>3.8333333333333335</v>
      </c>
      <c r="M151" s="470">
        <f t="shared" si="35"/>
        <v>230</v>
      </c>
      <c r="N151" s="474"/>
      <c r="O151" s="462">
        <f t="shared" si="40"/>
        <v>0</v>
      </c>
      <c r="P151" s="462">
        <f t="shared" si="41"/>
        <v>0</v>
      </c>
    </row>
    <row r="152" spans="1:16" x14ac:dyDescent="0.35">
      <c r="A152" s="661"/>
      <c r="B152" s="485" t="s">
        <v>82</v>
      </c>
      <c r="C152" s="661"/>
      <c r="D152" s="470">
        <v>35</v>
      </c>
      <c r="E152" s="470">
        <f t="shared" si="36"/>
        <v>105</v>
      </c>
      <c r="F152" s="470">
        <f t="shared" si="37"/>
        <v>45</v>
      </c>
      <c r="G152" s="470">
        <v>1</v>
      </c>
      <c r="H152" s="470">
        <f t="shared" si="38"/>
        <v>50</v>
      </c>
      <c r="I152" s="470">
        <v>1</v>
      </c>
      <c r="J152" s="470">
        <f t="shared" si="42"/>
        <v>45</v>
      </c>
      <c r="K152" s="470">
        <v>1</v>
      </c>
      <c r="L152" s="472">
        <f t="shared" si="39"/>
        <v>4.666666666666667</v>
      </c>
      <c r="M152" s="470">
        <f t="shared" si="35"/>
        <v>280</v>
      </c>
      <c r="N152" s="474"/>
      <c r="O152" s="462">
        <f t="shared" si="40"/>
        <v>0</v>
      </c>
      <c r="P152" s="462">
        <f t="shared" si="41"/>
        <v>0</v>
      </c>
    </row>
    <row r="153" spans="1:16" x14ac:dyDescent="0.35">
      <c r="A153" s="661"/>
      <c r="B153" s="485" t="s">
        <v>120</v>
      </c>
      <c r="C153" s="661"/>
      <c r="D153" s="470">
        <v>40</v>
      </c>
      <c r="E153" s="470">
        <f t="shared" si="36"/>
        <v>120</v>
      </c>
      <c r="F153" s="470">
        <f t="shared" si="37"/>
        <v>55</v>
      </c>
      <c r="G153" s="470">
        <v>1</v>
      </c>
      <c r="H153" s="470">
        <f t="shared" si="38"/>
        <v>60</v>
      </c>
      <c r="I153" s="470">
        <v>1</v>
      </c>
      <c r="J153" s="470">
        <f t="shared" si="42"/>
        <v>55</v>
      </c>
      <c r="K153" s="470">
        <v>1</v>
      </c>
      <c r="L153" s="472">
        <f t="shared" si="39"/>
        <v>5.5</v>
      </c>
      <c r="M153" s="470">
        <f t="shared" si="35"/>
        <v>330</v>
      </c>
      <c r="N153" s="474"/>
      <c r="O153" s="462">
        <f t="shared" si="40"/>
        <v>0</v>
      </c>
      <c r="P153" s="462">
        <f t="shared" si="41"/>
        <v>0</v>
      </c>
    </row>
    <row r="154" spans="1:16" x14ac:dyDescent="0.35">
      <c r="A154" s="661"/>
      <c r="B154" s="485" t="s">
        <v>80</v>
      </c>
      <c r="C154" s="661"/>
      <c r="D154" s="470">
        <v>55</v>
      </c>
      <c r="E154" s="470">
        <f t="shared" si="36"/>
        <v>150</v>
      </c>
      <c r="F154" s="470">
        <f t="shared" si="37"/>
        <v>60</v>
      </c>
      <c r="G154" s="470">
        <v>1</v>
      </c>
      <c r="H154" s="470">
        <f t="shared" si="38"/>
        <v>65</v>
      </c>
      <c r="I154" s="470">
        <v>1</v>
      </c>
      <c r="J154" s="470">
        <f t="shared" si="42"/>
        <v>60</v>
      </c>
      <c r="K154" s="470">
        <v>1</v>
      </c>
      <c r="L154" s="472">
        <f t="shared" si="39"/>
        <v>6.5</v>
      </c>
      <c r="M154" s="470">
        <f t="shared" si="35"/>
        <v>390</v>
      </c>
      <c r="N154" s="474"/>
      <c r="O154" s="462">
        <f t="shared" si="40"/>
        <v>0</v>
      </c>
      <c r="P154" s="462">
        <f t="shared" si="41"/>
        <v>0</v>
      </c>
    </row>
    <row r="155" spans="1:16" x14ac:dyDescent="0.35">
      <c r="A155" s="661"/>
      <c r="B155" s="485" t="s">
        <v>119</v>
      </c>
      <c r="C155" s="661"/>
      <c r="D155" s="470">
        <v>70</v>
      </c>
      <c r="E155" s="470">
        <f t="shared" si="36"/>
        <v>175</v>
      </c>
      <c r="F155" s="470">
        <f t="shared" si="37"/>
        <v>70</v>
      </c>
      <c r="G155" s="470">
        <v>1</v>
      </c>
      <c r="H155" s="470">
        <f t="shared" si="38"/>
        <v>80</v>
      </c>
      <c r="I155" s="470">
        <v>1</v>
      </c>
      <c r="J155" s="470">
        <f t="shared" si="42"/>
        <v>70</v>
      </c>
      <c r="K155" s="470">
        <v>1</v>
      </c>
      <c r="L155" s="472">
        <f t="shared" si="39"/>
        <v>7.75</v>
      </c>
      <c r="M155" s="470">
        <f t="shared" si="35"/>
        <v>465</v>
      </c>
      <c r="N155" s="474"/>
      <c r="O155" s="462">
        <f t="shared" si="40"/>
        <v>0</v>
      </c>
      <c r="P155" s="462">
        <f t="shared" si="41"/>
        <v>0</v>
      </c>
    </row>
    <row r="156" spans="1:16" x14ac:dyDescent="0.35">
      <c r="A156" s="661"/>
      <c r="B156" s="485" t="s">
        <v>179</v>
      </c>
      <c r="C156" s="661"/>
      <c r="D156" s="470">
        <v>85</v>
      </c>
      <c r="E156" s="470">
        <f t="shared" si="36"/>
        <v>190</v>
      </c>
      <c r="F156" s="470">
        <f t="shared" si="37"/>
        <v>80</v>
      </c>
      <c r="G156" s="470">
        <v>1</v>
      </c>
      <c r="H156" s="470">
        <f t="shared" si="38"/>
        <v>90</v>
      </c>
      <c r="I156" s="470">
        <v>1</v>
      </c>
      <c r="J156" s="470">
        <f t="shared" si="42"/>
        <v>80</v>
      </c>
      <c r="K156" s="470">
        <v>1</v>
      </c>
      <c r="L156" s="472">
        <f t="shared" si="39"/>
        <v>8.75</v>
      </c>
      <c r="M156" s="470">
        <f t="shared" si="35"/>
        <v>525</v>
      </c>
      <c r="N156" s="474"/>
      <c r="O156" s="462">
        <f t="shared" si="40"/>
        <v>0</v>
      </c>
      <c r="P156" s="462">
        <f t="shared" si="41"/>
        <v>0</v>
      </c>
    </row>
    <row r="157" spans="1:16" x14ac:dyDescent="0.35">
      <c r="A157" s="661"/>
      <c r="B157" s="485" t="s">
        <v>118</v>
      </c>
      <c r="C157" s="661"/>
      <c r="D157" s="470">
        <v>115</v>
      </c>
      <c r="E157" s="470">
        <f t="shared" si="36"/>
        <v>210</v>
      </c>
      <c r="F157" s="470">
        <f t="shared" si="37"/>
        <v>90</v>
      </c>
      <c r="G157" s="470">
        <v>1</v>
      </c>
      <c r="H157" s="470">
        <f t="shared" si="38"/>
        <v>100</v>
      </c>
      <c r="I157" s="470">
        <v>1</v>
      </c>
      <c r="J157" s="470">
        <f t="shared" si="42"/>
        <v>90</v>
      </c>
      <c r="K157" s="470">
        <v>1</v>
      </c>
      <c r="L157" s="472">
        <f t="shared" si="39"/>
        <v>10.083333333333334</v>
      </c>
      <c r="M157" s="470">
        <f t="shared" si="35"/>
        <v>605</v>
      </c>
      <c r="N157" s="474"/>
      <c r="O157" s="462">
        <f t="shared" si="40"/>
        <v>0</v>
      </c>
      <c r="P157" s="462">
        <f t="shared" si="41"/>
        <v>0</v>
      </c>
    </row>
    <row r="158" spans="1:16" x14ac:dyDescent="0.35">
      <c r="A158" s="661"/>
      <c r="B158" s="485" t="s">
        <v>688</v>
      </c>
      <c r="C158" s="661"/>
      <c r="D158" s="470">
        <v>140</v>
      </c>
      <c r="E158" s="470">
        <f t="shared" si="36"/>
        <v>235</v>
      </c>
      <c r="F158" s="470">
        <f t="shared" si="37"/>
        <v>100</v>
      </c>
      <c r="G158" s="470">
        <v>1</v>
      </c>
      <c r="H158" s="470">
        <f t="shared" si="38"/>
        <v>110</v>
      </c>
      <c r="I158" s="470">
        <v>1</v>
      </c>
      <c r="J158" s="470">
        <f t="shared" si="42"/>
        <v>100</v>
      </c>
      <c r="K158" s="470">
        <v>1</v>
      </c>
      <c r="L158" s="472">
        <f t="shared" si="39"/>
        <v>11.416666666666666</v>
      </c>
      <c r="M158" s="470">
        <f t="shared" si="35"/>
        <v>685</v>
      </c>
      <c r="N158" s="474"/>
      <c r="O158" s="462">
        <f t="shared" si="40"/>
        <v>0</v>
      </c>
      <c r="P158" s="462">
        <f t="shared" si="41"/>
        <v>0</v>
      </c>
    </row>
    <row r="159" spans="1:16" x14ac:dyDescent="0.35">
      <c r="A159" s="661"/>
      <c r="B159" s="485" t="s">
        <v>171</v>
      </c>
      <c r="C159" s="661"/>
      <c r="D159" s="470">
        <v>190</v>
      </c>
      <c r="E159" s="470">
        <f t="shared" si="36"/>
        <v>255</v>
      </c>
      <c r="F159" s="470">
        <f t="shared" si="37"/>
        <v>115</v>
      </c>
      <c r="G159" s="470">
        <v>1</v>
      </c>
      <c r="H159" s="470">
        <f t="shared" si="38"/>
        <v>125</v>
      </c>
      <c r="I159" s="470">
        <v>1</v>
      </c>
      <c r="J159" s="470">
        <f t="shared" si="42"/>
        <v>115</v>
      </c>
      <c r="K159" s="470">
        <v>1</v>
      </c>
      <c r="L159" s="472">
        <f t="shared" si="39"/>
        <v>13.333333333333334</v>
      </c>
      <c r="M159" s="470">
        <f t="shared" si="35"/>
        <v>800</v>
      </c>
      <c r="N159" s="474"/>
      <c r="O159" s="462">
        <f t="shared" si="40"/>
        <v>0</v>
      </c>
      <c r="P159" s="462">
        <f t="shared" si="41"/>
        <v>0</v>
      </c>
    </row>
    <row r="160" spans="1:16" x14ac:dyDescent="0.35">
      <c r="A160" s="661"/>
      <c r="B160" s="485" t="s">
        <v>195</v>
      </c>
      <c r="C160" s="661"/>
      <c r="D160" s="470">
        <v>225</v>
      </c>
      <c r="E160" s="470">
        <f t="shared" si="36"/>
        <v>280</v>
      </c>
      <c r="F160" s="470">
        <f t="shared" si="37"/>
        <v>125</v>
      </c>
      <c r="G160" s="470">
        <v>1</v>
      </c>
      <c r="H160" s="470">
        <f t="shared" si="38"/>
        <v>135</v>
      </c>
      <c r="I160" s="470">
        <v>1</v>
      </c>
      <c r="J160" s="470">
        <f t="shared" si="42"/>
        <v>125</v>
      </c>
      <c r="K160" s="470">
        <v>1</v>
      </c>
      <c r="L160" s="472">
        <f t="shared" si="39"/>
        <v>14.833333333333334</v>
      </c>
      <c r="M160" s="470">
        <f t="shared" si="35"/>
        <v>890</v>
      </c>
      <c r="N160" s="474"/>
      <c r="O160" s="462">
        <f t="shared" si="40"/>
        <v>0</v>
      </c>
      <c r="P160" s="462">
        <f t="shared" si="41"/>
        <v>0</v>
      </c>
    </row>
    <row r="161" spans="1:16" x14ac:dyDescent="0.35">
      <c r="A161" s="661"/>
      <c r="B161" s="485" t="s">
        <v>1406</v>
      </c>
      <c r="C161" s="661"/>
      <c r="D161" s="470">
        <v>240</v>
      </c>
      <c r="E161" s="470">
        <f t="shared" si="36"/>
        <v>295</v>
      </c>
      <c r="F161" s="470">
        <f t="shared" si="37"/>
        <v>140</v>
      </c>
      <c r="G161" s="470">
        <v>1</v>
      </c>
      <c r="H161" s="470">
        <f t="shared" si="38"/>
        <v>150</v>
      </c>
      <c r="I161" s="470">
        <v>1</v>
      </c>
      <c r="J161" s="470">
        <f t="shared" si="42"/>
        <v>140</v>
      </c>
      <c r="K161" s="470">
        <v>1</v>
      </c>
      <c r="L161" s="472">
        <f t="shared" si="39"/>
        <v>16.083333333333332</v>
      </c>
      <c r="M161" s="470">
        <f t="shared" si="35"/>
        <v>965</v>
      </c>
      <c r="N161" s="474"/>
      <c r="O161" s="462">
        <f t="shared" si="40"/>
        <v>0</v>
      </c>
      <c r="P161" s="462">
        <f t="shared" si="41"/>
        <v>0</v>
      </c>
    </row>
    <row r="162" spans="1:16" x14ac:dyDescent="0.35">
      <c r="A162" s="661"/>
      <c r="B162" s="485" t="s">
        <v>1407</v>
      </c>
      <c r="C162" s="661"/>
      <c r="D162" s="470">
        <v>250</v>
      </c>
      <c r="E162" s="470">
        <f t="shared" si="36"/>
        <v>315</v>
      </c>
      <c r="F162" s="470">
        <f t="shared" si="37"/>
        <v>150</v>
      </c>
      <c r="G162" s="470">
        <v>1</v>
      </c>
      <c r="H162" s="470">
        <f t="shared" si="38"/>
        <v>160</v>
      </c>
      <c r="I162" s="470">
        <v>1</v>
      </c>
      <c r="J162" s="470">
        <f t="shared" si="42"/>
        <v>150</v>
      </c>
      <c r="K162" s="470">
        <v>1</v>
      </c>
      <c r="L162" s="472">
        <f t="shared" si="39"/>
        <v>17.083333333333332</v>
      </c>
      <c r="M162" s="470">
        <f t="shared" si="35"/>
        <v>1025</v>
      </c>
      <c r="N162" s="474"/>
      <c r="O162" s="462">
        <f t="shared" si="40"/>
        <v>0</v>
      </c>
      <c r="P162" s="462">
        <f t="shared" si="41"/>
        <v>0</v>
      </c>
    </row>
    <row r="163" spans="1:16" x14ac:dyDescent="0.35">
      <c r="A163" s="661"/>
      <c r="B163" s="485" t="s">
        <v>1408</v>
      </c>
      <c r="C163" s="661"/>
      <c r="D163" s="470">
        <v>280</v>
      </c>
      <c r="E163" s="470">
        <f t="shared" si="36"/>
        <v>340</v>
      </c>
      <c r="F163" s="470">
        <f t="shared" si="37"/>
        <v>160</v>
      </c>
      <c r="G163" s="470">
        <v>1</v>
      </c>
      <c r="H163" s="470">
        <f t="shared" si="38"/>
        <v>170</v>
      </c>
      <c r="I163" s="470">
        <v>1</v>
      </c>
      <c r="J163" s="470">
        <f t="shared" si="42"/>
        <v>160</v>
      </c>
      <c r="K163" s="470">
        <v>1</v>
      </c>
      <c r="L163" s="472">
        <f t="shared" si="39"/>
        <v>18.5</v>
      </c>
      <c r="M163" s="470">
        <f t="shared" si="35"/>
        <v>1110</v>
      </c>
      <c r="N163" s="474"/>
      <c r="O163" s="462">
        <f t="shared" si="40"/>
        <v>0</v>
      </c>
      <c r="P163" s="462">
        <f t="shared" si="41"/>
        <v>0</v>
      </c>
    </row>
    <row r="164" spans="1:16" x14ac:dyDescent="0.35">
      <c r="A164" s="661"/>
      <c r="B164" s="485" t="s">
        <v>1409</v>
      </c>
      <c r="C164" s="661"/>
      <c r="D164" s="470">
        <v>320</v>
      </c>
      <c r="E164" s="470">
        <f t="shared" si="36"/>
        <v>365</v>
      </c>
      <c r="F164" s="470">
        <f t="shared" si="37"/>
        <v>165</v>
      </c>
      <c r="G164" s="470">
        <v>1</v>
      </c>
      <c r="H164" s="470">
        <f t="shared" si="38"/>
        <v>180</v>
      </c>
      <c r="I164" s="470">
        <v>1</v>
      </c>
      <c r="J164" s="470">
        <f t="shared" si="42"/>
        <v>165</v>
      </c>
      <c r="K164" s="470">
        <v>1</v>
      </c>
      <c r="L164" s="472">
        <f t="shared" si="39"/>
        <v>19.916666666666668</v>
      </c>
      <c r="M164" s="470">
        <f t="shared" si="35"/>
        <v>1195</v>
      </c>
      <c r="N164" s="474"/>
      <c r="O164" s="462">
        <f t="shared" si="40"/>
        <v>0</v>
      </c>
      <c r="P164" s="462">
        <f t="shared" si="41"/>
        <v>0</v>
      </c>
    </row>
    <row r="166" spans="1:16" ht="18.5" x14ac:dyDescent="0.35">
      <c r="B166" s="463"/>
      <c r="D166" s="662" t="s">
        <v>1385</v>
      </c>
      <c r="E166" s="662"/>
      <c r="F166" s="662"/>
      <c r="G166" s="662"/>
      <c r="H166" s="662"/>
      <c r="I166" s="662"/>
      <c r="J166" s="662"/>
      <c r="K166" s="662"/>
      <c r="L166" s="662"/>
      <c r="M166" s="662"/>
      <c r="N166" s="464"/>
    </row>
    <row r="167" spans="1:16" ht="18.5" x14ac:dyDescent="0.35">
      <c r="A167" s="465"/>
      <c r="B167" s="466"/>
      <c r="C167" s="466"/>
      <c r="D167" s="662"/>
      <c r="E167" s="662"/>
      <c r="F167" s="662"/>
      <c r="G167" s="662"/>
      <c r="H167" s="662"/>
      <c r="I167" s="662"/>
      <c r="J167" s="662"/>
      <c r="K167" s="662"/>
      <c r="L167" s="662"/>
      <c r="M167" s="662"/>
      <c r="N167" s="467"/>
    </row>
    <row r="168" spans="1:16" ht="18.5" x14ac:dyDescent="0.45">
      <c r="A168" s="663" t="s">
        <v>1386</v>
      </c>
      <c r="B168" s="663" t="s">
        <v>1387</v>
      </c>
      <c r="C168" s="663" t="s">
        <v>1388</v>
      </c>
      <c r="D168" s="663" t="s">
        <v>1389</v>
      </c>
      <c r="E168" s="665" t="s">
        <v>1390</v>
      </c>
      <c r="F168" s="666" t="s">
        <v>1391</v>
      </c>
      <c r="G168" s="667"/>
      <c r="H168" s="667"/>
      <c r="I168" s="667"/>
      <c r="J168" s="667"/>
      <c r="K168" s="668"/>
      <c r="L168" s="657" t="s">
        <v>1392</v>
      </c>
      <c r="M168" s="658" t="s">
        <v>1393</v>
      </c>
      <c r="N168" s="659" t="s">
        <v>1394</v>
      </c>
      <c r="O168" s="462" t="s">
        <v>1395</v>
      </c>
      <c r="P168" s="462" t="s">
        <v>1395</v>
      </c>
    </row>
    <row r="169" spans="1:16" x14ac:dyDescent="0.35">
      <c r="A169" s="681"/>
      <c r="B169" s="664"/>
      <c r="C169" s="664"/>
      <c r="D169" s="664"/>
      <c r="E169" s="665"/>
      <c r="F169" s="468" t="s">
        <v>1396</v>
      </c>
      <c r="G169" s="468" t="s">
        <v>1397</v>
      </c>
      <c r="H169" s="468" t="s">
        <v>1398</v>
      </c>
      <c r="I169" s="469" t="s">
        <v>1397</v>
      </c>
      <c r="J169" s="469" t="s">
        <v>1399</v>
      </c>
      <c r="K169" s="469" t="s">
        <v>1397</v>
      </c>
      <c r="L169" s="657"/>
      <c r="M169" s="658"/>
      <c r="N169" s="660"/>
      <c r="O169" s="462" t="s">
        <v>1400</v>
      </c>
      <c r="P169" s="462" t="s">
        <v>1401</v>
      </c>
    </row>
    <row r="170" spans="1:16" x14ac:dyDescent="0.35">
      <c r="A170" s="680" t="s">
        <v>1414</v>
      </c>
      <c r="B170" s="485" t="s">
        <v>1403</v>
      </c>
      <c r="C170" s="661">
        <v>150</v>
      </c>
      <c r="D170" s="470">
        <v>10</v>
      </c>
      <c r="E170" s="470">
        <v>15</v>
      </c>
      <c r="F170" s="470">
        <v>10</v>
      </c>
      <c r="G170" s="470">
        <v>1</v>
      </c>
      <c r="H170" s="470">
        <v>15</v>
      </c>
      <c r="I170" s="470">
        <v>1</v>
      </c>
      <c r="J170" s="470">
        <v>10</v>
      </c>
      <c r="K170" s="470">
        <v>1</v>
      </c>
      <c r="L170" s="472">
        <f>M170/60</f>
        <v>1</v>
      </c>
      <c r="M170" s="470">
        <f t="shared" ref="M170:M187" si="43">D170+E170+F170+H170+J170</f>
        <v>60</v>
      </c>
      <c r="N170" s="474"/>
      <c r="O170" s="462">
        <f>N170*L170</f>
        <v>0</v>
      </c>
      <c r="P170" s="462">
        <f>O170/8</f>
        <v>0</v>
      </c>
    </row>
    <row r="171" spans="1:16" x14ac:dyDescent="0.35">
      <c r="A171" s="680"/>
      <c r="B171" s="485" t="s">
        <v>1404</v>
      </c>
      <c r="C171" s="661"/>
      <c r="D171" s="470">
        <v>10</v>
      </c>
      <c r="E171" s="470">
        <v>15</v>
      </c>
      <c r="F171" s="470">
        <v>10</v>
      </c>
      <c r="G171" s="470">
        <v>1</v>
      </c>
      <c r="H171" s="470">
        <v>15</v>
      </c>
      <c r="I171" s="470">
        <v>1</v>
      </c>
      <c r="J171" s="470">
        <v>10</v>
      </c>
      <c r="K171" s="470">
        <v>1</v>
      </c>
      <c r="L171" s="472">
        <f t="shared" ref="L171:L187" si="44">M171/60</f>
        <v>1</v>
      </c>
      <c r="M171" s="470">
        <f t="shared" si="43"/>
        <v>60</v>
      </c>
      <c r="N171" s="474"/>
      <c r="O171" s="462">
        <f t="shared" ref="O171:O187" si="45">N171*L171</f>
        <v>0</v>
      </c>
      <c r="P171" s="462">
        <f t="shared" ref="P171:P187" si="46">O171/8</f>
        <v>0</v>
      </c>
    </row>
    <row r="172" spans="1:16" x14ac:dyDescent="0.35">
      <c r="A172" s="680"/>
      <c r="B172" s="485" t="s">
        <v>1411</v>
      </c>
      <c r="C172" s="661"/>
      <c r="D172" s="470">
        <v>15</v>
      </c>
      <c r="E172" s="470">
        <v>25</v>
      </c>
      <c r="F172" s="470">
        <v>15</v>
      </c>
      <c r="G172" s="470">
        <v>1</v>
      </c>
      <c r="H172" s="470">
        <v>20</v>
      </c>
      <c r="I172" s="470">
        <v>1</v>
      </c>
      <c r="J172" s="470">
        <v>15</v>
      </c>
      <c r="K172" s="470">
        <v>1</v>
      </c>
      <c r="L172" s="472">
        <f t="shared" si="44"/>
        <v>1.5</v>
      </c>
      <c r="M172" s="470">
        <f t="shared" si="43"/>
        <v>90</v>
      </c>
      <c r="N172" s="474"/>
      <c r="O172" s="462">
        <f t="shared" si="45"/>
        <v>0</v>
      </c>
      <c r="P172" s="462">
        <f t="shared" si="46"/>
        <v>0</v>
      </c>
    </row>
    <row r="173" spans="1:16" x14ac:dyDescent="0.35">
      <c r="A173" s="680"/>
      <c r="B173" s="485" t="s">
        <v>85</v>
      </c>
      <c r="C173" s="661"/>
      <c r="D173" s="470">
        <v>20</v>
      </c>
      <c r="E173" s="470">
        <v>25</v>
      </c>
      <c r="F173" s="470">
        <v>15</v>
      </c>
      <c r="G173" s="470">
        <v>1</v>
      </c>
      <c r="H173" s="470">
        <v>20</v>
      </c>
      <c r="I173" s="470">
        <v>1</v>
      </c>
      <c r="J173" s="470">
        <v>15</v>
      </c>
      <c r="K173" s="470">
        <v>1</v>
      </c>
      <c r="L173" s="472">
        <f t="shared" si="44"/>
        <v>1.5833333333333333</v>
      </c>
      <c r="M173" s="470">
        <f t="shared" si="43"/>
        <v>95</v>
      </c>
      <c r="N173" s="474"/>
      <c r="O173" s="462">
        <f t="shared" si="45"/>
        <v>0</v>
      </c>
      <c r="P173" s="462">
        <f t="shared" si="46"/>
        <v>0</v>
      </c>
    </row>
    <row r="174" spans="1:16" x14ac:dyDescent="0.35">
      <c r="A174" s="680"/>
      <c r="B174" s="485" t="s">
        <v>84</v>
      </c>
      <c r="C174" s="661"/>
      <c r="D174" s="470">
        <v>25</v>
      </c>
      <c r="E174" s="470">
        <v>30</v>
      </c>
      <c r="F174" s="470">
        <v>15</v>
      </c>
      <c r="G174" s="470">
        <v>1</v>
      </c>
      <c r="H174" s="470">
        <v>20</v>
      </c>
      <c r="I174" s="470">
        <v>1</v>
      </c>
      <c r="J174" s="470">
        <v>15</v>
      </c>
      <c r="K174" s="470">
        <v>1</v>
      </c>
      <c r="L174" s="472">
        <f t="shared" si="44"/>
        <v>1.75</v>
      </c>
      <c r="M174" s="470">
        <f t="shared" si="43"/>
        <v>105</v>
      </c>
      <c r="N174" s="474"/>
      <c r="O174" s="462">
        <f t="shared" si="45"/>
        <v>0</v>
      </c>
      <c r="P174" s="462">
        <f t="shared" si="46"/>
        <v>0</v>
      </c>
    </row>
    <row r="175" spans="1:16" x14ac:dyDescent="0.35">
      <c r="A175" s="680"/>
      <c r="B175" s="485" t="s">
        <v>82</v>
      </c>
      <c r="C175" s="661"/>
      <c r="D175" s="470">
        <v>30</v>
      </c>
      <c r="E175" s="470">
        <v>40</v>
      </c>
      <c r="F175" s="470">
        <v>25</v>
      </c>
      <c r="G175" s="470">
        <v>1</v>
      </c>
      <c r="H175" s="470">
        <v>30</v>
      </c>
      <c r="I175" s="470">
        <v>1</v>
      </c>
      <c r="J175" s="470">
        <v>25</v>
      </c>
      <c r="K175" s="470">
        <v>1</v>
      </c>
      <c r="L175" s="472">
        <f t="shared" si="44"/>
        <v>2.5</v>
      </c>
      <c r="M175" s="470">
        <f t="shared" si="43"/>
        <v>150</v>
      </c>
      <c r="N175" s="474"/>
      <c r="O175" s="462">
        <f t="shared" si="45"/>
        <v>0</v>
      </c>
      <c r="P175" s="462">
        <f t="shared" si="46"/>
        <v>0</v>
      </c>
    </row>
    <row r="176" spans="1:16" x14ac:dyDescent="0.35">
      <c r="A176" s="680"/>
      <c r="B176" s="485" t="s">
        <v>120</v>
      </c>
      <c r="C176" s="661"/>
      <c r="D176" s="470">
        <v>40</v>
      </c>
      <c r="E176" s="470">
        <v>45</v>
      </c>
      <c r="F176" s="470">
        <v>30</v>
      </c>
      <c r="G176" s="470">
        <v>1</v>
      </c>
      <c r="H176" s="470">
        <v>40</v>
      </c>
      <c r="I176" s="470">
        <v>1</v>
      </c>
      <c r="J176" s="470">
        <v>30</v>
      </c>
      <c r="K176" s="470">
        <v>1</v>
      </c>
      <c r="L176" s="472">
        <f t="shared" si="44"/>
        <v>3.0833333333333335</v>
      </c>
      <c r="M176" s="470">
        <f t="shared" si="43"/>
        <v>185</v>
      </c>
      <c r="N176" s="474"/>
      <c r="O176" s="462">
        <f t="shared" si="45"/>
        <v>0</v>
      </c>
      <c r="P176" s="462">
        <f t="shared" si="46"/>
        <v>0</v>
      </c>
    </row>
    <row r="177" spans="1:16" x14ac:dyDescent="0.35">
      <c r="A177" s="680"/>
      <c r="B177" s="485" t="s">
        <v>80</v>
      </c>
      <c r="C177" s="661"/>
      <c r="D177" s="470">
        <v>45</v>
      </c>
      <c r="E177" s="470">
        <v>50</v>
      </c>
      <c r="F177" s="470">
        <v>40</v>
      </c>
      <c r="G177" s="470">
        <v>1</v>
      </c>
      <c r="H177" s="470">
        <v>50</v>
      </c>
      <c r="I177" s="470">
        <v>1</v>
      </c>
      <c r="J177" s="470">
        <v>40</v>
      </c>
      <c r="K177" s="470">
        <v>1</v>
      </c>
      <c r="L177" s="472">
        <f t="shared" si="44"/>
        <v>3.75</v>
      </c>
      <c r="M177" s="470">
        <f t="shared" si="43"/>
        <v>225</v>
      </c>
      <c r="N177" s="474"/>
      <c r="O177" s="462">
        <f t="shared" si="45"/>
        <v>0</v>
      </c>
      <c r="P177" s="462">
        <f t="shared" si="46"/>
        <v>0</v>
      </c>
    </row>
    <row r="178" spans="1:16" x14ac:dyDescent="0.35">
      <c r="A178" s="680"/>
      <c r="B178" s="485" t="s">
        <v>119</v>
      </c>
      <c r="C178" s="661"/>
      <c r="D178" s="470">
        <v>50</v>
      </c>
      <c r="E178" s="470">
        <v>60</v>
      </c>
      <c r="F178" s="470">
        <v>45</v>
      </c>
      <c r="G178" s="470">
        <v>1</v>
      </c>
      <c r="H178" s="470">
        <v>60</v>
      </c>
      <c r="I178" s="470">
        <v>1</v>
      </c>
      <c r="J178" s="470">
        <v>45</v>
      </c>
      <c r="K178" s="470">
        <v>1</v>
      </c>
      <c r="L178" s="472">
        <f t="shared" si="44"/>
        <v>4.333333333333333</v>
      </c>
      <c r="M178" s="470">
        <f t="shared" si="43"/>
        <v>260</v>
      </c>
      <c r="N178" s="474"/>
      <c r="O178" s="462">
        <f t="shared" si="45"/>
        <v>0</v>
      </c>
      <c r="P178" s="462">
        <f t="shared" si="46"/>
        <v>0</v>
      </c>
    </row>
    <row r="179" spans="1:16" x14ac:dyDescent="0.35">
      <c r="A179" s="680"/>
      <c r="B179" s="485" t="s">
        <v>179</v>
      </c>
      <c r="C179" s="661"/>
      <c r="D179" s="470">
        <v>55</v>
      </c>
      <c r="E179" s="470">
        <v>70</v>
      </c>
      <c r="F179" s="470">
        <v>55</v>
      </c>
      <c r="G179" s="470">
        <v>1</v>
      </c>
      <c r="H179" s="470">
        <v>70</v>
      </c>
      <c r="I179" s="470">
        <v>1</v>
      </c>
      <c r="J179" s="470">
        <v>55</v>
      </c>
      <c r="K179" s="470">
        <v>1</v>
      </c>
      <c r="L179" s="472">
        <f t="shared" si="44"/>
        <v>5.083333333333333</v>
      </c>
      <c r="M179" s="470">
        <f t="shared" si="43"/>
        <v>305</v>
      </c>
      <c r="N179" s="474"/>
      <c r="O179" s="462">
        <f t="shared" si="45"/>
        <v>0</v>
      </c>
      <c r="P179" s="462">
        <f t="shared" si="46"/>
        <v>0</v>
      </c>
    </row>
    <row r="180" spans="1:16" x14ac:dyDescent="0.35">
      <c r="A180" s="680"/>
      <c r="B180" s="485" t="s">
        <v>118</v>
      </c>
      <c r="C180" s="661"/>
      <c r="D180" s="470">
        <v>60</v>
      </c>
      <c r="E180" s="470">
        <v>75</v>
      </c>
      <c r="F180" s="470">
        <v>70</v>
      </c>
      <c r="G180" s="470">
        <v>1</v>
      </c>
      <c r="H180" s="470">
        <v>85</v>
      </c>
      <c r="I180" s="470">
        <v>1</v>
      </c>
      <c r="J180" s="470">
        <v>70</v>
      </c>
      <c r="K180" s="470">
        <v>1</v>
      </c>
      <c r="L180" s="472">
        <f t="shared" si="44"/>
        <v>6</v>
      </c>
      <c r="M180" s="470">
        <f t="shared" si="43"/>
        <v>360</v>
      </c>
      <c r="N180" s="474"/>
      <c r="O180" s="462">
        <f t="shared" si="45"/>
        <v>0</v>
      </c>
      <c r="P180" s="462">
        <f t="shared" si="46"/>
        <v>0</v>
      </c>
    </row>
    <row r="181" spans="1:16" x14ac:dyDescent="0.35">
      <c r="A181" s="680"/>
      <c r="B181" s="485" t="s">
        <v>688</v>
      </c>
      <c r="C181" s="661"/>
      <c r="D181" s="470">
        <v>70</v>
      </c>
      <c r="E181" s="470">
        <v>85</v>
      </c>
      <c r="F181" s="470">
        <v>85</v>
      </c>
      <c r="G181" s="470">
        <v>1</v>
      </c>
      <c r="H181" s="470">
        <v>100</v>
      </c>
      <c r="I181" s="470">
        <v>1</v>
      </c>
      <c r="J181" s="470">
        <v>85</v>
      </c>
      <c r="K181" s="470">
        <v>1</v>
      </c>
      <c r="L181" s="472">
        <f t="shared" si="44"/>
        <v>7.083333333333333</v>
      </c>
      <c r="M181" s="470">
        <f t="shared" si="43"/>
        <v>425</v>
      </c>
      <c r="N181" s="474"/>
      <c r="O181" s="462">
        <f t="shared" si="45"/>
        <v>0</v>
      </c>
      <c r="P181" s="462">
        <f t="shared" si="46"/>
        <v>0</v>
      </c>
    </row>
    <row r="182" spans="1:16" x14ac:dyDescent="0.35">
      <c r="A182" s="680"/>
      <c r="B182" s="485" t="s">
        <v>171</v>
      </c>
      <c r="C182" s="661"/>
      <c r="D182" s="470">
        <v>90</v>
      </c>
      <c r="E182" s="470">
        <v>95</v>
      </c>
      <c r="F182" s="470">
        <v>90</v>
      </c>
      <c r="G182" s="470">
        <v>1</v>
      </c>
      <c r="H182" s="470">
        <v>120</v>
      </c>
      <c r="I182" s="470">
        <v>1</v>
      </c>
      <c r="J182" s="470">
        <v>90</v>
      </c>
      <c r="K182" s="470">
        <v>1</v>
      </c>
      <c r="L182" s="472">
        <f t="shared" si="44"/>
        <v>8.0833333333333339</v>
      </c>
      <c r="M182" s="470">
        <f t="shared" si="43"/>
        <v>485</v>
      </c>
      <c r="N182" s="474"/>
      <c r="O182" s="462">
        <f t="shared" si="45"/>
        <v>0</v>
      </c>
      <c r="P182" s="462">
        <f t="shared" si="46"/>
        <v>0</v>
      </c>
    </row>
    <row r="183" spans="1:16" x14ac:dyDescent="0.35">
      <c r="A183" s="680"/>
      <c r="B183" s="485" t="s">
        <v>195</v>
      </c>
      <c r="C183" s="661"/>
      <c r="D183" s="470">
        <v>105</v>
      </c>
      <c r="E183" s="470">
        <v>115</v>
      </c>
      <c r="F183" s="470">
        <v>100</v>
      </c>
      <c r="G183" s="470">
        <v>1</v>
      </c>
      <c r="H183" s="470">
        <v>130</v>
      </c>
      <c r="I183" s="470">
        <v>1</v>
      </c>
      <c r="J183" s="470">
        <v>100</v>
      </c>
      <c r="K183" s="470">
        <v>1</v>
      </c>
      <c r="L183" s="472">
        <f t="shared" si="44"/>
        <v>9.1666666666666661</v>
      </c>
      <c r="M183" s="470">
        <f t="shared" si="43"/>
        <v>550</v>
      </c>
      <c r="N183" s="474"/>
      <c r="O183" s="462">
        <f t="shared" si="45"/>
        <v>0</v>
      </c>
      <c r="P183" s="462">
        <f t="shared" si="46"/>
        <v>0</v>
      </c>
    </row>
    <row r="184" spans="1:16" x14ac:dyDescent="0.35">
      <c r="A184" s="680"/>
      <c r="B184" s="485" t="s">
        <v>1406</v>
      </c>
      <c r="C184" s="661"/>
      <c r="D184" s="470">
        <v>125</v>
      </c>
      <c r="E184" s="470">
        <v>130</v>
      </c>
      <c r="F184" s="470">
        <v>120</v>
      </c>
      <c r="G184" s="470">
        <v>1</v>
      </c>
      <c r="H184" s="470">
        <v>145</v>
      </c>
      <c r="I184" s="470">
        <v>1</v>
      </c>
      <c r="J184" s="470">
        <v>120</v>
      </c>
      <c r="K184" s="470">
        <v>1</v>
      </c>
      <c r="L184" s="472">
        <f t="shared" si="44"/>
        <v>10.666666666666666</v>
      </c>
      <c r="M184" s="470">
        <f t="shared" si="43"/>
        <v>640</v>
      </c>
      <c r="N184" s="474"/>
      <c r="O184" s="462">
        <f t="shared" si="45"/>
        <v>0</v>
      </c>
      <c r="P184" s="462">
        <f t="shared" si="46"/>
        <v>0</v>
      </c>
    </row>
    <row r="185" spans="1:16" x14ac:dyDescent="0.35">
      <c r="A185" s="680"/>
      <c r="B185" s="485" t="s">
        <v>1407</v>
      </c>
      <c r="C185" s="661"/>
      <c r="D185" s="470">
        <v>140</v>
      </c>
      <c r="E185" s="470">
        <v>155</v>
      </c>
      <c r="F185" s="470">
        <v>140</v>
      </c>
      <c r="G185" s="470">
        <v>1</v>
      </c>
      <c r="H185" s="470">
        <v>160</v>
      </c>
      <c r="I185" s="470">
        <v>1</v>
      </c>
      <c r="J185" s="470">
        <v>140</v>
      </c>
      <c r="K185" s="470">
        <v>1</v>
      </c>
      <c r="L185" s="472">
        <f t="shared" si="44"/>
        <v>12.25</v>
      </c>
      <c r="M185" s="470">
        <f t="shared" si="43"/>
        <v>735</v>
      </c>
      <c r="N185" s="474"/>
      <c r="O185" s="462">
        <f t="shared" si="45"/>
        <v>0</v>
      </c>
      <c r="P185" s="462">
        <f t="shared" si="46"/>
        <v>0</v>
      </c>
    </row>
    <row r="186" spans="1:16" x14ac:dyDescent="0.35">
      <c r="A186" s="680"/>
      <c r="B186" s="485" t="s">
        <v>1408</v>
      </c>
      <c r="C186" s="661"/>
      <c r="D186" s="470">
        <v>160</v>
      </c>
      <c r="E186" s="470">
        <v>195</v>
      </c>
      <c r="F186" s="470">
        <v>180</v>
      </c>
      <c r="G186" s="470">
        <v>1</v>
      </c>
      <c r="H186" s="470">
        <v>200</v>
      </c>
      <c r="I186" s="470">
        <v>1</v>
      </c>
      <c r="J186" s="470">
        <v>180</v>
      </c>
      <c r="K186" s="470">
        <v>1</v>
      </c>
      <c r="L186" s="472">
        <f t="shared" si="44"/>
        <v>15.25</v>
      </c>
      <c r="M186" s="470">
        <f t="shared" si="43"/>
        <v>915</v>
      </c>
      <c r="N186" s="474"/>
      <c r="O186" s="462">
        <f t="shared" si="45"/>
        <v>0</v>
      </c>
      <c r="P186" s="462">
        <f t="shared" si="46"/>
        <v>0</v>
      </c>
    </row>
    <row r="187" spans="1:16" x14ac:dyDescent="0.35">
      <c r="A187" s="680"/>
      <c r="B187" s="485" t="s">
        <v>1409</v>
      </c>
      <c r="C187" s="661"/>
      <c r="D187" s="470">
        <v>180</v>
      </c>
      <c r="E187" s="470">
        <v>235</v>
      </c>
      <c r="F187" s="470">
        <v>210</v>
      </c>
      <c r="G187" s="470">
        <v>1</v>
      </c>
      <c r="H187" s="470">
        <v>230</v>
      </c>
      <c r="I187" s="470">
        <v>1</v>
      </c>
      <c r="J187" s="470">
        <v>210</v>
      </c>
      <c r="K187" s="470">
        <v>1</v>
      </c>
      <c r="L187" s="472">
        <f t="shared" si="44"/>
        <v>17.75</v>
      </c>
      <c r="M187" s="470">
        <f t="shared" si="43"/>
        <v>1065</v>
      </c>
      <c r="N187" s="474"/>
      <c r="O187" s="462">
        <f t="shared" si="45"/>
        <v>0</v>
      </c>
      <c r="P187" s="462">
        <f t="shared" si="46"/>
        <v>0</v>
      </c>
    </row>
    <row r="188" spans="1:16" x14ac:dyDescent="0.35">
      <c r="B188" s="463"/>
    </row>
    <row r="189" spans="1:16" ht="18.5" x14ac:dyDescent="0.35">
      <c r="B189" s="463"/>
      <c r="D189" s="662" t="s">
        <v>1385</v>
      </c>
      <c r="E189" s="662"/>
      <c r="F189" s="662"/>
      <c r="G189" s="662"/>
      <c r="H189" s="662"/>
      <c r="I189" s="662"/>
      <c r="J189" s="662"/>
      <c r="K189" s="662"/>
      <c r="L189" s="662"/>
      <c r="M189" s="662"/>
      <c r="N189" s="464"/>
    </row>
    <row r="190" spans="1:16" ht="18.5" x14ac:dyDescent="0.35">
      <c r="A190" s="465"/>
      <c r="B190" s="466"/>
      <c r="C190" s="466"/>
      <c r="D190" s="662"/>
      <c r="E190" s="662"/>
      <c r="F190" s="662"/>
      <c r="G190" s="662"/>
      <c r="H190" s="662"/>
      <c r="I190" s="662"/>
      <c r="J190" s="662"/>
      <c r="K190" s="662"/>
      <c r="L190" s="662"/>
      <c r="M190" s="662"/>
      <c r="N190" s="467"/>
    </row>
    <row r="191" spans="1:16" ht="18.5" x14ac:dyDescent="0.45">
      <c r="A191" s="663" t="s">
        <v>1386</v>
      </c>
      <c r="B191" s="663" t="s">
        <v>1387</v>
      </c>
      <c r="C191" s="663" t="s">
        <v>1388</v>
      </c>
      <c r="D191" s="663" t="s">
        <v>1389</v>
      </c>
      <c r="E191" s="665" t="s">
        <v>1390</v>
      </c>
      <c r="F191" s="666" t="s">
        <v>1391</v>
      </c>
      <c r="G191" s="667"/>
      <c r="H191" s="667"/>
      <c r="I191" s="667"/>
      <c r="J191" s="667"/>
      <c r="K191" s="668"/>
      <c r="L191" s="657" t="s">
        <v>1392</v>
      </c>
      <c r="M191" s="658" t="s">
        <v>1393</v>
      </c>
      <c r="N191" s="659" t="s">
        <v>1394</v>
      </c>
      <c r="O191" s="462" t="s">
        <v>1395</v>
      </c>
      <c r="P191" s="462" t="s">
        <v>1395</v>
      </c>
    </row>
    <row r="192" spans="1:16" x14ac:dyDescent="0.35">
      <c r="A192" s="681"/>
      <c r="B192" s="664"/>
      <c r="C192" s="664"/>
      <c r="D192" s="664"/>
      <c r="E192" s="665"/>
      <c r="F192" s="468" t="s">
        <v>1396</v>
      </c>
      <c r="G192" s="468" t="s">
        <v>1397</v>
      </c>
      <c r="H192" s="468" t="s">
        <v>1398</v>
      </c>
      <c r="I192" s="469" t="s">
        <v>1397</v>
      </c>
      <c r="J192" s="469" t="s">
        <v>1399</v>
      </c>
      <c r="K192" s="469" t="s">
        <v>1397</v>
      </c>
      <c r="L192" s="657"/>
      <c r="M192" s="658"/>
      <c r="N192" s="660"/>
      <c r="O192" s="462" t="s">
        <v>1400</v>
      </c>
      <c r="P192" s="462" t="s">
        <v>1401</v>
      </c>
    </row>
    <row r="193" spans="1:16" x14ac:dyDescent="0.35">
      <c r="A193" s="680" t="s">
        <v>1414</v>
      </c>
      <c r="B193" s="485" t="s">
        <v>1403</v>
      </c>
      <c r="C193" s="661">
        <v>300</v>
      </c>
      <c r="D193" s="470">
        <v>10</v>
      </c>
      <c r="E193" s="470">
        <v>15</v>
      </c>
      <c r="F193" s="470">
        <v>10</v>
      </c>
      <c r="G193" s="470">
        <v>1</v>
      </c>
      <c r="H193" s="470">
        <v>15</v>
      </c>
      <c r="I193" s="470">
        <v>1</v>
      </c>
      <c r="J193" s="470">
        <f>F193</f>
        <v>10</v>
      </c>
      <c r="K193" s="470">
        <v>1</v>
      </c>
      <c r="L193" s="470">
        <f>M193/60</f>
        <v>1</v>
      </c>
      <c r="M193" s="470">
        <f t="shared" ref="M193:M209" si="47">D193+E193+F193+H193+J193</f>
        <v>60</v>
      </c>
      <c r="N193" s="474"/>
      <c r="O193" s="462">
        <f>N193*L193</f>
        <v>0</v>
      </c>
      <c r="P193" s="462">
        <f>O193/8</f>
        <v>0</v>
      </c>
    </row>
    <row r="194" spans="1:16" x14ac:dyDescent="0.35">
      <c r="A194" s="680"/>
      <c r="B194" s="485" t="s">
        <v>1404</v>
      </c>
      <c r="C194" s="661"/>
      <c r="D194" s="470">
        <v>10</v>
      </c>
      <c r="E194" s="470">
        <v>15</v>
      </c>
      <c r="F194" s="470">
        <v>10</v>
      </c>
      <c r="G194" s="470">
        <v>1</v>
      </c>
      <c r="H194" s="470">
        <v>15</v>
      </c>
      <c r="I194" s="470">
        <v>1</v>
      </c>
      <c r="J194" s="470">
        <f t="shared" ref="J194:J209" si="48">F194</f>
        <v>10</v>
      </c>
      <c r="K194" s="470">
        <v>1</v>
      </c>
      <c r="L194" s="470">
        <f t="shared" ref="L194:L209" si="49">M194/60</f>
        <v>1</v>
      </c>
      <c r="M194" s="470">
        <f t="shared" si="47"/>
        <v>60</v>
      </c>
      <c r="N194" s="474"/>
      <c r="O194" s="462">
        <f t="shared" ref="O194:O209" si="50">N194*L194</f>
        <v>0</v>
      </c>
      <c r="P194" s="462">
        <f t="shared" ref="P194:P209" si="51">O194/8</f>
        <v>0</v>
      </c>
    </row>
    <row r="195" spans="1:16" x14ac:dyDescent="0.35">
      <c r="A195" s="680"/>
      <c r="B195" s="485" t="s">
        <v>1405</v>
      </c>
      <c r="C195" s="661"/>
      <c r="D195" s="470">
        <v>15</v>
      </c>
      <c r="E195" s="470">
        <v>25</v>
      </c>
      <c r="F195" s="470">
        <v>15</v>
      </c>
      <c r="G195" s="470">
        <v>1</v>
      </c>
      <c r="H195" s="470">
        <v>20</v>
      </c>
      <c r="I195" s="470">
        <v>1</v>
      </c>
      <c r="J195" s="470">
        <f t="shared" si="48"/>
        <v>15</v>
      </c>
      <c r="K195" s="470">
        <v>1</v>
      </c>
      <c r="L195" s="470">
        <f t="shared" si="49"/>
        <v>1.5</v>
      </c>
      <c r="M195" s="470">
        <f t="shared" si="47"/>
        <v>90</v>
      </c>
      <c r="N195" s="474"/>
      <c r="O195" s="462">
        <f t="shared" si="50"/>
        <v>0</v>
      </c>
      <c r="P195" s="462">
        <f t="shared" si="51"/>
        <v>0</v>
      </c>
    </row>
    <row r="196" spans="1:16" x14ac:dyDescent="0.35">
      <c r="A196" s="680"/>
      <c r="B196" s="485" t="s">
        <v>84</v>
      </c>
      <c r="C196" s="661"/>
      <c r="D196" s="470">
        <v>20</v>
      </c>
      <c r="E196" s="470">
        <v>30</v>
      </c>
      <c r="F196" s="470">
        <v>15</v>
      </c>
      <c r="G196" s="470">
        <v>1</v>
      </c>
      <c r="H196" s="470">
        <v>20</v>
      </c>
      <c r="I196" s="470">
        <v>1</v>
      </c>
      <c r="J196" s="470">
        <f t="shared" si="48"/>
        <v>15</v>
      </c>
      <c r="K196" s="470">
        <v>1</v>
      </c>
      <c r="L196" s="487">
        <f t="shared" si="49"/>
        <v>1.6666666666666667</v>
      </c>
      <c r="M196" s="470">
        <f t="shared" si="47"/>
        <v>100</v>
      </c>
      <c r="N196" s="474"/>
      <c r="O196" s="462">
        <f t="shared" si="50"/>
        <v>0</v>
      </c>
      <c r="P196" s="462">
        <f t="shared" si="51"/>
        <v>0</v>
      </c>
    </row>
    <row r="197" spans="1:16" x14ac:dyDescent="0.35">
      <c r="A197" s="680"/>
      <c r="B197" s="485" t="s">
        <v>82</v>
      </c>
      <c r="C197" s="661"/>
      <c r="D197" s="470">
        <v>25</v>
      </c>
      <c r="E197" s="470">
        <v>40</v>
      </c>
      <c r="F197" s="470">
        <v>25</v>
      </c>
      <c r="G197" s="470">
        <v>1</v>
      </c>
      <c r="H197" s="470">
        <v>30</v>
      </c>
      <c r="I197" s="470">
        <v>1</v>
      </c>
      <c r="J197" s="470">
        <f t="shared" si="48"/>
        <v>25</v>
      </c>
      <c r="K197" s="470">
        <v>1</v>
      </c>
      <c r="L197" s="487">
        <f t="shared" si="49"/>
        <v>2.4166666666666665</v>
      </c>
      <c r="M197" s="470">
        <f t="shared" si="47"/>
        <v>145</v>
      </c>
      <c r="N197" s="474"/>
      <c r="O197" s="462">
        <f t="shared" si="50"/>
        <v>0</v>
      </c>
      <c r="P197" s="462">
        <f t="shared" si="51"/>
        <v>0</v>
      </c>
    </row>
    <row r="198" spans="1:16" x14ac:dyDescent="0.35">
      <c r="A198" s="680"/>
      <c r="B198" s="485" t="s">
        <v>120</v>
      </c>
      <c r="C198" s="661"/>
      <c r="D198" s="470">
        <v>30</v>
      </c>
      <c r="E198" s="470">
        <v>45</v>
      </c>
      <c r="F198" s="470">
        <v>30</v>
      </c>
      <c r="G198" s="470">
        <v>1</v>
      </c>
      <c r="H198" s="470">
        <v>40</v>
      </c>
      <c r="I198" s="470">
        <v>1</v>
      </c>
      <c r="J198" s="470">
        <f t="shared" si="48"/>
        <v>30</v>
      </c>
      <c r="K198" s="470">
        <v>1</v>
      </c>
      <c r="L198" s="487">
        <f t="shared" si="49"/>
        <v>2.9166666666666665</v>
      </c>
      <c r="M198" s="470">
        <f t="shared" si="47"/>
        <v>175</v>
      </c>
      <c r="N198" s="474"/>
      <c r="O198" s="462">
        <f t="shared" si="50"/>
        <v>0</v>
      </c>
      <c r="P198" s="462">
        <f t="shared" si="51"/>
        <v>0</v>
      </c>
    </row>
    <row r="199" spans="1:16" x14ac:dyDescent="0.35">
      <c r="A199" s="680"/>
      <c r="B199" s="485" t="s">
        <v>80</v>
      </c>
      <c r="C199" s="661"/>
      <c r="D199" s="470">
        <v>40</v>
      </c>
      <c r="E199" s="470">
        <v>50</v>
      </c>
      <c r="F199" s="470">
        <v>40</v>
      </c>
      <c r="G199" s="470">
        <v>1</v>
      </c>
      <c r="H199" s="470">
        <v>50</v>
      </c>
      <c r="I199" s="470">
        <v>1</v>
      </c>
      <c r="J199" s="470">
        <f t="shared" si="48"/>
        <v>40</v>
      </c>
      <c r="K199" s="470">
        <v>1</v>
      </c>
      <c r="L199" s="487">
        <f t="shared" si="49"/>
        <v>3.6666666666666665</v>
      </c>
      <c r="M199" s="470">
        <f t="shared" si="47"/>
        <v>220</v>
      </c>
      <c r="N199" s="474"/>
      <c r="O199" s="462">
        <f t="shared" si="50"/>
        <v>0</v>
      </c>
      <c r="P199" s="462">
        <f t="shared" si="51"/>
        <v>0</v>
      </c>
    </row>
    <row r="200" spans="1:16" x14ac:dyDescent="0.35">
      <c r="A200" s="680"/>
      <c r="B200" s="485" t="s">
        <v>119</v>
      </c>
      <c r="C200" s="661"/>
      <c r="D200" s="470">
        <v>45</v>
      </c>
      <c r="E200" s="470">
        <v>60</v>
      </c>
      <c r="F200" s="470">
        <v>45</v>
      </c>
      <c r="G200" s="470">
        <v>1</v>
      </c>
      <c r="H200" s="470">
        <v>60</v>
      </c>
      <c r="I200" s="470">
        <v>1</v>
      </c>
      <c r="J200" s="470">
        <f t="shared" si="48"/>
        <v>45</v>
      </c>
      <c r="K200" s="470">
        <v>1</v>
      </c>
      <c r="L200" s="487">
        <f t="shared" si="49"/>
        <v>4.25</v>
      </c>
      <c r="M200" s="470">
        <f t="shared" si="47"/>
        <v>255</v>
      </c>
      <c r="N200" s="474"/>
      <c r="O200" s="462">
        <f t="shared" si="50"/>
        <v>0</v>
      </c>
      <c r="P200" s="462">
        <f t="shared" si="51"/>
        <v>0</v>
      </c>
    </row>
    <row r="201" spans="1:16" x14ac:dyDescent="0.35">
      <c r="A201" s="680"/>
      <c r="B201" s="485" t="s">
        <v>179</v>
      </c>
      <c r="C201" s="661"/>
      <c r="D201" s="470">
        <v>60</v>
      </c>
      <c r="E201" s="470">
        <v>105</v>
      </c>
      <c r="F201" s="470">
        <v>55</v>
      </c>
      <c r="G201" s="470">
        <v>1</v>
      </c>
      <c r="H201" s="470">
        <v>70</v>
      </c>
      <c r="I201" s="470">
        <v>1</v>
      </c>
      <c r="J201" s="470">
        <f t="shared" si="48"/>
        <v>55</v>
      </c>
      <c r="K201" s="470">
        <v>1</v>
      </c>
      <c r="L201" s="487">
        <f t="shared" si="49"/>
        <v>5.75</v>
      </c>
      <c r="M201" s="470">
        <f t="shared" si="47"/>
        <v>345</v>
      </c>
      <c r="N201" s="474"/>
      <c r="O201" s="462">
        <f t="shared" si="50"/>
        <v>0</v>
      </c>
      <c r="P201" s="462">
        <f t="shared" si="51"/>
        <v>0</v>
      </c>
    </row>
    <row r="202" spans="1:16" x14ac:dyDescent="0.35">
      <c r="A202" s="680"/>
      <c r="B202" s="485" t="s">
        <v>118</v>
      </c>
      <c r="C202" s="661"/>
      <c r="D202" s="470">
        <v>70</v>
      </c>
      <c r="E202" s="470">
        <v>120</v>
      </c>
      <c r="F202" s="470">
        <v>70</v>
      </c>
      <c r="G202" s="470">
        <v>1</v>
      </c>
      <c r="H202" s="470">
        <v>85</v>
      </c>
      <c r="I202" s="470">
        <v>1</v>
      </c>
      <c r="J202" s="470">
        <f t="shared" si="48"/>
        <v>70</v>
      </c>
      <c r="K202" s="470">
        <v>1</v>
      </c>
      <c r="L202" s="487">
        <f t="shared" si="49"/>
        <v>6.916666666666667</v>
      </c>
      <c r="M202" s="470">
        <f t="shared" si="47"/>
        <v>415</v>
      </c>
      <c r="N202" s="474"/>
      <c r="O202" s="462">
        <f t="shared" si="50"/>
        <v>0</v>
      </c>
      <c r="P202" s="462">
        <f t="shared" si="51"/>
        <v>0</v>
      </c>
    </row>
    <row r="203" spans="1:16" x14ac:dyDescent="0.35">
      <c r="A203" s="680"/>
      <c r="B203" s="485" t="s">
        <v>688</v>
      </c>
      <c r="C203" s="661"/>
      <c r="D203" s="470">
        <v>90</v>
      </c>
      <c r="E203" s="470">
        <v>140</v>
      </c>
      <c r="F203" s="470">
        <v>85</v>
      </c>
      <c r="G203" s="470">
        <v>1</v>
      </c>
      <c r="H203" s="470">
        <v>100</v>
      </c>
      <c r="I203" s="470">
        <v>1</v>
      </c>
      <c r="J203" s="470">
        <f t="shared" si="48"/>
        <v>85</v>
      </c>
      <c r="K203" s="470">
        <v>1</v>
      </c>
      <c r="L203" s="487">
        <f t="shared" si="49"/>
        <v>8.3333333333333339</v>
      </c>
      <c r="M203" s="470">
        <f t="shared" si="47"/>
        <v>500</v>
      </c>
      <c r="N203" s="474"/>
      <c r="O203" s="462">
        <f t="shared" si="50"/>
        <v>0</v>
      </c>
      <c r="P203" s="462">
        <f t="shared" si="51"/>
        <v>0</v>
      </c>
    </row>
    <row r="204" spans="1:16" x14ac:dyDescent="0.35">
      <c r="A204" s="680"/>
      <c r="B204" s="485" t="s">
        <v>171</v>
      </c>
      <c r="C204" s="661"/>
      <c r="D204" s="470">
        <v>105</v>
      </c>
      <c r="E204" s="470">
        <v>155</v>
      </c>
      <c r="F204" s="470">
        <v>90</v>
      </c>
      <c r="G204" s="470">
        <v>1</v>
      </c>
      <c r="H204" s="470">
        <v>120</v>
      </c>
      <c r="I204" s="470">
        <v>1</v>
      </c>
      <c r="J204" s="470">
        <f t="shared" si="48"/>
        <v>90</v>
      </c>
      <c r="K204" s="470">
        <v>1</v>
      </c>
      <c r="L204" s="487">
        <f t="shared" si="49"/>
        <v>9.3333333333333339</v>
      </c>
      <c r="M204" s="470">
        <f t="shared" si="47"/>
        <v>560</v>
      </c>
      <c r="N204" s="474"/>
      <c r="O204" s="462">
        <f t="shared" si="50"/>
        <v>0</v>
      </c>
      <c r="P204" s="462">
        <f t="shared" si="51"/>
        <v>0</v>
      </c>
    </row>
    <row r="205" spans="1:16" x14ac:dyDescent="0.35">
      <c r="A205" s="680"/>
      <c r="B205" s="485" t="s">
        <v>195</v>
      </c>
      <c r="C205" s="661"/>
      <c r="D205" s="470">
        <v>125</v>
      </c>
      <c r="E205" s="470">
        <v>175</v>
      </c>
      <c r="F205" s="470">
        <v>100</v>
      </c>
      <c r="G205" s="470">
        <v>1</v>
      </c>
      <c r="H205" s="470">
        <v>130</v>
      </c>
      <c r="I205" s="470">
        <v>1</v>
      </c>
      <c r="J205" s="470">
        <f t="shared" si="48"/>
        <v>100</v>
      </c>
      <c r="K205" s="470">
        <v>1</v>
      </c>
      <c r="L205" s="487">
        <f t="shared" si="49"/>
        <v>10.5</v>
      </c>
      <c r="M205" s="470">
        <f t="shared" si="47"/>
        <v>630</v>
      </c>
      <c r="N205" s="474"/>
      <c r="O205" s="462">
        <f t="shared" si="50"/>
        <v>0</v>
      </c>
      <c r="P205" s="462">
        <f>O205/12</f>
        <v>0</v>
      </c>
    </row>
    <row r="206" spans="1:16" x14ac:dyDescent="0.35">
      <c r="A206" s="680"/>
      <c r="B206" s="485" t="s">
        <v>1406</v>
      </c>
      <c r="C206" s="661"/>
      <c r="D206" s="470">
        <v>140</v>
      </c>
      <c r="E206" s="470">
        <v>205</v>
      </c>
      <c r="F206" s="470">
        <v>120</v>
      </c>
      <c r="G206" s="470">
        <v>1</v>
      </c>
      <c r="H206" s="470">
        <v>145</v>
      </c>
      <c r="I206" s="470">
        <v>1</v>
      </c>
      <c r="J206" s="470">
        <f t="shared" si="48"/>
        <v>120</v>
      </c>
      <c r="K206" s="470">
        <v>1</v>
      </c>
      <c r="L206" s="487">
        <f t="shared" si="49"/>
        <v>12.166666666666666</v>
      </c>
      <c r="M206" s="470">
        <f t="shared" si="47"/>
        <v>730</v>
      </c>
      <c r="N206" s="474"/>
      <c r="O206" s="462">
        <f t="shared" si="50"/>
        <v>0</v>
      </c>
      <c r="P206" s="462">
        <f t="shared" si="51"/>
        <v>0</v>
      </c>
    </row>
    <row r="207" spans="1:16" x14ac:dyDescent="0.35">
      <c r="A207" s="680"/>
      <c r="B207" s="485" t="s">
        <v>1407</v>
      </c>
      <c r="C207" s="661"/>
      <c r="D207" s="470">
        <v>160</v>
      </c>
      <c r="E207" s="470">
        <v>220</v>
      </c>
      <c r="F207" s="470">
        <v>140</v>
      </c>
      <c r="G207" s="470">
        <v>1</v>
      </c>
      <c r="H207" s="470">
        <v>160</v>
      </c>
      <c r="I207" s="470">
        <v>1</v>
      </c>
      <c r="J207" s="470">
        <f t="shared" si="48"/>
        <v>140</v>
      </c>
      <c r="K207" s="470">
        <v>1</v>
      </c>
      <c r="L207" s="487">
        <f t="shared" si="49"/>
        <v>13.666666666666666</v>
      </c>
      <c r="M207" s="470">
        <f t="shared" si="47"/>
        <v>820</v>
      </c>
      <c r="N207" s="474"/>
      <c r="O207" s="462">
        <f t="shared" si="50"/>
        <v>0</v>
      </c>
      <c r="P207" s="462">
        <f t="shared" si="51"/>
        <v>0</v>
      </c>
    </row>
    <row r="208" spans="1:16" x14ac:dyDescent="0.35">
      <c r="A208" s="680"/>
      <c r="B208" s="485" t="s">
        <v>1408</v>
      </c>
      <c r="C208" s="661"/>
      <c r="D208" s="470">
        <v>180</v>
      </c>
      <c r="E208" s="470">
        <v>245</v>
      </c>
      <c r="F208" s="470">
        <v>180</v>
      </c>
      <c r="G208" s="470">
        <v>1</v>
      </c>
      <c r="H208" s="470">
        <v>200</v>
      </c>
      <c r="I208" s="470">
        <v>1</v>
      </c>
      <c r="J208" s="470">
        <f t="shared" si="48"/>
        <v>180</v>
      </c>
      <c r="K208" s="470">
        <v>1</v>
      </c>
      <c r="L208" s="487">
        <f t="shared" si="49"/>
        <v>16.416666666666668</v>
      </c>
      <c r="M208" s="470">
        <f t="shared" si="47"/>
        <v>985</v>
      </c>
      <c r="N208" s="474"/>
      <c r="O208" s="462">
        <f t="shared" si="50"/>
        <v>0</v>
      </c>
      <c r="P208" s="462">
        <f t="shared" si="51"/>
        <v>0</v>
      </c>
    </row>
    <row r="209" spans="1:16" x14ac:dyDescent="0.35">
      <c r="A209" s="680"/>
      <c r="B209" s="485" t="s">
        <v>1409</v>
      </c>
      <c r="C209" s="661"/>
      <c r="D209" s="470">
        <v>200</v>
      </c>
      <c r="E209" s="470">
        <v>275</v>
      </c>
      <c r="F209" s="470">
        <v>210</v>
      </c>
      <c r="G209" s="470">
        <v>1</v>
      </c>
      <c r="H209" s="470">
        <v>230</v>
      </c>
      <c r="I209" s="470">
        <v>1</v>
      </c>
      <c r="J209" s="470">
        <f t="shared" si="48"/>
        <v>210</v>
      </c>
      <c r="K209" s="470">
        <v>1</v>
      </c>
      <c r="L209" s="487">
        <f t="shared" si="49"/>
        <v>18.75</v>
      </c>
      <c r="M209" s="470">
        <f t="shared" si="47"/>
        <v>1125</v>
      </c>
      <c r="N209" s="474"/>
      <c r="O209" s="462">
        <f t="shared" si="50"/>
        <v>0</v>
      </c>
      <c r="P209" s="462">
        <f t="shared" si="51"/>
        <v>0</v>
      </c>
    </row>
    <row r="211" spans="1:16" ht="18.5" x14ac:dyDescent="0.35">
      <c r="B211" s="463"/>
      <c r="D211" s="662" t="s">
        <v>1385</v>
      </c>
      <c r="E211" s="662"/>
      <c r="F211" s="662"/>
      <c r="G211" s="662"/>
      <c r="H211" s="662"/>
      <c r="I211" s="662"/>
      <c r="J211" s="662"/>
      <c r="K211" s="662"/>
      <c r="L211" s="662"/>
      <c r="M211" s="662"/>
      <c r="N211" s="464"/>
    </row>
    <row r="212" spans="1:16" ht="18.5" x14ac:dyDescent="0.35">
      <c r="A212" s="465"/>
      <c r="B212" s="466"/>
      <c r="C212" s="466"/>
      <c r="D212" s="662"/>
      <c r="E212" s="662"/>
      <c r="F212" s="662"/>
      <c r="G212" s="662"/>
      <c r="H212" s="662"/>
      <c r="I212" s="662"/>
      <c r="J212" s="662"/>
      <c r="K212" s="662"/>
      <c r="L212" s="662"/>
      <c r="M212" s="662"/>
      <c r="N212" s="467"/>
    </row>
    <row r="213" spans="1:16" ht="18.5" x14ac:dyDescent="0.45">
      <c r="A213" s="663" t="s">
        <v>1386</v>
      </c>
      <c r="B213" s="663" t="s">
        <v>1387</v>
      </c>
      <c r="C213" s="663" t="s">
        <v>1388</v>
      </c>
      <c r="D213" s="663" t="s">
        <v>1389</v>
      </c>
      <c r="E213" s="665" t="s">
        <v>1390</v>
      </c>
      <c r="F213" s="666" t="s">
        <v>1391</v>
      </c>
      <c r="G213" s="667"/>
      <c r="H213" s="667"/>
      <c r="I213" s="667"/>
      <c r="J213" s="667"/>
      <c r="K213" s="668"/>
      <c r="L213" s="657" t="s">
        <v>1392</v>
      </c>
      <c r="M213" s="658" t="s">
        <v>1393</v>
      </c>
      <c r="N213" s="659" t="s">
        <v>1394</v>
      </c>
      <c r="O213" s="462" t="s">
        <v>1395</v>
      </c>
      <c r="P213" s="462" t="s">
        <v>1395</v>
      </c>
    </row>
    <row r="214" spans="1:16" x14ac:dyDescent="0.35">
      <c r="A214" s="664"/>
      <c r="B214" s="664"/>
      <c r="C214" s="664"/>
      <c r="D214" s="664"/>
      <c r="E214" s="665"/>
      <c r="F214" s="468" t="s">
        <v>1396</v>
      </c>
      <c r="G214" s="468" t="s">
        <v>1397</v>
      </c>
      <c r="H214" s="468" t="s">
        <v>1398</v>
      </c>
      <c r="I214" s="469" t="s">
        <v>1397</v>
      </c>
      <c r="J214" s="469" t="s">
        <v>1399</v>
      </c>
      <c r="K214" s="469" t="s">
        <v>1397</v>
      </c>
      <c r="L214" s="657"/>
      <c r="M214" s="658"/>
      <c r="N214" s="660"/>
      <c r="O214" s="462" t="s">
        <v>1400</v>
      </c>
      <c r="P214" s="462" t="s">
        <v>1401</v>
      </c>
    </row>
    <row r="215" spans="1:16" x14ac:dyDescent="0.35">
      <c r="A215" s="661" t="s">
        <v>1415</v>
      </c>
      <c r="B215" s="485" t="s">
        <v>1403</v>
      </c>
      <c r="C215" s="661">
        <v>150</v>
      </c>
      <c r="D215" s="470">
        <v>7</v>
      </c>
      <c r="E215" s="470">
        <v>20</v>
      </c>
      <c r="F215" s="470">
        <v>10</v>
      </c>
      <c r="G215" s="470">
        <v>1</v>
      </c>
      <c r="H215" s="470">
        <v>15</v>
      </c>
      <c r="I215" s="470">
        <v>1</v>
      </c>
      <c r="J215" s="470">
        <f>F215</f>
        <v>10</v>
      </c>
      <c r="K215" s="470">
        <v>1</v>
      </c>
      <c r="L215" s="472">
        <f>M215/60</f>
        <v>0.11666666666666667</v>
      </c>
      <c r="M215" s="470">
        <f t="shared" ref="M215:M232" si="52">D215</f>
        <v>7</v>
      </c>
      <c r="N215" s="474"/>
      <c r="O215" s="462">
        <f>N215*L215</f>
        <v>0</v>
      </c>
      <c r="P215" s="462">
        <f>O215/8</f>
        <v>0</v>
      </c>
    </row>
    <row r="216" spans="1:16" x14ac:dyDescent="0.35">
      <c r="A216" s="661"/>
      <c r="B216" s="485" t="s">
        <v>1404</v>
      </c>
      <c r="C216" s="661"/>
      <c r="D216" s="470">
        <v>8</v>
      </c>
      <c r="E216" s="470">
        <v>20</v>
      </c>
      <c r="F216" s="470">
        <v>10</v>
      </c>
      <c r="G216" s="470">
        <v>1</v>
      </c>
      <c r="H216" s="470">
        <v>15</v>
      </c>
      <c r="I216" s="470">
        <v>1</v>
      </c>
      <c r="J216" s="470">
        <f t="shared" ref="J216:J232" si="53">F216</f>
        <v>10</v>
      </c>
      <c r="K216" s="470">
        <v>1</v>
      </c>
      <c r="L216" s="472">
        <f t="shared" ref="L216:L232" si="54">M216/60</f>
        <v>0.13333333333333333</v>
      </c>
      <c r="M216" s="470">
        <f t="shared" si="52"/>
        <v>8</v>
      </c>
      <c r="N216" s="474"/>
      <c r="O216" s="462">
        <f t="shared" ref="O216:O232" si="55">N216*L216</f>
        <v>0</v>
      </c>
      <c r="P216" s="462">
        <f t="shared" ref="P216:P232" si="56">O216/8</f>
        <v>0</v>
      </c>
    </row>
    <row r="217" spans="1:16" x14ac:dyDescent="0.35">
      <c r="A217" s="661"/>
      <c r="B217" s="485" t="s">
        <v>1411</v>
      </c>
      <c r="C217" s="661"/>
      <c r="D217" s="470">
        <v>8</v>
      </c>
      <c r="E217" s="470">
        <v>30</v>
      </c>
      <c r="F217" s="470">
        <v>15</v>
      </c>
      <c r="G217" s="470">
        <v>1</v>
      </c>
      <c r="H217" s="470">
        <v>20</v>
      </c>
      <c r="I217" s="470">
        <v>1</v>
      </c>
      <c r="J217" s="470">
        <f t="shared" si="53"/>
        <v>15</v>
      </c>
      <c r="K217" s="470">
        <v>1</v>
      </c>
      <c r="L217" s="472">
        <f t="shared" si="54"/>
        <v>0.13333333333333333</v>
      </c>
      <c r="M217" s="470">
        <f t="shared" si="52"/>
        <v>8</v>
      </c>
      <c r="N217" s="474"/>
      <c r="O217" s="462">
        <f t="shared" si="55"/>
        <v>0</v>
      </c>
      <c r="P217" s="462">
        <f t="shared" si="56"/>
        <v>0</v>
      </c>
    </row>
    <row r="218" spans="1:16" x14ac:dyDescent="0.35">
      <c r="A218" s="661"/>
      <c r="B218" s="485" t="s">
        <v>85</v>
      </c>
      <c r="C218" s="661"/>
      <c r="D218" s="470">
        <v>10</v>
      </c>
      <c r="E218" s="470">
        <v>35</v>
      </c>
      <c r="F218" s="470">
        <v>15</v>
      </c>
      <c r="G218" s="470">
        <v>1</v>
      </c>
      <c r="H218" s="470">
        <v>20</v>
      </c>
      <c r="I218" s="470">
        <v>1</v>
      </c>
      <c r="J218" s="470">
        <f t="shared" si="53"/>
        <v>15</v>
      </c>
      <c r="K218" s="470">
        <v>1</v>
      </c>
      <c r="L218" s="472">
        <f t="shared" si="54"/>
        <v>0.16666666666666666</v>
      </c>
      <c r="M218" s="470">
        <f t="shared" si="52"/>
        <v>10</v>
      </c>
      <c r="N218" s="474"/>
      <c r="O218" s="462">
        <f t="shared" si="55"/>
        <v>0</v>
      </c>
      <c r="P218" s="462">
        <f t="shared" si="56"/>
        <v>0</v>
      </c>
    </row>
    <row r="219" spans="1:16" x14ac:dyDescent="0.35">
      <c r="A219" s="661"/>
      <c r="B219" s="485" t="s">
        <v>84</v>
      </c>
      <c r="C219" s="661"/>
      <c r="D219" s="470">
        <v>12</v>
      </c>
      <c r="E219" s="470">
        <v>35</v>
      </c>
      <c r="F219" s="470">
        <v>15</v>
      </c>
      <c r="G219" s="470">
        <v>1</v>
      </c>
      <c r="H219" s="470">
        <v>20</v>
      </c>
      <c r="I219" s="470">
        <v>1</v>
      </c>
      <c r="J219" s="470">
        <f t="shared" si="53"/>
        <v>15</v>
      </c>
      <c r="K219" s="470">
        <v>1</v>
      </c>
      <c r="L219" s="472">
        <f t="shared" si="54"/>
        <v>0.2</v>
      </c>
      <c r="M219" s="470">
        <f t="shared" si="52"/>
        <v>12</v>
      </c>
      <c r="N219" s="474"/>
      <c r="O219" s="462">
        <f t="shared" si="55"/>
        <v>0</v>
      </c>
      <c r="P219" s="462">
        <f t="shared" si="56"/>
        <v>0</v>
      </c>
    </row>
    <row r="220" spans="1:16" x14ac:dyDescent="0.35">
      <c r="A220" s="661"/>
      <c r="B220" s="485" t="s">
        <v>82</v>
      </c>
      <c r="C220" s="661"/>
      <c r="D220" s="470">
        <v>15</v>
      </c>
      <c r="E220" s="470">
        <v>45</v>
      </c>
      <c r="F220" s="470">
        <v>25</v>
      </c>
      <c r="G220" s="470">
        <v>1</v>
      </c>
      <c r="H220" s="470">
        <v>30</v>
      </c>
      <c r="I220" s="470">
        <v>1</v>
      </c>
      <c r="J220" s="470">
        <f t="shared" si="53"/>
        <v>25</v>
      </c>
      <c r="K220" s="470">
        <v>1</v>
      </c>
      <c r="L220" s="472">
        <f t="shared" si="54"/>
        <v>0.25</v>
      </c>
      <c r="M220" s="470">
        <f t="shared" si="52"/>
        <v>15</v>
      </c>
      <c r="N220" s="474"/>
      <c r="O220" s="462">
        <f t="shared" si="55"/>
        <v>0</v>
      </c>
      <c r="P220" s="462">
        <f t="shared" si="56"/>
        <v>0</v>
      </c>
    </row>
    <row r="221" spans="1:16" x14ac:dyDescent="0.35">
      <c r="A221" s="661"/>
      <c r="B221" s="485" t="s">
        <v>120</v>
      </c>
      <c r="C221" s="661"/>
      <c r="D221" s="470">
        <v>20</v>
      </c>
      <c r="E221" s="470">
        <v>50</v>
      </c>
      <c r="F221" s="470">
        <v>30</v>
      </c>
      <c r="G221" s="470">
        <v>1</v>
      </c>
      <c r="H221" s="470">
        <v>40</v>
      </c>
      <c r="I221" s="470">
        <v>1</v>
      </c>
      <c r="J221" s="470">
        <f t="shared" si="53"/>
        <v>30</v>
      </c>
      <c r="K221" s="470">
        <v>1</v>
      </c>
      <c r="L221" s="472">
        <f t="shared" si="54"/>
        <v>0.33333333333333331</v>
      </c>
      <c r="M221" s="470">
        <f t="shared" si="52"/>
        <v>20</v>
      </c>
      <c r="N221" s="474"/>
      <c r="O221" s="462">
        <f t="shared" si="55"/>
        <v>0</v>
      </c>
      <c r="P221" s="462">
        <f t="shared" si="56"/>
        <v>0</v>
      </c>
    </row>
    <row r="222" spans="1:16" x14ac:dyDescent="0.35">
      <c r="A222" s="661"/>
      <c r="B222" s="485" t="s">
        <v>80</v>
      </c>
      <c r="C222" s="661"/>
      <c r="D222" s="470">
        <v>25</v>
      </c>
      <c r="E222" s="470">
        <v>55</v>
      </c>
      <c r="F222" s="470">
        <v>40</v>
      </c>
      <c r="G222" s="470">
        <v>1</v>
      </c>
      <c r="H222" s="470">
        <v>50</v>
      </c>
      <c r="I222" s="470">
        <v>1</v>
      </c>
      <c r="J222" s="470">
        <f t="shared" si="53"/>
        <v>40</v>
      </c>
      <c r="K222" s="470">
        <v>1</v>
      </c>
      <c r="L222" s="472">
        <f t="shared" si="54"/>
        <v>0.41666666666666669</v>
      </c>
      <c r="M222" s="470">
        <f t="shared" si="52"/>
        <v>25</v>
      </c>
      <c r="N222" s="474"/>
      <c r="O222" s="462">
        <f t="shared" si="55"/>
        <v>0</v>
      </c>
      <c r="P222" s="462">
        <f t="shared" si="56"/>
        <v>0</v>
      </c>
    </row>
    <row r="223" spans="1:16" x14ac:dyDescent="0.35">
      <c r="A223" s="661"/>
      <c r="B223" s="485" t="s">
        <v>119</v>
      </c>
      <c r="C223" s="661"/>
      <c r="D223" s="470">
        <v>30</v>
      </c>
      <c r="E223" s="470">
        <v>65</v>
      </c>
      <c r="F223" s="470">
        <v>45</v>
      </c>
      <c r="G223" s="470">
        <v>1</v>
      </c>
      <c r="H223" s="470">
        <v>60</v>
      </c>
      <c r="I223" s="470">
        <v>1</v>
      </c>
      <c r="J223" s="470">
        <f t="shared" si="53"/>
        <v>45</v>
      </c>
      <c r="K223" s="470">
        <v>1</v>
      </c>
      <c r="L223" s="472">
        <f t="shared" si="54"/>
        <v>0.5</v>
      </c>
      <c r="M223" s="470">
        <f t="shared" si="52"/>
        <v>30</v>
      </c>
      <c r="N223" s="474"/>
      <c r="O223" s="462">
        <f t="shared" si="55"/>
        <v>0</v>
      </c>
      <c r="P223" s="462">
        <f t="shared" si="56"/>
        <v>0</v>
      </c>
    </row>
    <row r="224" spans="1:16" x14ac:dyDescent="0.35">
      <c r="A224" s="661"/>
      <c r="B224" s="485" t="s">
        <v>179</v>
      </c>
      <c r="C224" s="661"/>
      <c r="D224" s="470">
        <v>40</v>
      </c>
      <c r="E224" s="470">
        <v>80</v>
      </c>
      <c r="F224" s="470">
        <v>55</v>
      </c>
      <c r="G224" s="470">
        <v>1</v>
      </c>
      <c r="H224" s="470">
        <v>70</v>
      </c>
      <c r="I224" s="470">
        <v>1</v>
      </c>
      <c r="J224" s="470">
        <f t="shared" si="53"/>
        <v>55</v>
      </c>
      <c r="K224" s="470">
        <v>1</v>
      </c>
      <c r="L224" s="472">
        <f t="shared" si="54"/>
        <v>0.66666666666666663</v>
      </c>
      <c r="M224" s="470">
        <f t="shared" si="52"/>
        <v>40</v>
      </c>
      <c r="N224" s="474"/>
      <c r="O224" s="462">
        <f t="shared" si="55"/>
        <v>0</v>
      </c>
      <c r="P224" s="462">
        <f t="shared" si="56"/>
        <v>0</v>
      </c>
    </row>
    <row r="225" spans="1:16" x14ac:dyDescent="0.35">
      <c r="A225" s="661"/>
      <c r="B225" s="485" t="s">
        <v>118</v>
      </c>
      <c r="C225" s="661"/>
      <c r="D225" s="470">
        <v>45</v>
      </c>
      <c r="E225" s="470">
        <v>85</v>
      </c>
      <c r="F225" s="470">
        <v>70</v>
      </c>
      <c r="G225" s="470">
        <v>1</v>
      </c>
      <c r="H225" s="470">
        <v>85</v>
      </c>
      <c r="I225" s="470">
        <v>1</v>
      </c>
      <c r="J225" s="470">
        <f t="shared" si="53"/>
        <v>70</v>
      </c>
      <c r="K225" s="470">
        <v>1</v>
      </c>
      <c r="L225" s="472">
        <f t="shared" si="54"/>
        <v>0.75</v>
      </c>
      <c r="M225" s="470">
        <f t="shared" si="52"/>
        <v>45</v>
      </c>
      <c r="N225" s="474"/>
      <c r="O225" s="462">
        <f t="shared" si="55"/>
        <v>0</v>
      </c>
      <c r="P225" s="462">
        <f t="shared" si="56"/>
        <v>0</v>
      </c>
    </row>
    <row r="226" spans="1:16" x14ac:dyDescent="0.35">
      <c r="A226" s="661"/>
      <c r="B226" s="485" t="s">
        <v>688</v>
      </c>
      <c r="C226" s="661"/>
      <c r="D226" s="470">
        <v>50</v>
      </c>
      <c r="E226" s="470">
        <v>95</v>
      </c>
      <c r="F226" s="470">
        <v>85</v>
      </c>
      <c r="G226" s="470">
        <v>1</v>
      </c>
      <c r="H226" s="470">
        <v>100</v>
      </c>
      <c r="I226" s="470">
        <v>1</v>
      </c>
      <c r="J226" s="470">
        <f t="shared" si="53"/>
        <v>85</v>
      </c>
      <c r="K226" s="470">
        <v>1</v>
      </c>
      <c r="L226" s="472">
        <f t="shared" si="54"/>
        <v>0.83333333333333337</v>
      </c>
      <c r="M226" s="470">
        <f t="shared" si="52"/>
        <v>50</v>
      </c>
      <c r="N226" s="474"/>
      <c r="O226" s="462">
        <f t="shared" si="55"/>
        <v>0</v>
      </c>
      <c r="P226" s="462">
        <f t="shared" si="56"/>
        <v>0</v>
      </c>
    </row>
    <row r="227" spans="1:16" x14ac:dyDescent="0.35">
      <c r="A227" s="661"/>
      <c r="B227" s="485" t="s">
        <v>171</v>
      </c>
      <c r="C227" s="661"/>
      <c r="D227" s="470">
        <v>60</v>
      </c>
      <c r="E227" s="470">
        <v>105</v>
      </c>
      <c r="F227" s="470">
        <v>90</v>
      </c>
      <c r="G227" s="470">
        <v>1</v>
      </c>
      <c r="H227" s="470">
        <v>120</v>
      </c>
      <c r="I227" s="470">
        <v>1</v>
      </c>
      <c r="J227" s="470">
        <f t="shared" si="53"/>
        <v>90</v>
      </c>
      <c r="K227" s="470">
        <v>1</v>
      </c>
      <c r="L227" s="472">
        <f t="shared" si="54"/>
        <v>1</v>
      </c>
      <c r="M227" s="470">
        <f t="shared" si="52"/>
        <v>60</v>
      </c>
      <c r="N227" s="474"/>
      <c r="O227" s="462">
        <f t="shared" si="55"/>
        <v>0</v>
      </c>
      <c r="P227" s="462">
        <f t="shared" si="56"/>
        <v>0</v>
      </c>
    </row>
    <row r="228" spans="1:16" x14ac:dyDescent="0.35">
      <c r="A228" s="661"/>
      <c r="B228" s="485" t="s">
        <v>195</v>
      </c>
      <c r="C228" s="661"/>
      <c r="D228" s="470">
        <v>70</v>
      </c>
      <c r="E228" s="470">
        <v>125</v>
      </c>
      <c r="F228" s="470">
        <v>100</v>
      </c>
      <c r="G228" s="470">
        <v>1</v>
      </c>
      <c r="H228" s="470">
        <v>130</v>
      </c>
      <c r="I228" s="470">
        <v>1</v>
      </c>
      <c r="J228" s="470">
        <f t="shared" si="53"/>
        <v>100</v>
      </c>
      <c r="K228" s="470">
        <v>1</v>
      </c>
      <c r="L228" s="472">
        <f t="shared" si="54"/>
        <v>1.1666666666666667</v>
      </c>
      <c r="M228" s="470">
        <f t="shared" si="52"/>
        <v>70</v>
      </c>
      <c r="N228" s="474"/>
      <c r="O228" s="462">
        <f t="shared" si="55"/>
        <v>0</v>
      </c>
      <c r="P228" s="462">
        <f t="shared" si="56"/>
        <v>0</v>
      </c>
    </row>
    <row r="229" spans="1:16" x14ac:dyDescent="0.35">
      <c r="A229" s="661"/>
      <c r="B229" s="485" t="s">
        <v>1406</v>
      </c>
      <c r="C229" s="661"/>
      <c r="D229" s="470">
        <v>80</v>
      </c>
      <c r="E229" s="470">
        <v>140</v>
      </c>
      <c r="F229" s="470">
        <v>120</v>
      </c>
      <c r="G229" s="470">
        <v>1</v>
      </c>
      <c r="H229" s="470">
        <v>145</v>
      </c>
      <c r="I229" s="470">
        <v>1</v>
      </c>
      <c r="J229" s="470">
        <f t="shared" si="53"/>
        <v>120</v>
      </c>
      <c r="K229" s="470">
        <v>1</v>
      </c>
      <c r="L229" s="472">
        <f t="shared" si="54"/>
        <v>1.3333333333333333</v>
      </c>
      <c r="M229" s="470">
        <f t="shared" si="52"/>
        <v>80</v>
      </c>
      <c r="N229" s="474"/>
      <c r="O229" s="462">
        <f t="shared" si="55"/>
        <v>0</v>
      </c>
      <c r="P229" s="462">
        <f t="shared" si="56"/>
        <v>0</v>
      </c>
    </row>
    <row r="230" spans="1:16" x14ac:dyDescent="0.35">
      <c r="A230" s="661"/>
      <c r="B230" s="485" t="s">
        <v>1407</v>
      </c>
      <c r="C230" s="661"/>
      <c r="D230" s="470">
        <v>90</v>
      </c>
      <c r="E230" s="470">
        <v>165</v>
      </c>
      <c r="F230" s="470">
        <v>140</v>
      </c>
      <c r="G230" s="470">
        <v>1</v>
      </c>
      <c r="H230" s="470">
        <v>160</v>
      </c>
      <c r="I230" s="470">
        <v>1</v>
      </c>
      <c r="J230" s="470">
        <f t="shared" si="53"/>
        <v>140</v>
      </c>
      <c r="K230" s="470">
        <v>1</v>
      </c>
      <c r="L230" s="472">
        <f t="shared" si="54"/>
        <v>1.5</v>
      </c>
      <c r="M230" s="470">
        <f t="shared" si="52"/>
        <v>90</v>
      </c>
      <c r="N230" s="474"/>
      <c r="O230" s="462">
        <f t="shared" si="55"/>
        <v>0</v>
      </c>
      <c r="P230" s="462">
        <f t="shared" si="56"/>
        <v>0</v>
      </c>
    </row>
    <row r="231" spans="1:16" x14ac:dyDescent="0.35">
      <c r="A231" s="661"/>
      <c r="B231" s="485" t="s">
        <v>1408</v>
      </c>
      <c r="C231" s="661"/>
      <c r="D231" s="470">
        <v>95</v>
      </c>
      <c r="E231" s="470">
        <v>205</v>
      </c>
      <c r="F231" s="470">
        <v>180</v>
      </c>
      <c r="G231" s="470">
        <v>1</v>
      </c>
      <c r="H231" s="470">
        <v>200</v>
      </c>
      <c r="I231" s="470">
        <v>1</v>
      </c>
      <c r="J231" s="470">
        <f t="shared" si="53"/>
        <v>180</v>
      </c>
      <c r="K231" s="470">
        <v>1</v>
      </c>
      <c r="L231" s="472">
        <f t="shared" si="54"/>
        <v>1.5833333333333333</v>
      </c>
      <c r="M231" s="470">
        <f t="shared" si="52"/>
        <v>95</v>
      </c>
      <c r="N231" s="474"/>
      <c r="O231" s="462">
        <f t="shared" si="55"/>
        <v>0</v>
      </c>
      <c r="P231" s="462">
        <f t="shared" si="56"/>
        <v>0</v>
      </c>
    </row>
    <row r="232" spans="1:16" x14ac:dyDescent="0.35">
      <c r="A232" s="661"/>
      <c r="B232" s="485" t="s">
        <v>1409</v>
      </c>
      <c r="C232" s="661"/>
      <c r="D232" s="470">
        <v>110</v>
      </c>
      <c r="E232" s="470">
        <v>245</v>
      </c>
      <c r="F232" s="470">
        <v>210</v>
      </c>
      <c r="G232" s="470">
        <v>1</v>
      </c>
      <c r="H232" s="470">
        <v>230</v>
      </c>
      <c r="I232" s="470">
        <v>1</v>
      </c>
      <c r="J232" s="470">
        <f t="shared" si="53"/>
        <v>210</v>
      </c>
      <c r="K232" s="470">
        <v>1</v>
      </c>
      <c r="L232" s="472">
        <f t="shared" si="54"/>
        <v>1.8333333333333333</v>
      </c>
      <c r="M232" s="470">
        <f t="shared" si="52"/>
        <v>110</v>
      </c>
      <c r="N232" s="474"/>
      <c r="O232" s="462">
        <f t="shared" si="55"/>
        <v>0</v>
      </c>
      <c r="P232" s="462">
        <f t="shared" si="56"/>
        <v>0</v>
      </c>
    </row>
    <row r="233" spans="1:16" x14ac:dyDescent="0.35">
      <c r="B233" s="463"/>
    </row>
    <row r="234" spans="1:16" ht="18.5" x14ac:dyDescent="0.35">
      <c r="B234" s="463"/>
      <c r="D234" s="662" t="s">
        <v>1385</v>
      </c>
      <c r="E234" s="662"/>
      <c r="F234" s="662"/>
      <c r="G234" s="662"/>
      <c r="H234" s="662"/>
      <c r="I234" s="662"/>
      <c r="J234" s="662"/>
      <c r="K234" s="662"/>
      <c r="L234" s="662"/>
      <c r="M234" s="662"/>
      <c r="N234" s="464"/>
    </row>
    <row r="235" spans="1:16" ht="18.5" x14ac:dyDescent="0.35">
      <c r="A235" s="465"/>
      <c r="B235" s="466"/>
      <c r="C235" s="466"/>
      <c r="D235" s="662"/>
      <c r="E235" s="662"/>
      <c r="F235" s="662"/>
      <c r="G235" s="662"/>
      <c r="H235" s="662"/>
      <c r="I235" s="662"/>
      <c r="J235" s="662"/>
      <c r="K235" s="662"/>
      <c r="L235" s="662"/>
      <c r="M235" s="662"/>
      <c r="N235" s="467"/>
    </row>
    <row r="236" spans="1:16" ht="18.5" x14ac:dyDescent="0.45">
      <c r="A236" s="663" t="s">
        <v>1386</v>
      </c>
      <c r="B236" s="663" t="s">
        <v>1387</v>
      </c>
      <c r="C236" s="663" t="s">
        <v>1388</v>
      </c>
      <c r="D236" s="663" t="s">
        <v>1389</v>
      </c>
      <c r="E236" s="665" t="s">
        <v>1390</v>
      </c>
      <c r="F236" s="666" t="s">
        <v>1391</v>
      </c>
      <c r="G236" s="667"/>
      <c r="H236" s="667"/>
      <c r="I236" s="667"/>
      <c r="J236" s="667"/>
      <c r="K236" s="668"/>
      <c r="L236" s="657" t="s">
        <v>1392</v>
      </c>
      <c r="M236" s="658" t="s">
        <v>1393</v>
      </c>
      <c r="N236" s="659" t="s">
        <v>1394</v>
      </c>
      <c r="O236" s="462" t="s">
        <v>1395</v>
      </c>
      <c r="P236" s="462" t="s">
        <v>1395</v>
      </c>
    </row>
    <row r="237" spans="1:16" x14ac:dyDescent="0.35">
      <c r="A237" s="664"/>
      <c r="B237" s="664"/>
      <c r="C237" s="664"/>
      <c r="D237" s="664"/>
      <c r="E237" s="665"/>
      <c r="F237" s="468" t="s">
        <v>1396</v>
      </c>
      <c r="G237" s="468" t="s">
        <v>1397</v>
      </c>
      <c r="H237" s="468" t="s">
        <v>1398</v>
      </c>
      <c r="I237" s="469" t="s">
        <v>1397</v>
      </c>
      <c r="J237" s="469" t="s">
        <v>1399</v>
      </c>
      <c r="K237" s="469" t="s">
        <v>1397</v>
      </c>
      <c r="L237" s="657"/>
      <c r="M237" s="658"/>
      <c r="N237" s="660"/>
      <c r="O237" s="462" t="s">
        <v>1400</v>
      </c>
      <c r="P237" s="462" t="s">
        <v>1401</v>
      </c>
    </row>
    <row r="238" spans="1:16" x14ac:dyDescent="0.35">
      <c r="A238" s="661" t="s">
        <v>1416</v>
      </c>
      <c r="B238" s="485" t="s">
        <v>1403</v>
      </c>
      <c r="C238" s="661">
        <v>300</v>
      </c>
      <c r="D238" s="470">
        <v>7</v>
      </c>
      <c r="E238" s="470">
        <v>25</v>
      </c>
      <c r="F238" s="470">
        <v>10</v>
      </c>
      <c r="G238" s="470">
        <v>1</v>
      </c>
      <c r="H238" s="470">
        <v>15</v>
      </c>
      <c r="I238" s="470">
        <v>1</v>
      </c>
      <c r="J238" s="470">
        <f>F238</f>
        <v>10</v>
      </c>
      <c r="K238" s="470">
        <v>1</v>
      </c>
      <c r="L238" s="472">
        <f>M238/60</f>
        <v>1.1166666666666667</v>
      </c>
      <c r="M238" s="470">
        <f t="shared" ref="M238:M255" si="57">D238+E238+F238+H238+J238</f>
        <v>67</v>
      </c>
      <c r="N238" s="474"/>
      <c r="O238" s="462">
        <f>N238*L238</f>
        <v>0</v>
      </c>
      <c r="P238" s="462">
        <f>O238/8</f>
        <v>0</v>
      </c>
    </row>
    <row r="239" spans="1:16" x14ac:dyDescent="0.35">
      <c r="A239" s="661"/>
      <c r="B239" s="485" t="s">
        <v>1404</v>
      </c>
      <c r="C239" s="661"/>
      <c r="D239" s="470">
        <v>8</v>
      </c>
      <c r="E239" s="470">
        <v>30</v>
      </c>
      <c r="F239" s="470">
        <v>10</v>
      </c>
      <c r="G239" s="470">
        <v>1</v>
      </c>
      <c r="H239" s="470">
        <v>15</v>
      </c>
      <c r="I239" s="470">
        <v>1</v>
      </c>
      <c r="J239" s="470">
        <f t="shared" ref="J239:J255" si="58">F239</f>
        <v>10</v>
      </c>
      <c r="K239" s="470">
        <v>1</v>
      </c>
      <c r="L239" s="472">
        <f t="shared" ref="L239:L255" si="59">M239/60</f>
        <v>1.2166666666666666</v>
      </c>
      <c r="M239" s="470">
        <f t="shared" si="57"/>
        <v>73</v>
      </c>
      <c r="N239" s="474"/>
      <c r="O239" s="462">
        <f t="shared" ref="O239:O255" si="60">N239*L239</f>
        <v>0</v>
      </c>
      <c r="P239" s="462">
        <f t="shared" ref="P239:P255" si="61">O239/8</f>
        <v>0</v>
      </c>
    </row>
    <row r="240" spans="1:16" x14ac:dyDescent="0.35">
      <c r="A240" s="661"/>
      <c r="B240" s="485" t="s">
        <v>1411</v>
      </c>
      <c r="C240" s="661"/>
      <c r="D240" s="470">
        <v>8</v>
      </c>
      <c r="E240" s="470">
        <v>35</v>
      </c>
      <c r="F240" s="470">
        <v>15</v>
      </c>
      <c r="G240" s="470">
        <v>1</v>
      </c>
      <c r="H240" s="470">
        <v>20</v>
      </c>
      <c r="I240" s="470">
        <v>1</v>
      </c>
      <c r="J240" s="470">
        <f t="shared" si="58"/>
        <v>15</v>
      </c>
      <c r="K240" s="470">
        <v>1</v>
      </c>
      <c r="L240" s="472">
        <f t="shared" si="59"/>
        <v>1.55</v>
      </c>
      <c r="M240" s="470">
        <f t="shared" si="57"/>
        <v>93</v>
      </c>
      <c r="N240" s="474"/>
      <c r="O240" s="462">
        <f t="shared" si="60"/>
        <v>0</v>
      </c>
      <c r="P240" s="462">
        <f t="shared" si="61"/>
        <v>0</v>
      </c>
    </row>
    <row r="241" spans="1:16" x14ac:dyDescent="0.35">
      <c r="A241" s="661"/>
      <c r="B241" s="485" t="s">
        <v>85</v>
      </c>
      <c r="C241" s="661"/>
      <c r="D241" s="470">
        <v>10</v>
      </c>
      <c r="E241" s="470">
        <v>35</v>
      </c>
      <c r="F241" s="470">
        <v>15</v>
      </c>
      <c r="G241" s="470">
        <v>1</v>
      </c>
      <c r="H241" s="470">
        <v>20</v>
      </c>
      <c r="I241" s="470">
        <v>1</v>
      </c>
      <c r="J241" s="470">
        <f t="shared" si="58"/>
        <v>15</v>
      </c>
      <c r="K241" s="470">
        <v>1</v>
      </c>
      <c r="L241" s="472">
        <f t="shared" si="59"/>
        <v>1.5833333333333333</v>
      </c>
      <c r="M241" s="470">
        <f t="shared" si="57"/>
        <v>95</v>
      </c>
      <c r="N241" s="474"/>
      <c r="O241" s="462">
        <f t="shared" si="60"/>
        <v>0</v>
      </c>
      <c r="P241" s="462">
        <f t="shared" si="61"/>
        <v>0</v>
      </c>
    </row>
    <row r="242" spans="1:16" x14ac:dyDescent="0.35">
      <c r="A242" s="661"/>
      <c r="B242" s="485" t="s">
        <v>84</v>
      </c>
      <c r="C242" s="661"/>
      <c r="D242" s="470">
        <v>12</v>
      </c>
      <c r="E242" s="470">
        <v>45</v>
      </c>
      <c r="F242" s="470">
        <v>25</v>
      </c>
      <c r="G242" s="470">
        <v>1</v>
      </c>
      <c r="H242" s="470">
        <v>20</v>
      </c>
      <c r="I242" s="470">
        <v>1</v>
      </c>
      <c r="J242" s="470">
        <f t="shared" si="58"/>
        <v>25</v>
      </c>
      <c r="K242" s="470">
        <v>1</v>
      </c>
      <c r="L242" s="472">
        <f t="shared" si="59"/>
        <v>2.1166666666666667</v>
      </c>
      <c r="M242" s="470">
        <f t="shared" si="57"/>
        <v>127</v>
      </c>
      <c r="N242" s="474"/>
      <c r="O242" s="462">
        <f t="shared" si="60"/>
        <v>0</v>
      </c>
      <c r="P242" s="462">
        <f t="shared" si="61"/>
        <v>0</v>
      </c>
    </row>
    <row r="243" spans="1:16" x14ac:dyDescent="0.35">
      <c r="A243" s="661"/>
      <c r="B243" s="485" t="s">
        <v>82</v>
      </c>
      <c r="C243" s="661"/>
      <c r="D243" s="470">
        <v>15</v>
      </c>
      <c r="E243" s="470">
        <v>60</v>
      </c>
      <c r="F243" s="470">
        <v>30</v>
      </c>
      <c r="G243" s="470">
        <v>1</v>
      </c>
      <c r="H243" s="470">
        <v>30</v>
      </c>
      <c r="I243" s="470">
        <v>1</v>
      </c>
      <c r="J243" s="470">
        <f t="shared" si="58"/>
        <v>30</v>
      </c>
      <c r="K243" s="470">
        <v>1</v>
      </c>
      <c r="L243" s="472">
        <f t="shared" si="59"/>
        <v>2.75</v>
      </c>
      <c r="M243" s="470">
        <f t="shared" si="57"/>
        <v>165</v>
      </c>
      <c r="N243" s="474"/>
      <c r="O243" s="462">
        <f t="shared" si="60"/>
        <v>0</v>
      </c>
      <c r="P243" s="462">
        <f t="shared" si="61"/>
        <v>0</v>
      </c>
    </row>
    <row r="244" spans="1:16" x14ac:dyDescent="0.35">
      <c r="A244" s="661"/>
      <c r="B244" s="485" t="s">
        <v>120</v>
      </c>
      <c r="C244" s="661"/>
      <c r="D244" s="470">
        <v>20</v>
      </c>
      <c r="E244" s="470">
        <v>75</v>
      </c>
      <c r="F244" s="470">
        <v>40</v>
      </c>
      <c r="G244" s="470">
        <v>1</v>
      </c>
      <c r="H244" s="470">
        <v>40</v>
      </c>
      <c r="I244" s="470">
        <v>1</v>
      </c>
      <c r="J244" s="470">
        <f t="shared" si="58"/>
        <v>40</v>
      </c>
      <c r="K244" s="470">
        <v>1</v>
      </c>
      <c r="L244" s="472">
        <f t="shared" si="59"/>
        <v>3.5833333333333335</v>
      </c>
      <c r="M244" s="470">
        <f t="shared" si="57"/>
        <v>215</v>
      </c>
      <c r="N244" s="474"/>
      <c r="O244" s="462">
        <f t="shared" si="60"/>
        <v>0</v>
      </c>
      <c r="P244" s="462">
        <f t="shared" si="61"/>
        <v>0</v>
      </c>
    </row>
    <row r="245" spans="1:16" x14ac:dyDescent="0.35">
      <c r="A245" s="661"/>
      <c r="B245" s="485" t="s">
        <v>80</v>
      </c>
      <c r="C245" s="661"/>
      <c r="D245" s="470">
        <v>25</v>
      </c>
      <c r="E245" s="470">
        <v>85</v>
      </c>
      <c r="F245" s="470">
        <v>45</v>
      </c>
      <c r="G245" s="470">
        <v>1</v>
      </c>
      <c r="H245" s="470">
        <v>50</v>
      </c>
      <c r="I245" s="470">
        <v>1</v>
      </c>
      <c r="J245" s="470">
        <f t="shared" si="58"/>
        <v>45</v>
      </c>
      <c r="K245" s="470">
        <v>1</v>
      </c>
      <c r="L245" s="472">
        <f t="shared" si="59"/>
        <v>4.166666666666667</v>
      </c>
      <c r="M245" s="470">
        <f t="shared" si="57"/>
        <v>250</v>
      </c>
      <c r="N245" s="474"/>
      <c r="O245" s="462">
        <f t="shared" si="60"/>
        <v>0</v>
      </c>
      <c r="P245" s="462">
        <f t="shared" si="61"/>
        <v>0</v>
      </c>
    </row>
    <row r="246" spans="1:16" x14ac:dyDescent="0.35">
      <c r="A246" s="661"/>
      <c r="B246" s="485" t="s">
        <v>119</v>
      </c>
      <c r="C246" s="661"/>
      <c r="D246" s="470">
        <v>30</v>
      </c>
      <c r="E246" s="470">
        <v>100</v>
      </c>
      <c r="F246" s="470">
        <v>55</v>
      </c>
      <c r="G246" s="470">
        <v>1</v>
      </c>
      <c r="H246" s="470">
        <v>60</v>
      </c>
      <c r="I246" s="470">
        <v>1</v>
      </c>
      <c r="J246" s="470">
        <f t="shared" si="58"/>
        <v>55</v>
      </c>
      <c r="K246" s="470">
        <v>1</v>
      </c>
      <c r="L246" s="472">
        <f t="shared" si="59"/>
        <v>5</v>
      </c>
      <c r="M246" s="470">
        <f t="shared" si="57"/>
        <v>300</v>
      </c>
      <c r="N246" s="474"/>
      <c r="O246" s="462">
        <f t="shared" si="60"/>
        <v>0</v>
      </c>
      <c r="P246" s="462">
        <f t="shared" si="61"/>
        <v>0</v>
      </c>
    </row>
    <row r="247" spans="1:16" x14ac:dyDescent="0.35">
      <c r="A247" s="661"/>
      <c r="B247" s="485" t="s">
        <v>179</v>
      </c>
      <c r="C247" s="661"/>
      <c r="D247" s="470">
        <v>40</v>
      </c>
      <c r="E247" s="470">
        <v>115</v>
      </c>
      <c r="F247" s="470">
        <v>70</v>
      </c>
      <c r="G247" s="470">
        <v>1</v>
      </c>
      <c r="H247" s="470">
        <v>70</v>
      </c>
      <c r="I247" s="470">
        <v>1</v>
      </c>
      <c r="J247" s="470">
        <f t="shared" si="58"/>
        <v>70</v>
      </c>
      <c r="K247" s="470">
        <v>1</v>
      </c>
      <c r="L247" s="472">
        <f t="shared" si="59"/>
        <v>6.083333333333333</v>
      </c>
      <c r="M247" s="470">
        <f t="shared" si="57"/>
        <v>365</v>
      </c>
      <c r="N247" s="474"/>
      <c r="O247" s="462">
        <f t="shared" si="60"/>
        <v>0</v>
      </c>
      <c r="P247" s="462">
        <f t="shared" si="61"/>
        <v>0</v>
      </c>
    </row>
    <row r="248" spans="1:16" x14ac:dyDescent="0.35">
      <c r="A248" s="661"/>
      <c r="B248" s="485" t="s">
        <v>118</v>
      </c>
      <c r="C248" s="661"/>
      <c r="D248" s="470">
        <v>45</v>
      </c>
      <c r="E248" s="470">
        <v>130</v>
      </c>
      <c r="F248" s="470">
        <v>85</v>
      </c>
      <c r="G248" s="470">
        <v>1</v>
      </c>
      <c r="H248" s="470">
        <v>85</v>
      </c>
      <c r="I248" s="470">
        <v>1</v>
      </c>
      <c r="J248" s="470">
        <f t="shared" si="58"/>
        <v>85</v>
      </c>
      <c r="K248" s="470">
        <v>1</v>
      </c>
      <c r="L248" s="472">
        <f t="shared" si="59"/>
        <v>7.166666666666667</v>
      </c>
      <c r="M248" s="470">
        <f t="shared" si="57"/>
        <v>430</v>
      </c>
      <c r="N248" s="474"/>
      <c r="O248" s="462">
        <f t="shared" si="60"/>
        <v>0</v>
      </c>
      <c r="P248" s="462">
        <f t="shared" si="61"/>
        <v>0</v>
      </c>
    </row>
    <row r="249" spans="1:16" x14ac:dyDescent="0.35">
      <c r="A249" s="661"/>
      <c r="B249" s="485" t="s">
        <v>688</v>
      </c>
      <c r="C249" s="661"/>
      <c r="D249" s="470">
        <v>50</v>
      </c>
      <c r="E249" s="470">
        <v>150</v>
      </c>
      <c r="F249" s="470">
        <v>90</v>
      </c>
      <c r="G249" s="470">
        <v>1</v>
      </c>
      <c r="H249" s="470">
        <v>100</v>
      </c>
      <c r="I249" s="470">
        <v>1</v>
      </c>
      <c r="J249" s="470">
        <f t="shared" si="58"/>
        <v>90</v>
      </c>
      <c r="K249" s="470">
        <v>1</v>
      </c>
      <c r="L249" s="472">
        <f t="shared" si="59"/>
        <v>8</v>
      </c>
      <c r="M249" s="470">
        <f t="shared" si="57"/>
        <v>480</v>
      </c>
      <c r="N249" s="474"/>
      <c r="O249" s="462">
        <f t="shared" si="60"/>
        <v>0</v>
      </c>
      <c r="P249" s="462">
        <f t="shared" si="61"/>
        <v>0</v>
      </c>
    </row>
    <row r="250" spans="1:16" x14ac:dyDescent="0.35">
      <c r="A250" s="661"/>
      <c r="B250" s="485" t="s">
        <v>171</v>
      </c>
      <c r="C250" s="661"/>
      <c r="D250" s="470">
        <v>60</v>
      </c>
      <c r="E250" s="470">
        <v>165</v>
      </c>
      <c r="F250" s="470">
        <v>100</v>
      </c>
      <c r="G250" s="470">
        <v>1</v>
      </c>
      <c r="H250" s="470">
        <v>120</v>
      </c>
      <c r="I250" s="470">
        <v>1</v>
      </c>
      <c r="J250" s="470">
        <f t="shared" si="58"/>
        <v>100</v>
      </c>
      <c r="K250" s="470">
        <v>1</v>
      </c>
      <c r="L250" s="472">
        <f t="shared" si="59"/>
        <v>9.0833333333333339</v>
      </c>
      <c r="M250" s="470">
        <f t="shared" si="57"/>
        <v>545</v>
      </c>
      <c r="N250" s="474"/>
      <c r="O250" s="462">
        <f t="shared" si="60"/>
        <v>0</v>
      </c>
      <c r="P250" s="462">
        <f t="shared" si="61"/>
        <v>0</v>
      </c>
    </row>
    <row r="251" spans="1:16" x14ac:dyDescent="0.35">
      <c r="A251" s="661"/>
      <c r="B251" s="485" t="s">
        <v>195</v>
      </c>
      <c r="C251" s="661"/>
      <c r="D251" s="470">
        <v>70</v>
      </c>
      <c r="E251" s="470">
        <v>185</v>
      </c>
      <c r="F251" s="470">
        <v>120</v>
      </c>
      <c r="G251" s="470">
        <v>1</v>
      </c>
      <c r="H251" s="470">
        <v>130</v>
      </c>
      <c r="I251" s="470">
        <v>1</v>
      </c>
      <c r="J251" s="470">
        <f t="shared" si="58"/>
        <v>120</v>
      </c>
      <c r="K251" s="470">
        <v>1</v>
      </c>
      <c r="L251" s="472">
        <f t="shared" si="59"/>
        <v>10.416666666666666</v>
      </c>
      <c r="M251" s="470">
        <f t="shared" si="57"/>
        <v>625</v>
      </c>
      <c r="N251" s="474"/>
      <c r="O251" s="462">
        <f t="shared" si="60"/>
        <v>0</v>
      </c>
      <c r="P251" s="462">
        <f t="shared" si="61"/>
        <v>0</v>
      </c>
    </row>
    <row r="252" spans="1:16" x14ac:dyDescent="0.35">
      <c r="A252" s="661"/>
      <c r="B252" s="485" t="s">
        <v>1406</v>
      </c>
      <c r="C252" s="661"/>
      <c r="D252" s="470">
        <v>80</v>
      </c>
      <c r="E252" s="470">
        <v>215</v>
      </c>
      <c r="F252" s="470">
        <v>140</v>
      </c>
      <c r="G252" s="470">
        <v>1</v>
      </c>
      <c r="H252" s="470">
        <v>145</v>
      </c>
      <c r="I252" s="470">
        <v>1</v>
      </c>
      <c r="J252" s="470">
        <f t="shared" si="58"/>
        <v>140</v>
      </c>
      <c r="K252" s="470">
        <v>1</v>
      </c>
      <c r="L252" s="472">
        <f t="shared" si="59"/>
        <v>12</v>
      </c>
      <c r="M252" s="470">
        <f t="shared" si="57"/>
        <v>720</v>
      </c>
      <c r="N252" s="474"/>
      <c r="O252" s="462">
        <f t="shared" si="60"/>
        <v>0</v>
      </c>
      <c r="P252" s="462">
        <f t="shared" si="61"/>
        <v>0</v>
      </c>
    </row>
    <row r="253" spans="1:16" x14ac:dyDescent="0.35">
      <c r="A253" s="661"/>
      <c r="B253" s="485" t="s">
        <v>1407</v>
      </c>
      <c r="C253" s="661"/>
      <c r="D253" s="470">
        <v>90</v>
      </c>
      <c r="E253" s="470">
        <v>230</v>
      </c>
      <c r="F253" s="470">
        <v>180</v>
      </c>
      <c r="G253" s="470">
        <v>1</v>
      </c>
      <c r="H253" s="470">
        <v>160</v>
      </c>
      <c r="I253" s="470">
        <v>1</v>
      </c>
      <c r="J253" s="470">
        <f t="shared" si="58"/>
        <v>180</v>
      </c>
      <c r="K253" s="470">
        <v>1</v>
      </c>
      <c r="L253" s="472">
        <f t="shared" si="59"/>
        <v>14</v>
      </c>
      <c r="M253" s="470">
        <f t="shared" si="57"/>
        <v>840</v>
      </c>
      <c r="N253" s="474"/>
      <c r="O253" s="462">
        <f t="shared" si="60"/>
        <v>0</v>
      </c>
      <c r="P253" s="462">
        <f t="shared" si="61"/>
        <v>0</v>
      </c>
    </row>
    <row r="254" spans="1:16" x14ac:dyDescent="0.35">
      <c r="A254" s="661"/>
      <c r="B254" s="485" t="s">
        <v>1408</v>
      </c>
      <c r="C254" s="661"/>
      <c r="D254" s="470">
        <v>100</v>
      </c>
      <c r="E254" s="470">
        <v>255</v>
      </c>
      <c r="F254" s="470">
        <v>210</v>
      </c>
      <c r="G254" s="470">
        <v>1</v>
      </c>
      <c r="H254" s="470">
        <v>200</v>
      </c>
      <c r="I254" s="470">
        <v>1</v>
      </c>
      <c r="J254" s="470">
        <f t="shared" si="58"/>
        <v>210</v>
      </c>
      <c r="K254" s="470">
        <v>1</v>
      </c>
      <c r="L254" s="472">
        <f t="shared" si="59"/>
        <v>16.25</v>
      </c>
      <c r="M254" s="470">
        <f t="shared" si="57"/>
        <v>975</v>
      </c>
      <c r="N254" s="474"/>
      <c r="O254" s="462">
        <f t="shared" si="60"/>
        <v>0</v>
      </c>
      <c r="P254" s="462">
        <f t="shared" si="61"/>
        <v>0</v>
      </c>
    </row>
    <row r="255" spans="1:16" x14ac:dyDescent="0.35">
      <c r="A255" s="661"/>
      <c r="B255" s="485" t="s">
        <v>1409</v>
      </c>
      <c r="C255" s="661"/>
      <c r="D255" s="470">
        <v>110</v>
      </c>
      <c r="E255" s="470">
        <v>285</v>
      </c>
      <c r="F255" s="470">
        <v>210</v>
      </c>
      <c r="G255" s="470">
        <v>1</v>
      </c>
      <c r="H255" s="470">
        <v>230</v>
      </c>
      <c r="I255" s="470">
        <v>1</v>
      </c>
      <c r="J255" s="470">
        <f t="shared" si="58"/>
        <v>210</v>
      </c>
      <c r="K255" s="470">
        <v>1</v>
      </c>
      <c r="L255" s="472">
        <f t="shared" si="59"/>
        <v>17.416666666666668</v>
      </c>
      <c r="M255" s="470">
        <f t="shared" si="57"/>
        <v>1045</v>
      </c>
      <c r="N255" s="474"/>
      <c r="O255" s="462">
        <f t="shared" si="60"/>
        <v>0</v>
      </c>
      <c r="P255" s="462">
        <f t="shared" si="61"/>
        <v>0</v>
      </c>
    </row>
    <row r="257" spans="1:16" ht="18.5" x14ac:dyDescent="0.35">
      <c r="B257" s="463"/>
      <c r="D257" s="662" t="s">
        <v>1385</v>
      </c>
      <c r="E257" s="662"/>
      <c r="F257" s="662"/>
      <c r="G257" s="662"/>
      <c r="H257" s="662"/>
      <c r="I257" s="662"/>
      <c r="J257" s="662"/>
      <c r="K257" s="662"/>
      <c r="L257" s="662"/>
      <c r="M257" s="662"/>
      <c r="N257" s="464"/>
    </row>
    <row r="258" spans="1:16" ht="18.5" x14ac:dyDescent="0.35">
      <c r="A258" s="465"/>
      <c r="B258" s="466"/>
      <c r="C258" s="466"/>
      <c r="D258" s="662"/>
      <c r="E258" s="662"/>
      <c r="F258" s="662"/>
      <c r="G258" s="662"/>
      <c r="H258" s="662"/>
      <c r="I258" s="662"/>
      <c r="J258" s="662"/>
      <c r="K258" s="662"/>
      <c r="L258" s="662"/>
      <c r="M258" s="662"/>
      <c r="N258" s="467"/>
    </row>
    <row r="259" spans="1:16" ht="18.5" x14ac:dyDescent="0.45">
      <c r="A259" s="663" t="s">
        <v>1386</v>
      </c>
      <c r="B259" s="663" t="s">
        <v>1387</v>
      </c>
      <c r="C259" s="663" t="s">
        <v>1388</v>
      </c>
      <c r="D259" s="663" t="s">
        <v>1389</v>
      </c>
      <c r="E259" s="665" t="s">
        <v>1390</v>
      </c>
      <c r="F259" s="666" t="s">
        <v>1391</v>
      </c>
      <c r="G259" s="667"/>
      <c r="H259" s="667"/>
      <c r="I259" s="667"/>
      <c r="J259" s="667"/>
      <c r="K259" s="668"/>
      <c r="L259" s="657" t="s">
        <v>1392</v>
      </c>
      <c r="M259" s="658" t="s">
        <v>1393</v>
      </c>
      <c r="N259" s="659" t="s">
        <v>1394</v>
      </c>
      <c r="O259" s="462" t="s">
        <v>1395</v>
      </c>
      <c r="P259" s="462" t="s">
        <v>1395</v>
      </c>
    </row>
    <row r="260" spans="1:16" x14ac:dyDescent="0.35">
      <c r="A260" s="664"/>
      <c r="B260" s="664"/>
      <c r="C260" s="664"/>
      <c r="D260" s="664"/>
      <c r="E260" s="665"/>
      <c r="F260" s="468" t="s">
        <v>1396</v>
      </c>
      <c r="G260" s="468" t="s">
        <v>1397</v>
      </c>
      <c r="H260" s="468" t="s">
        <v>1398</v>
      </c>
      <c r="I260" s="469" t="s">
        <v>1397</v>
      </c>
      <c r="J260" s="469" t="s">
        <v>1399</v>
      </c>
      <c r="K260" s="469" t="s">
        <v>1397</v>
      </c>
      <c r="L260" s="657"/>
      <c r="M260" s="658"/>
      <c r="N260" s="660"/>
      <c r="O260" s="462" t="s">
        <v>1400</v>
      </c>
      <c r="P260" s="462" t="s">
        <v>1401</v>
      </c>
    </row>
    <row r="261" spans="1:16" x14ac:dyDescent="0.35">
      <c r="A261" s="682" t="s">
        <v>1417</v>
      </c>
      <c r="B261" s="485" t="s">
        <v>1403</v>
      </c>
      <c r="C261" s="682">
        <v>150</v>
      </c>
      <c r="D261" s="470">
        <v>7</v>
      </c>
      <c r="E261" s="470">
        <v>10</v>
      </c>
      <c r="F261" s="470">
        <v>10</v>
      </c>
      <c r="G261" s="470">
        <v>1</v>
      </c>
      <c r="H261" s="470">
        <v>15</v>
      </c>
      <c r="I261" s="470">
        <v>1</v>
      </c>
      <c r="J261" s="470">
        <f>F261</f>
        <v>10</v>
      </c>
      <c r="K261" s="470">
        <v>1</v>
      </c>
      <c r="L261" s="472">
        <f>M261/60</f>
        <v>0.11666666666666667</v>
      </c>
      <c r="M261" s="470">
        <f t="shared" ref="M261:M274" si="62">D261</f>
        <v>7</v>
      </c>
      <c r="N261" s="474"/>
      <c r="O261" s="462">
        <f>N261*L261</f>
        <v>0</v>
      </c>
      <c r="P261" s="462">
        <f>O261/8</f>
        <v>0</v>
      </c>
    </row>
    <row r="262" spans="1:16" x14ac:dyDescent="0.35">
      <c r="A262" s="683"/>
      <c r="B262" s="485" t="s">
        <v>1404</v>
      </c>
      <c r="C262" s="683"/>
      <c r="D262" s="470">
        <v>8</v>
      </c>
      <c r="E262" s="470">
        <v>10</v>
      </c>
      <c r="F262" s="470">
        <v>10</v>
      </c>
      <c r="G262" s="470">
        <v>1</v>
      </c>
      <c r="H262" s="470">
        <v>15</v>
      </c>
      <c r="I262" s="470">
        <v>1</v>
      </c>
      <c r="J262" s="470">
        <f t="shared" ref="J262:J271" si="63">F262</f>
        <v>10</v>
      </c>
      <c r="K262" s="470">
        <v>1</v>
      </c>
      <c r="L262" s="472">
        <f t="shared" ref="L262:L274" si="64">M262/60</f>
        <v>0.13333333333333333</v>
      </c>
      <c r="M262" s="470">
        <f t="shared" si="62"/>
        <v>8</v>
      </c>
      <c r="N262" s="474"/>
      <c r="O262" s="462">
        <f t="shared" ref="O262:O274" si="65">N262*L262</f>
        <v>0</v>
      </c>
      <c r="P262" s="462">
        <f t="shared" ref="P262:P274" si="66">O262/8</f>
        <v>0</v>
      </c>
    </row>
    <row r="263" spans="1:16" x14ac:dyDescent="0.35">
      <c r="A263" s="683"/>
      <c r="B263" s="485" t="s">
        <v>1411</v>
      </c>
      <c r="C263" s="683"/>
      <c r="D263" s="470">
        <v>8</v>
      </c>
      <c r="E263" s="470">
        <v>15</v>
      </c>
      <c r="F263" s="470">
        <v>15</v>
      </c>
      <c r="G263" s="470">
        <v>1</v>
      </c>
      <c r="H263" s="470">
        <v>20</v>
      </c>
      <c r="I263" s="470">
        <v>1</v>
      </c>
      <c r="J263" s="470">
        <f t="shared" si="63"/>
        <v>15</v>
      </c>
      <c r="K263" s="470">
        <v>1</v>
      </c>
      <c r="L263" s="472">
        <f t="shared" si="64"/>
        <v>0.13333333333333333</v>
      </c>
      <c r="M263" s="470">
        <f t="shared" si="62"/>
        <v>8</v>
      </c>
      <c r="N263" s="474"/>
      <c r="O263" s="462">
        <f t="shared" si="65"/>
        <v>0</v>
      </c>
      <c r="P263" s="462">
        <f t="shared" si="66"/>
        <v>0</v>
      </c>
    </row>
    <row r="264" spans="1:16" x14ac:dyDescent="0.35">
      <c r="A264" s="683"/>
      <c r="B264" s="485" t="s">
        <v>85</v>
      </c>
      <c r="C264" s="683"/>
      <c r="D264" s="470">
        <v>10</v>
      </c>
      <c r="E264" s="470">
        <v>15</v>
      </c>
      <c r="F264" s="470">
        <v>15</v>
      </c>
      <c r="G264" s="470">
        <v>1</v>
      </c>
      <c r="H264" s="470">
        <v>20</v>
      </c>
      <c r="I264" s="470">
        <v>1</v>
      </c>
      <c r="J264" s="470">
        <f t="shared" si="63"/>
        <v>15</v>
      </c>
      <c r="K264" s="470">
        <v>1</v>
      </c>
      <c r="L264" s="472">
        <f t="shared" si="64"/>
        <v>0.16666666666666666</v>
      </c>
      <c r="M264" s="470">
        <f t="shared" si="62"/>
        <v>10</v>
      </c>
      <c r="N264" s="474"/>
      <c r="O264" s="462">
        <f t="shared" si="65"/>
        <v>0</v>
      </c>
      <c r="P264" s="462">
        <f t="shared" si="66"/>
        <v>0</v>
      </c>
    </row>
    <row r="265" spans="1:16" x14ac:dyDescent="0.35">
      <c r="A265" s="683"/>
      <c r="B265" s="485" t="s">
        <v>84</v>
      </c>
      <c r="C265" s="683"/>
      <c r="D265" s="470">
        <v>12</v>
      </c>
      <c r="E265" s="470">
        <v>15</v>
      </c>
      <c r="F265" s="470">
        <v>15</v>
      </c>
      <c r="G265" s="470">
        <v>1</v>
      </c>
      <c r="H265" s="470">
        <v>20</v>
      </c>
      <c r="I265" s="470">
        <v>1</v>
      </c>
      <c r="J265" s="470">
        <f t="shared" si="63"/>
        <v>15</v>
      </c>
      <c r="K265" s="470">
        <v>1</v>
      </c>
      <c r="L265" s="472">
        <f t="shared" si="64"/>
        <v>0.2</v>
      </c>
      <c r="M265" s="470">
        <f t="shared" si="62"/>
        <v>12</v>
      </c>
      <c r="N265" s="474"/>
      <c r="O265" s="462">
        <f t="shared" si="65"/>
        <v>0</v>
      </c>
      <c r="P265" s="462">
        <f t="shared" si="66"/>
        <v>0</v>
      </c>
    </row>
    <row r="266" spans="1:16" x14ac:dyDescent="0.35">
      <c r="A266" s="683"/>
      <c r="B266" s="485" t="s">
        <v>82</v>
      </c>
      <c r="C266" s="683"/>
      <c r="D266" s="470">
        <v>15</v>
      </c>
      <c r="E266" s="470">
        <v>25</v>
      </c>
      <c r="F266" s="470">
        <v>25</v>
      </c>
      <c r="G266" s="470">
        <v>1</v>
      </c>
      <c r="H266" s="470">
        <v>30</v>
      </c>
      <c r="I266" s="470">
        <v>1</v>
      </c>
      <c r="J266" s="470">
        <f t="shared" si="63"/>
        <v>25</v>
      </c>
      <c r="K266" s="470">
        <v>1</v>
      </c>
      <c r="L266" s="472">
        <f t="shared" si="64"/>
        <v>0.25</v>
      </c>
      <c r="M266" s="470">
        <f t="shared" si="62"/>
        <v>15</v>
      </c>
      <c r="N266" s="474"/>
      <c r="O266" s="462">
        <f t="shared" si="65"/>
        <v>0</v>
      </c>
      <c r="P266" s="462">
        <f t="shared" si="66"/>
        <v>0</v>
      </c>
    </row>
    <row r="267" spans="1:16" x14ac:dyDescent="0.35">
      <c r="A267" s="683"/>
      <c r="B267" s="485" t="s">
        <v>120</v>
      </c>
      <c r="C267" s="683"/>
      <c r="D267" s="470">
        <v>20</v>
      </c>
      <c r="E267" s="470">
        <v>30</v>
      </c>
      <c r="F267" s="470">
        <v>30</v>
      </c>
      <c r="G267" s="470">
        <v>1</v>
      </c>
      <c r="H267" s="470">
        <v>40</v>
      </c>
      <c r="I267" s="470">
        <v>1</v>
      </c>
      <c r="J267" s="470">
        <f t="shared" si="63"/>
        <v>30</v>
      </c>
      <c r="K267" s="470">
        <v>1</v>
      </c>
      <c r="L267" s="472">
        <f t="shared" si="64"/>
        <v>0.33333333333333331</v>
      </c>
      <c r="M267" s="470">
        <f t="shared" si="62"/>
        <v>20</v>
      </c>
      <c r="N267" s="474"/>
      <c r="O267" s="462">
        <f t="shared" si="65"/>
        <v>0</v>
      </c>
      <c r="P267" s="462">
        <f t="shared" si="66"/>
        <v>0</v>
      </c>
    </row>
    <row r="268" spans="1:16" x14ac:dyDescent="0.35">
      <c r="A268" s="683"/>
      <c r="B268" s="485" t="s">
        <v>80</v>
      </c>
      <c r="C268" s="683"/>
      <c r="D268" s="470">
        <v>25</v>
      </c>
      <c r="E268" s="470">
        <v>40</v>
      </c>
      <c r="F268" s="470">
        <v>40</v>
      </c>
      <c r="G268" s="470">
        <v>1</v>
      </c>
      <c r="H268" s="470">
        <v>50</v>
      </c>
      <c r="I268" s="470">
        <v>1</v>
      </c>
      <c r="J268" s="470">
        <f t="shared" si="63"/>
        <v>40</v>
      </c>
      <c r="K268" s="470">
        <v>1</v>
      </c>
      <c r="L268" s="472">
        <f t="shared" si="64"/>
        <v>0.41666666666666669</v>
      </c>
      <c r="M268" s="470">
        <f t="shared" si="62"/>
        <v>25</v>
      </c>
      <c r="N268" s="474"/>
      <c r="O268" s="462">
        <f t="shared" si="65"/>
        <v>0</v>
      </c>
      <c r="P268" s="462">
        <f t="shared" si="66"/>
        <v>0</v>
      </c>
    </row>
    <row r="269" spans="1:16" x14ac:dyDescent="0.35">
      <c r="A269" s="683"/>
      <c r="B269" s="485" t="s">
        <v>119</v>
      </c>
      <c r="C269" s="683"/>
      <c r="D269" s="470">
        <v>30</v>
      </c>
      <c r="E269" s="470">
        <v>45</v>
      </c>
      <c r="F269" s="470">
        <v>45</v>
      </c>
      <c r="G269" s="470">
        <v>1</v>
      </c>
      <c r="H269" s="470">
        <v>60</v>
      </c>
      <c r="I269" s="470">
        <v>1</v>
      </c>
      <c r="J269" s="470">
        <f t="shared" si="63"/>
        <v>45</v>
      </c>
      <c r="K269" s="470">
        <v>1</v>
      </c>
      <c r="L269" s="472">
        <f t="shared" si="64"/>
        <v>0.5</v>
      </c>
      <c r="M269" s="470">
        <f t="shared" si="62"/>
        <v>30</v>
      </c>
      <c r="N269" s="474"/>
      <c r="O269" s="462">
        <f t="shared" si="65"/>
        <v>0</v>
      </c>
      <c r="P269" s="462">
        <f t="shared" si="66"/>
        <v>0</v>
      </c>
    </row>
    <row r="270" spans="1:16" x14ac:dyDescent="0.35">
      <c r="A270" s="683"/>
      <c r="B270" s="485" t="s">
        <v>179</v>
      </c>
      <c r="C270" s="683"/>
      <c r="D270" s="470">
        <v>40</v>
      </c>
      <c r="E270" s="470">
        <v>55</v>
      </c>
      <c r="F270" s="470">
        <v>55</v>
      </c>
      <c r="G270" s="470">
        <v>1</v>
      </c>
      <c r="H270" s="470">
        <v>70</v>
      </c>
      <c r="I270" s="470">
        <v>1</v>
      </c>
      <c r="J270" s="470">
        <f t="shared" si="63"/>
        <v>55</v>
      </c>
      <c r="K270" s="470">
        <v>1</v>
      </c>
      <c r="L270" s="472">
        <f t="shared" si="64"/>
        <v>0.66666666666666663</v>
      </c>
      <c r="M270" s="470">
        <f t="shared" si="62"/>
        <v>40</v>
      </c>
      <c r="N270" s="474"/>
      <c r="O270" s="462">
        <f t="shared" si="65"/>
        <v>0</v>
      </c>
      <c r="P270" s="462">
        <f t="shared" si="66"/>
        <v>0</v>
      </c>
    </row>
    <row r="271" spans="1:16" x14ac:dyDescent="0.35">
      <c r="A271" s="683"/>
      <c r="B271" s="485" t="s">
        <v>118</v>
      </c>
      <c r="C271" s="683"/>
      <c r="D271" s="470">
        <v>45</v>
      </c>
      <c r="E271" s="470">
        <v>70</v>
      </c>
      <c r="F271" s="470">
        <v>70</v>
      </c>
      <c r="G271" s="470">
        <v>1</v>
      </c>
      <c r="H271" s="470">
        <v>85</v>
      </c>
      <c r="I271" s="470">
        <v>1</v>
      </c>
      <c r="J271" s="470">
        <f t="shared" si="63"/>
        <v>70</v>
      </c>
      <c r="K271" s="470">
        <v>1</v>
      </c>
      <c r="L271" s="472">
        <f t="shared" si="64"/>
        <v>0.75</v>
      </c>
      <c r="M271" s="470">
        <f t="shared" si="62"/>
        <v>45</v>
      </c>
      <c r="N271" s="474"/>
      <c r="O271" s="462">
        <f t="shared" si="65"/>
        <v>0</v>
      </c>
      <c r="P271" s="462">
        <f t="shared" si="66"/>
        <v>0</v>
      </c>
    </row>
    <row r="272" spans="1:16" x14ac:dyDescent="0.35">
      <c r="A272" s="683"/>
      <c r="B272" s="485" t="s">
        <v>688</v>
      </c>
      <c r="C272" s="683"/>
      <c r="D272" s="470">
        <v>60</v>
      </c>
      <c r="E272" s="470"/>
      <c r="F272" s="470"/>
      <c r="G272" s="470"/>
      <c r="H272" s="470"/>
      <c r="I272" s="470"/>
      <c r="J272" s="470"/>
      <c r="K272" s="470"/>
      <c r="L272" s="472">
        <f t="shared" si="64"/>
        <v>1</v>
      </c>
      <c r="M272" s="470">
        <f t="shared" si="62"/>
        <v>60</v>
      </c>
      <c r="N272" s="474"/>
      <c r="O272" s="462">
        <f t="shared" si="65"/>
        <v>0</v>
      </c>
      <c r="P272" s="462">
        <f t="shared" si="66"/>
        <v>0</v>
      </c>
    </row>
    <row r="273" spans="1:16" x14ac:dyDescent="0.35">
      <c r="A273" s="683"/>
      <c r="B273" s="485" t="s">
        <v>171</v>
      </c>
      <c r="C273" s="683"/>
      <c r="D273" s="470">
        <v>75</v>
      </c>
      <c r="E273" s="470"/>
      <c r="F273" s="470"/>
      <c r="G273" s="470"/>
      <c r="H273" s="470"/>
      <c r="I273" s="470"/>
      <c r="J273" s="470"/>
      <c r="K273" s="470"/>
      <c r="L273" s="472">
        <f t="shared" si="64"/>
        <v>1.25</v>
      </c>
      <c r="M273" s="470">
        <f t="shared" si="62"/>
        <v>75</v>
      </c>
      <c r="N273" s="474"/>
      <c r="O273" s="462">
        <f t="shared" si="65"/>
        <v>0</v>
      </c>
      <c r="P273" s="462">
        <f t="shared" si="66"/>
        <v>0</v>
      </c>
    </row>
    <row r="274" spans="1:16" x14ac:dyDescent="0.35">
      <c r="A274" s="684"/>
      <c r="B274" s="485" t="s">
        <v>195</v>
      </c>
      <c r="C274" s="684"/>
      <c r="D274" s="470">
        <v>90</v>
      </c>
      <c r="E274" s="470"/>
      <c r="F274" s="470"/>
      <c r="G274" s="470"/>
      <c r="H274" s="470"/>
      <c r="I274" s="470"/>
      <c r="J274" s="470"/>
      <c r="K274" s="470"/>
      <c r="L274" s="472">
        <f t="shared" si="64"/>
        <v>1.5</v>
      </c>
      <c r="M274" s="470">
        <f t="shared" si="62"/>
        <v>90</v>
      </c>
      <c r="N274" s="474"/>
      <c r="O274" s="462">
        <f t="shared" si="65"/>
        <v>0</v>
      </c>
      <c r="P274" s="462">
        <f t="shared" si="66"/>
        <v>0</v>
      </c>
    </row>
    <row r="275" spans="1:16" x14ac:dyDescent="0.35">
      <c r="B275" s="463"/>
    </row>
    <row r="276" spans="1:16" ht="18.5" x14ac:dyDescent="0.35">
      <c r="B276" s="463"/>
      <c r="D276" s="662" t="s">
        <v>1385</v>
      </c>
      <c r="E276" s="662"/>
      <c r="F276" s="662"/>
      <c r="G276" s="662"/>
      <c r="H276" s="662"/>
      <c r="I276" s="662"/>
      <c r="J276" s="662"/>
      <c r="K276" s="662"/>
      <c r="L276" s="662"/>
      <c r="M276" s="662"/>
      <c r="N276" s="464"/>
    </row>
    <row r="277" spans="1:16" ht="18.5" x14ac:dyDescent="0.35">
      <c r="A277" s="465"/>
      <c r="B277" s="466"/>
      <c r="C277" s="466"/>
      <c r="D277" s="662"/>
      <c r="E277" s="662"/>
      <c r="F277" s="662"/>
      <c r="G277" s="662"/>
      <c r="H277" s="662"/>
      <c r="I277" s="662"/>
      <c r="J277" s="662"/>
      <c r="K277" s="662"/>
      <c r="L277" s="662"/>
      <c r="M277" s="662"/>
      <c r="N277" s="467"/>
    </row>
    <row r="278" spans="1:16" ht="18.5" x14ac:dyDescent="0.45">
      <c r="A278" s="663" t="s">
        <v>1386</v>
      </c>
      <c r="B278" s="663" t="s">
        <v>1387</v>
      </c>
      <c r="C278" s="663" t="s">
        <v>1388</v>
      </c>
      <c r="D278" s="663" t="s">
        <v>1389</v>
      </c>
      <c r="E278" s="665" t="s">
        <v>1390</v>
      </c>
      <c r="F278" s="666" t="s">
        <v>1391</v>
      </c>
      <c r="G278" s="667"/>
      <c r="H278" s="667"/>
      <c r="I278" s="667"/>
      <c r="J278" s="667"/>
      <c r="K278" s="668"/>
      <c r="L278" s="657" t="s">
        <v>1392</v>
      </c>
      <c r="M278" s="658" t="s">
        <v>1393</v>
      </c>
      <c r="N278" s="659" t="s">
        <v>1394</v>
      </c>
      <c r="O278" s="462" t="s">
        <v>1395</v>
      </c>
      <c r="P278" s="462" t="s">
        <v>1395</v>
      </c>
    </row>
    <row r="279" spans="1:16" x14ac:dyDescent="0.35">
      <c r="A279" s="664"/>
      <c r="B279" s="664"/>
      <c r="C279" s="664"/>
      <c r="D279" s="664"/>
      <c r="E279" s="665"/>
      <c r="F279" s="468" t="s">
        <v>1396</v>
      </c>
      <c r="G279" s="468" t="s">
        <v>1397</v>
      </c>
      <c r="H279" s="468" t="s">
        <v>1398</v>
      </c>
      <c r="I279" s="469" t="s">
        <v>1397</v>
      </c>
      <c r="J279" s="469" t="s">
        <v>1399</v>
      </c>
      <c r="K279" s="469" t="s">
        <v>1397</v>
      </c>
      <c r="L279" s="657"/>
      <c r="M279" s="658"/>
      <c r="N279" s="660"/>
      <c r="O279" s="462" t="s">
        <v>1400</v>
      </c>
      <c r="P279" s="462" t="s">
        <v>1401</v>
      </c>
    </row>
    <row r="280" spans="1:16" x14ac:dyDescent="0.35">
      <c r="A280" s="661" t="s">
        <v>1418</v>
      </c>
      <c r="B280" s="485" t="s">
        <v>1403</v>
      </c>
      <c r="C280" s="661">
        <v>300</v>
      </c>
      <c r="D280" s="470">
        <v>7</v>
      </c>
      <c r="E280" s="470">
        <v>10</v>
      </c>
      <c r="F280" s="470">
        <v>10</v>
      </c>
      <c r="G280" s="470">
        <v>1</v>
      </c>
      <c r="H280" s="470">
        <v>15</v>
      </c>
      <c r="I280" s="470">
        <v>1</v>
      </c>
      <c r="J280" s="470">
        <f>F280</f>
        <v>10</v>
      </c>
      <c r="K280" s="470">
        <v>1</v>
      </c>
      <c r="L280" s="472">
        <f>M280/60</f>
        <v>0.8666666666666667</v>
      </c>
      <c r="M280" s="470">
        <f t="shared" ref="M280:M290" si="67">D280+E280+F280+H280+J280</f>
        <v>52</v>
      </c>
      <c r="N280" s="474"/>
      <c r="O280" s="462">
        <f>N280*L280</f>
        <v>0</v>
      </c>
      <c r="P280" s="462">
        <f>O280/8</f>
        <v>0</v>
      </c>
    </row>
    <row r="281" spans="1:16" x14ac:dyDescent="0.35">
      <c r="A281" s="661"/>
      <c r="B281" s="485" t="s">
        <v>1404</v>
      </c>
      <c r="C281" s="661"/>
      <c r="D281" s="470">
        <v>8</v>
      </c>
      <c r="E281" s="470">
        <v>10</v>
      </c>
      <c r="F281" s="470">
        <v>10</v>
      </c>
      <c r="G281" s="470">
        <v>1</v>
      </c>
      <c r="H281" s="470">
        <v>15</v>
      </c>
      <c r="I281" s="470">
        <v>1</v>
      </c>
      <c r="J281" s="470">
        <f t="shared" ref="J281:J290" si="68">F281</f>
        <v>10</v>
      </c>
      <c r="K281" s="470">
        <v>1</v>
      </c>
      <c r="L281" s="472">
        <f t="shared" ref="L281:L290" si="69">M281/60</f>
        <v>0.8833333333333333</v>
      </c>
      <c r="M281" s="470">
        <f t="shared" si="67"/>
        <v>53</v>
      </c>
      <c r="N281" s="474"/>
      <c r="O281" s="462">
        <f t="shared" ref="O281:O290" si="70">N281*L281</f>
        <v>0</v>
      </c>
      <c r="P281" s="462">
        <f t="shared" ref="P281:P290" si="71">O281/8</f>
        <v>0</v>
      </c>
    </row>
    <row r="282" spans="1:16" x14ac:dyDescent="0.35">
      <c r="A282" s="661"/>
      <c r="B282" s="485" t="s">
        <v>1411</v>
      </c>
      <c r="C282" s="661"/>
      <c r="D282" s="470">
        <f>D263+5</f>
        <v>13</v>
      </c>
      <c r="E282" s="470">
        <v>15</v>
      </c>
      <c r="F282" s="470">
        <v>15</v>
      </c>
      <c r="G282" s="470">
        <v>1</v>
      </c>
      <c r="H282" s="470">
        <v>20</v>
      </c>
      <c r="I282" s="470">
        <v>1</v>
      </c>
      <c r="J282" s="470">
        <f t="shared" si="68"/>
        <v>15</v>
      </c>
      <c r="K282" s="470">
        <v>1</v>
      </c>
      <c r="L282" s="472">
        <f t="shared" si="69"/>
        <v>1.3</v>
      </c>
      <c r="M282" s="470">
        <f t="shared" si="67"/>
        <v>78</v>
      </c>
      <c r="N282" s="474"/>
      <c r="O282" s="462">
        <f t="shared" si="70"/>
        <v>0</v>
      </c>
      <c r="P282" s="462">
        <f t="shared" si="71"/>
        <v>0</v>
      </c>
    </row>
    <row r="283" spans="1:16" x14ac:dyDescent="0.35">
      <c r="A283" s="661"/>
      <c r="B283" s="485" t="s">
        <v>85</v>
      </c>
      <c r="C283" s="661"/>
      <c r="D283" s="470">
        <f t="shared" ref="D283:D290" si="72">D264+5</f>
        <v>15</v>
      </c>
      <c r="E283" s="470">
        <v>15</v>
      </c>
      <c r="F283" s="470">
        <v>15</v>
      </c>
      <c r="G283" s="470">
        <v>1</v>
      </c>
      <c r="H283" s="470">
        <v>20</v>
      </c>
      <c r="I283" s="470">
        <v>1</v>
      </c>
      <c r="J283" s="470">
        <f t="shared" si="68"/>
        <v>15</v>
      </c>
      <c r="K283" s="470">
        <v>1</v>
      </c>
      <c r="L283" s="472">
        <f t="shared" si="69"/>
        <v>1.3333333333333333</v>
      </c>
      <c r="M283" s="470">
        <f t="shared" si="67"/>
        <v>80</v>
      </c>
      <c r="N283" s="474"/>
      <c r="O283" s="462">
        <f t="shared" si="70"/>
        <v>0</v>
      </c>
      <c r="P283" s="462">
        <f t="shared" si="71"/>
        <v>0</v>
      </c>
    </row>
    <row r="284" spans="1:16" x14ac:dyDescent="0.35">
      <c r="A284" s="661"/>
      <c r="B284" s="485" t="s">
        <v>84</v>
      </c>
      <c r="C284" s="661"/>
      <c r="D284" s="470">
        <f t="shared" si="72"/>
        <v>17</v>
      </c>
      <c r="E284" s="470">
        <v>25</v>
      </c>
      <c r="F284" s="470">
        <v>25</v>
      </c>
      <c r="G284" s="470">
        <v>1</v>
      </c>
      <c r="H284" s="470">
        <v>20</v>
      </c>
      <c r="I284" s="470">
        <v>1</v>
      </c>
      <c r="J284" s="470">
        <f t="shared" si="68"/>
        <v>25</v>
      </c>
      <c r="K284" s="470">
        <v>1</v>
      </c>
      <c r="L284" s="472">
        <f t="shared" si="69"/>
        <v>1.8666666666666667</v>
      </c>
      <c r="M284" s="470">
        <f t="shared" si="67"/>
        <v>112</v>
      </c>
      <c r="N284" s="474"/>
      <c r="O284" s="462">
        <f t="shared" si="70"/>
        <v>0</v>
      </c>
      <c r="P284" s="462">
        <f t="shared" si="71"/>
        <v>0</v>
      </c>
    </row>
    <row r="285" spans="1:16" x14ac:dyDescent="0.35">
      <c r="A285" s="661"/>
      <c r="B285" s="485" t="s">
        <v>82</v>
      </c>
      <c r="C285" s="661"/>
      <c r="D285" s="470">
        <f t="shared" si="72"/>
        <v>20</v>
      </c>
      <c r="E285" s="470">
        <v>30</v>
      </c>
      <c r="F285" s="470">
        <v>30</v>
      </c>
      <c r="G285" s="470">
        <v>1</v>
      </c>
      <c r="H285" s="470">
        <v>30</v>
      </c>
      <c r="I285" s="470">
        <v>1</v>
      </c>
      <c r="J285" s="470">
        <f t="shared" si="68"/>
        <v>30</v>
      </c>
      <c r="K285" s="470">
        <v>1</v>
      </c>
      <c r="L285" s="472">
        <f t="shared" si="69"/>
        <v>2.3333333333333335</v>
      </c>
      <c r="M285" s="470">
        <f t="shared" si="67"/>
        <v>140</v>
      </c>
      <c r="N285" s="474"/>
      <c r="O285" s="462">
        <f t="shared" si="70"/>
        <v>0</v>
      </c>
      <c r="P285" s="462">
        <f t="shared" si="71"/>
        <v>0</v>
      </c>
    </row>
    <row r="286" spans="1:16" x14ac:dyDescent="0.35">
      <c r="A286" s="661"/>
      <c r="B286" s="485" t="s">
        <v>120</v>
      </c>
      <c r="C286" s="661"/>
      <c r="D286" s="470">
        <f t="shared" si="72"/>
        <v>25</v>
      </c>
      <c r="E286" s="470">
        <v>40</v>
      </c>
      <c r="F286" s="470">
        <v>40</v>
      </c>
      <c r="G286" s="470">
        <v>1</v>
      </c>
      <c r="H286" s="470">
        <v>40</v>
      </c>
      <c r="I286" s="470">
        <v>1</v>
      </c>
      <c r="J286" s="470">
        <f t="shared" si="68"/>
        <v>40</v>
      </c>
      <c r="K286" s="470">
        <v>1</v>
      </c>
      <c r="L286" s="472">
        <f t="shared" si="69"/>
        <v>3.0833333333333335</v>
      </c>
      <c r="M286" s="470">
        <f t="shared" si="67"/>
        <v>185</v>
      </c>
      <c r="N286" s="474"/>
      <c r="O286" s="462">
        <f t="shared" si="70"/>
        <v>0</v>
      </c>
      <c r="P286" s="462">
        <f t="shared" si="71"/>
        <v>0</v>
      </c>
    </row>
    <row r="287" spans="1:16" x14ac:dyDescent="0.35">
      <c r="A287" s="661"/>
      <c r="B287" s="485" t="s">
        <v>80</v>
      </c>
      <c r="C287" s="661"/>
      <c r="D287" s="470">
        <f t="shared" si="72"/>
        <v>30</v>
      </c>
      <c r="E287" s="470">
        <v>45</v>
      </c>
      <c r="F287" s="470">
        <v>45</v>
      </c>
      <c r="G287" s="470">
        <v>1</v>
      </c>
      <c r="H287" s="470">
        <v>50</v>
      </c>
      <c r="I287" s="470">
        <v>1</v>
      </c>
      <c r="J287" s="470">
        <f t="shared" si="68"/>
        <v>45</v>
      </c>
      <c r="K287" s="470">
        <v>1</v>
      </c>
      <c r="L287" s="472">
        <f t="shared" si="69"/>
        <v>3.5833333333333335</v>
      </c>
      <c r="M287" s="470">
        <f t="shared" si="67"/>
        <v>215</v>
      </c>
      <c r="N287" s="474"/>
      <c r="O287" s="462">
        <f t="shared" si="70"/>
        <v>0</v>
      </c>
      <c r="P287" s="462">
        <f t="shared" si="71"/>
        <v>0</v>
      </c>
    </row>
    <row r="288" spans="1:16" x14ac:dyDescent="0.35">
      <c r="A288" s="661"/>
      <c r="B288" s="485" t="s">
        <v>119</v>
      </c>
      <c r="C288" s="661"/>
      <c r="D288" s="470">
        <f t="shared" si="72"/>
        <v>35</v>
      </c>
      <c r="E288" s="470">
        <v>55</v>
      </c>
      <c r="F288" s="470">
        <v>55</v>
      </c>
      <c r="G288" s="470">
        <v>1</v>
      </c>
      <c r="H288" s="470">
        <v>60</v>
      </c>
      <c r="I288" s="470">
        <v>1</v>
      </c>
      <c r="J288" s="470">
        <f t="shared" si="68"/>
        <v>55</v>
      </c>
      <c r="K288" s="470">
        <v>1</v>
      </c>
      <c r="L288" s="472">
        <f t="shared" si="69"/>
        <v>4.333333333333333</v>
      </c>
      <c r="M288" s="470">
        <f t="shared" si="67"/>
        <v>260</v>
      </c>
      <c r="N288" s="474"/>
      <c r="O288" s="462">
        <f t="shared" si="70"/>
        <v>0</v>
      </c>
      <c r="P288" s="462">
        <f t="shared" si="71"/>
        <v>0</v>
      </c>
    </row>
    <row r="289" spans="1:16" x14ac:dyDescent="0.35">
      <c r="A289" s="661"/>
      <c r="B289" s="485" t="s">
        <v>179</v>
      </c>
      <c r="C289" s="661"/>
      <c r="D289" s="470">
        <f t="shared" si="72"/>
        <v>45</v>
      </c>
      <c r="E289" s="470">
        <v>70</v>
      </c>
      <c r="F289" s="470">
        <v>70</v>
      </c>
      <c r="G289" s="470">
        <v>1</v>
      </c>
      <c r="H289" s="470">
        <v>70</v>
      </c>
      <c r="I289" s="470">
        <v>1</v>
      </c>
      <c r="J289" s="470">
        <f t="shared" si="68"/>
        <v>70</v>
      </c>
      <c r="K289" s="470">
        <v>1</v>
      </c>
      <c r="L289" s="472">
        <f t="shared" si="69"/>
        <v>5.416666666666667</v>
      </c>
      <c r="M289" s="470">
        <f t="shared" si="67"/>
        <v>325</v>
      </c>
      <c r="N289" s="474"/>
      <c r="O289" s="462">
        <f t="shared" si="70"/>
        <v>0</v>
      </c>
      <c r="P289" s="462">
        <f t="shared" si="71"/>
        <v>0</v>
      </c>
    </row>
    <row r="290" spans="1:16" x14ac:dyDescent="0.35">
      <c r="A290" s="661"/>
      <c r="B290" s="485" t="s">
        <v>118</v>
      </c>
      <c r="C290" s="661"/>
      <c r="D290" s="470">
        <f t="shared" si="72"/>
        <v>50</v>
      </c>
      <c r="E290" s="470">
        <v>85</v>
      </c>
      <c r="F290" s="470">
        <v>85</v>
      </c>
      <c r="G290" s="470">
        <v>1</v>
      </c>
      <c r="H290" s="470">
        <v>85</v>
      </c>
      <c r="I290" s="470">
        <v>1</v>
      </c>
      <c r="J290" s="470">
        <f t="shared" si="68"/>
        <v>85</v>
      </c>
      <c r="K290" s="470">
        <v>1</v>
      </c>
      <c r="L290" s="472">
        <f t="shared" si="69"/>
        <v>6.5</v>
      </c>
      <c r="M290" s="470">
        <f t="shared" si="67"/>
        <v>390</v>
      </c>
      <c r="N290" s="474"/>
      <c r="O290" s="462">
        <f t="shared" si="70"/>
        <v>0</v>
      </c>
      <c r="P290" s="462">
        <f t="shared" si="71"/>
        <v>0</v>
      </c>
    </row>
  </sheetData>
  <mergeCells count="166">
    <mergeCell ref="L278:L279"/>
    <mergeCell ref="M278:M279"/>
    <mergeCell ref="N278:N279"/>
    <mergeCell ref="A280:A290"/>
    <mergeCell ref="C280:C290"/>
    <mergeCell ref="A278:A279"/>
    <mergeCell ref="B278:B279"/>
    <mergeCell ref="C278:C279"/>
    <mergeCell ref="D278:D279"/>
    <mergeCell ref="E278:E279"/>
    <mergeCell ref="F278:K278"/>
    <mergeCell ref="L259:L260"/>
    <mergeCell ref="M259:M260"/>
    <mergeCell ref="N259:N260"/>
    <mergeCell ref="A261:A274"/>
    <mergeCell ref="C261:C274"/>
    <mergeCell ref="D276:M277"/>
    <mergeCell ref="A259:A260"/>
    <mergeCell ref="B259:B260"/>
    <mergeCell ref="C259:C260"/>
    <mergeCell ref="D259:D260"/>
    <mergeCell ref="E259:E260"/>
    <mergeCell ref="F259:K259"/>
    <mergeCell ref="L236:L237"/>
    <mergeCell ref="M236:M237"/>
    <mergeCell ref="N236:N237"/>
    <mergeCell ref="A238:A255"/>
    <mergeCell ref="C238:C255"/>
    <mergeCell ref="D257:M258"/>
    <mergeCell ref="A236:A237"/>
    <mergeCell ref="B236:B237"/>
    <mergeCell ref="C236:C237"/>
    <mergeCell ref="D236:D237"/>
    <mergeCell ref="E236:E237"/>
    <mergeCell ref="F236:K236"/>
    <mergeCell ref="L213:L214"/>
    <mergeCell ref="M213:M214"/>
    <mergeCell ref="N213:N214"/>
    <mergeCell ref="A215:A232"/>
    <mergeCell ref="C215:C232"/>
    <mergeCell ref="D234:M235"/>
    <mergeCell ref="A213:A214"/>
    <mergeCell ref="B213:B214"/>
    <mergeCell ref="C213:C214"/>
    <mergeCell ref="D213:D214"/>
    <mergeCell ref="E213:E214"/>
    <mergeCell ref="F213:K213"/>
    <mergeCell ref="L191:L192"/>
    <mergeCell ref="M191:M192"/>
    <mergeCell ref="N191:N192"/>
    <mergeCell ref="A193:A209"/>
    <mergeCell ref="C193:C209"/>
    <mergeCell ref="D211:M212"/>
    <mergeCell ref="A191:A192"/>
    <mergeCell ref="B191:B192"/>
    <mergeCell ref="C191:C192"/>
    <mergeCell ref="D191:D192"/>
    <mergeCell ref="E191:E192"/>
    <mergeCell ref="F191:K191"/>
    <mergeCell ref="L168:L169"/>
    <mergeCell ref="M168:M169"/>
    <mergeCell ref="N168:N169"/>
    <mergeCell ref="A170:A187"/>
    <mergeCell ref="C170:C187"/>
    <mergeCell ref="D189:M190"/>
    <mergeCell ref="A168:A169"/>
    <mergeCell ref="B168:B169"/>
    <mergeCell ref="C168:C169"/>
    <mergeCell ref="D168:D169"/>
    <mergeCell ref="E168:E169"/>
    <mergeCell ref="F168:K168"/>
    <mergeCell ref="L145:L146"/>
    <mergeCell ref="M145:M146"/>
    <mergeCell ref="N145:N146"/>
    <mergeCell ref="A147:A164"/>
    <mergeCell ref="C147:C164"/>
    <mergeCell ref="D166:M167"/>
    <mergeCell ref="A145:A146"/>
    <mergeCell ref="B145:B146"/>
    <mergeCell ref="C145:C146"/>
    <mergeCell ref="D145:D146"/>
    <mergeCell ref="E145:E146"/>
    <mergeCell ref="F145:K145"/>
    <mergeCell ref="L122:L123"/>
    <mergeCell ref="M122:M123"/>
    <mergeCell ref="N122:N123"/>
    <mergeCell ref="A124:A141"/>
    <mergeCell ref="C124:C141"/>
    <mergeCell ref="D143:K144"/>
    <mergeCell ref="A116:A118"/>
    <mergeCell ref="C116:C118"/>
    <mergeCell ref="D120:K121"/>
    <mergeCell ref="A122:A123"/>
    <mergeCell ref="B122:B123"/>
    <mergeCell ref="C122:C123"/>
    <mergeCell ref="D122:D123"/>
    <mergeCell ref="E122:E123"/>
    <mergeCell ref="F122:K122"/>
    <mergeCell ref="A107:A109"/>
    <mergeCell ref="C107:C109"/>
    <mergeCell ref="A110:A112"/>
    <mergeCell ref="C110:C112"/>
    <mergeCell ref="A113:A115"/>
    <mergeCell ref="C113:C115"/>
    <mergeCell ref="A98:A100"/>
    <mergeCell ref="C98:C100"/>
    <mergeCell ref="A101:A103"/>
    <mergeCell ref="C101:C103"/>
    <mergeCell ref="A104:A106"/>
    <mergeCell ref="C104:C106"/>
    <mergeCell ref="A93:A94"/>
    <mergeCell ref="B93:B94"/>
    <mergeCell ref="C93:C94"/>
    <mergeCell ref="D93:D94"/>
    <mergeCell ref="F93:K93"/>
    <mergeCell ref="A95:A97"/>
    <mergeCell ref="C95:C97"/>
    <mergeCell ref="L70:L71"/>
    <mergeCell ref="M70:M71"/>
    <mergeCell ref="N70:N71"/>
    <mergeCell ref="A72:A89"/>
    <mergeCell ref="C72:C89"/>
    <mergeCell ref="D91:M92"/>
    <mergeCell ref="A70:A71"/>
    <mergeCell ref="B70:B71"/>
    <mergeCell ref="C70:C71"/>
    <mergeCell ref="D70:D71"/>
    <mergeCell ref="E70:E71"/>
    <mergeCell ref="F70:K70"/>
    <mergeCell ref="L47:L48"/>
    <mergeCell ref="M47:M48"/>
    <mergeCell ref="N47:N48"/>
    <mergeCell ref="A49:A66"/>
    <mergeCell ref="C49:C66"/>
    <mergeCell ref="D68:K69"/>
    <mergeCell ref="A47:A48"/>
    <mergeCell ref="B47:B48"/>
    <mergeCell ref="C47:C48"/>
    <mergeCell ref="D47:D48"/>
    <mergeCell ref="E47:E48"/>
    <mergeCell ref="F47:K47"/>
    <mergeCell ref="L25:L26"/>
    <mergeCell ref="M25:M26"/>
    <mergeCell ref="N25:N26"/>
    <mergeCell ref="A27:A43"/>
    <mergeCell ref="C27:C43"/>
    <mergeCell ref="D45:K46"/>
    <mergeCell ref="A25:A26"/>
    <mergeCell ref="B25:B26"/>
    <mergeCell ref="C25:C26"/>
    <mergeCell ref="D25:D26"/>
    <mergeCell ref="E25:E26"/>
    <mergeCell ref="F25:K25"/>
    <mergeCell ref="L3:L4"/>
    <mergeCell ref="M3:M4"/>
    <mergeCell ref="N3:N4"/>
    <mergeCell ref="A5:A21"/>
    <mergeCell ref="C5:C21"/>
    <mergeCell ref="D23:K24"/>
    <mergeCell ref="D1:K2"/>
    <mergeCell ref="A3:A4"/>
    <mergeCell ref="B3:B4"/>
    <mergeCell ref="C3:C4"/>
    <mergeCell ref="D3:D4"/>
    <mergeCell ref="E3:E4"/>
    <mergeCell ref="F3:K3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7E706-9448-4000-9EEB-0642158F4998}">
  <sheetPr codeName="Sheet12">
    <tabColor rgb="FFFFC000"/>
  </sheetPr>
  <dimension ref="A1:O65"/>
  <sheetViews>
    <sheetView view="pageBreakPreview" zoomScaleNormal="100" zoomScaleSheetLayoutView="100" workbookViewId="0">
      <selection activeCell="A37" sqref="A37"/>
    </sheetView>
  </sheetViews>
  <sheetFormatPr defaultRowHeight="14.5" x14ac:dyDescent="0.35"/>
  <cols>
    <col min="1" max="1" width="6.26953125" style="295" customWidth="1"/>
    <col min="2" max="2" width="43.1796875" style="295" customWidth="1"/>
    <col min="3" max="3" width="10.7265625" style="295" customWidth="1"/>
    <col min="4" max="4" width="10.81640625" style="314" customWidth="1"/>
    <col min="5" max="5" width="13.81640625" style="295" customWidth="1"/>
    <col min="6" max="6" width="10.453125" style="314" customWidth="1"/>
    <col min="7" max="7" width="8.453125" style="314" customWidth="1"/>
    <col min="8" max="8" width="12" style="314" customWidth="1"/>
    <col min="9" max="9" width="9.81640625" style="295" customWidth="1"/>
    <col min="10" max="16384" width="8.7265625" style="295"/>
  </cols>
  <sheetData>
    <row r="1" spans="1:15" ht="15" customHeight="1" x14ac:dyDescent="0.6">
      <c r="B1" s="686" t="s">
        <v>1026</v>
      </c>
      <c r="C1" s="686"/>
      <c r="D1" s="686"/>
      <c r="E1" s="686"/>
      <c r="F1" s="686"/>
      <c r="G1" s="686"/>
      <c r="H1" s="325"/>
      <c r="J1" s="326"/>
      <c r="K1" s="326"/>
      <c r="L1" s="326"/>
      <c r="M1" s="326"/>
      <c r="N1" s="326"/>
      <c r="O1" s="326"/>
    </row>
    <row r="2" spans="1:15" ht="15" customHeight="1" x14ac:dyDescent="0.6">
      <c r="B2" s="686"/>
      <c r="C2" s="686"/>
      <c r="D2" s="686"/>
      <c r="E2" s="686"/>
      <c r="F2" s="686"/>
      <c r="G2" s="686"/>
      <c r="H2" s="325"/>
      <c r="I2" s="326"/>
      <c r="J2" s="326"/>
      <c r="K2" s="326"/>
      <c r="L2" s="326"/>
      <c r="M2" s="326"/>
      <c r="N2" s="326"/>
      <c r="O2" s="326"/>
    </row>
    <row r="3" spans="1:15" x14ac:dyDescent="0.35">
      <c r="B3" s="687" t="s">
        <v>1027</v>
      </c>
      <c r="C3" s="687"/>
      <c r="D3" s="687"/>
      <c r="E3" s="687"/>
      <c r="F3" s="687"/>
      <c r="G3" s="687"/>
      <c r="H3" s="327"/>
    </row>
    <row r="4" spans="1:15" x14ac:dyDescent="0.35">
      <c r="B4" s="685" t="s">
        <v>1028</v>
      </c>
      <c r="C4" s="685"/>
      <c r="D4" s="685"/>
      <c r="E4" s="685"/>
      <c r="F4" s="685"/>
      <c r="G4" s="685"/>
    </row>
    <row r="5" spans="1:15" ht="6" customHeight="1" x14ac:dyDescent="0.35">
      <c r="B5" s="314"/>
      <c r="C5" s="314"/>
      <c r="E5" s="314"/>
    </row>
    <row r="6" spans="1:15" ht="18" customHeight="1" thickBot="1" x14ac:dyDescent="0.4">
      <c r="A6" s="688" t="s">
        <v>1029</v>
      </c>
      <c r="B6" s="688"/>
      <c r="C6" s="688"/>
      <c r="D6" s="688"/>
      <c r="E6" s="688"/>
      <c r="F6" s="688"/>
      <c r="G6" s="688"/>
      <c r="H6" s="688"/>
      <c r="I6" s="688"/>
    </row>
    <row r="7" spans="1:15" s="330" customFormat="1" ht="27" customHeight="1" thickBot="1" x14ac:dyDescent="0.3">
      <c r="A7" s="689" t="s">
        <v>1030</v>
      </c>
      <c r="B7" s="689" t="s">
        <v>1031</v>
      </c>
      <c r="C7" s="689" t="s">
        <v>1032</v>
      </c>
      <c r="D7" s="690" t="s">
        <v>1033</v>
      </c>
      <c r="E7" s="690" t="s">
        <v>1034</v>
      </c>
      <c r="F7" s="690"/>
      <c r="G7" s="328" t="s">
        <v>1035</v>
      </c>
      <c r="H7" s="328" t="s">
        <v>1036</v>
      </c>
      <c r="I7" s="690" t="s">
        <v>1037</v>
      </c>
      <c r="J7" s="329"/>
    </row>
    <row r="8" spans="1:15" s="314" customFormat="1" ht="15" thickBot="1" x14ac:dyDescent="0.4">
      <c r="A8" s="689"/>
      <c r="B8" s="689"/>
      <c r="C8" s="689"/>
      <c r="D8" s="690"/>
      <c r="E8" s="331" t="s">
        <v>1038</v>
      </c>
      <c r="F8" s="331" t="s">
        <v>4</v>
      </c>
      <c r="G8" s="331"/>
      <c r="H8" s="331" t="s">
        <v>4</v>
      </c>
      <c r="I8" s="690"/>
      <c r="J8" s="329"/>
    </row>
    <row r="9" spans="1:15" s="314" customFormat="1" x14ac:dyDescent="0.35">
      <c r="A9" s="332">
        <v>1</v>
      </c>
      <c r="B9" s="333" t="s">
        <v>1039</v>
      </c>
      <c r="C9" s="334" t="s">
        <v>1040</v>
      </c>
      <c r="D9" s="335">
        <v>24</v>
      </c>
      <c r="E9" s="336" t="s">
        <v>786</v>
      </c>
      <c r="F9" s="336"/>
      <c r="G9" s="335">
        <f>F9</f>
        <v>0</v>
      </c>
      <c r="H9" s="335"/>
      <c r="I9" s="312">
        <f>(D9+G9)-H9</f>
        <v>24</v>
      </c>
    </row>
    <row r="10" spans="1:15" x14ac:dyDescent="0.35">
      <c r="A10" s="337">
        <v>2</v>
      </c>
      <c r="B10" s="338" t="s">
        <v>1041</v>
      </c>
      <c r="C10" s="339" t="s">
        <v>1040</v>
      </c>
      <c r="D10" s="340">
        <v>14</v>
      </c>
      <c r="E10" s="341" t="s">
        <v>786</v>
      </c>
      <c r="F10" s="342"/>
      <c r="G10" s="342">
        <f>F10</f>
        <v>0</v>
      </c>
      <c r="H10" s="342"/>
      <c r="I10" s="343">
        <f>(D10+G10)-H10</f>
        <v>14</v>
      </c>
    </row>
    <row r="11" spans="1:15" x14ac:dyDescent="0.35">
      <c r="A11" s="337">
        <v>3</v>
      </c>
      <c r="B11" s="338" t="s">
        <v>1042</v>
      </c>
      <c r="C11" s="339" t="s">
        <v>1040</v>
      </c>
      <c r="D11" s="342">
        <v>14</v>
      </c>
      <c r="E11" s="341" t="s">
        <v>786</v>
      </c>
      <c r="F11" s="342"/>
      <c r="G11" s="342">
        <f t="shared" ref="G11:G51" si="0">F11</f>
        <v>0</v>
      </c>
      <c r="H11" s="342">
        <v>2</v>
      </c>
      <c r="I11" s="343">
        <f t="shared" ref="I11:I51" si="1">(D11+G11)-H11</f>
        <v>12</v>
      </c>
    </row>
    <row r="12" spans="1:15" x14ac:dyDescent="0.35">
      <c r="A12" s="337">
        <v>4</v>
      </c>
      <c r="B12" s="338" t="s">
        <v>1043</v>
      </c>
      <c r="C12" s="339" t="s">
        <v>1040</v>
      </c>
      <c r="D12" s="342">
        <v>9</v>
      </c>
      <c r="E12" s="341" t="s">
        <v>786</v>
      </c>
      <c r="F12" s="342"/>
      <c r="G12" s="342">
        <f t="shared" si="0"/>
        <v>0</v>
      </c>
      <c r="H12" s="342">
        <v>1</v>
      </c>
      <c r="I12" s="343">
        <f t="shared" si="1"/>
        <v>8</v>
      </c>
    </row>
    <row r="13" spans="1:15" x14ac:dyDescent="0.35">
      <c r="A13" s="337">
        <v>5</v>
      </c>
      <c r="B13" s="338" t="s">
        <v>1044</v>
      </c>
      <c r="C13" s="339" t="s">
        <v>1040</v>
      </c>
      <c r="D13" s="342">
        <v>15</v>
      </c>
      <c r="E13" s="341" t="s">
        <v>786</v>
      </c>
      <c r="F13" s="342"/>
      <c r="G13" s="342">
        <f t="shared" si="0"/>
        <v>0</v>
      </c>
      <c r="H13" s="342"/>
      <c r="I13" s="343">
        <f t="shared" si="1"/>
        <v>15</v>
      </c>
    </row>
    <row r="14" spans="1:15" x14ac:dyDescent="0.35">
      <c r="A14" s="337">
        <v>6</v>
      </c>
      <c r="B14" s="338" t="s">
        <v>1045</v>
      </c>
      <c r="C14" s="339" t="s">
        <v>1040</v>
      </c>
      <c r="D14" s="344">
        <v>0</v>
      </c>
      <c r="E14" s="341" t="s">
        <v>786</v>
      </c>
      <c r="F14" s="342"/>
      <c r="G14" s="342">
        <f t="shared" si="0"/>
        <v>0</v>
      </c>
      <c r="H14" s="342"/>
      <c r="I14" s="345">
        <f t="shared" si="1"/>
        <v>0</v>
      </c>
    </row>
    <row r="15" spans="1:15" x14ac:dyDescent="0.35">
      <c r="A15" s="337">
        <v>7</v>
      </c>
      <c r="B15" s="338" t="s">
        <v>1046</v>
      </c>
      <c r="C15" s="339" t="s">
        <v>1040</v>
      </c>
      <c r="D15" s="342">
        <v>0</v>
      </c>
      <c r="E15" s="346">
        <v>46362</v>
      </c>
      <c r="F15" s="342">
        <v>1</v>
      </c>
      <c r="G15" s="342">
        <f t="shared" si="0"/>
        <v>1</v>
      </c>
      <c r="H15" s="342"/>
      <c r="I15" s="345">
        <f t="shared" si="1"/>
        <v>1</v>
      </c>
    </row>
    <row r="16" spans="1:15" x14ac:dyDescent="0.35">
      <c r="A16" s="337">
        <v>8</v>
      </c>
      <c r="B16" s="347" t="s">
        <v>1047</v>
      </c>
      <c r="C16" s="344" t="s">
        <v>992</v>
      </c>
      <c r="D16" s="342">
        <v>2</v>
      </c>
      <c r="E16" s="341" t="s">
        <v>786</v>
      </c>
      <c r="F16" s="342"/>
      <c r="G16" s="342">
        <f t="shared" si="0"/>
        <v>0</v>
      </c>
      <c r="H16" s="342"/>
      <c r="I16" s="343">
        <f t="shared" si="1"/>
        <v>2</v>
      </c>
    </row>
    <row r="17" spans="1:9" x14ac:dyDescent="0.35">
      <c r="A17" s="337">
        <v>9</v>
      </c>
      <c r="B17" s="338" t="s">
        <v>1048</v>
      </c>
      <c r="C17" s="344" t="s">
        <v>992</v>
      </c>
      <c r="D17" s="342">
        <v>8</v>
      </c>
      <c r="E17" s="341" t="s">
        <v>786</v>
      </c>
      <c r="F17" s="342"/>
      <c r="G17" s="342">
        <f t="shared" si="0"/>
        <v>0</v>
      </c>
      <c r="H17" s="342"/>
      <c r="I17" s="343">
        <f t="shared" si="1"/>
        <v>8</v>
      </c>
    </row>
    <row r="18" spans="1:9" x14ac:dyDescent="0.35">
      <c r="A18" s="337">
        <v>10</v>
      </c>
      <c r="B18" s="338" t="s">
        <v>1049</v>
      </c>
      <c r="C18" s="344" t="s">
        <v>992</v>
      </c>
      <c r="D18" s="342">
        <v>7</v>
      </c>
      <c r="E18" s="341" t="s">
        <v>786</v>
      </c>
      <c r="F18" s="342"/>
      <c r="G18" s="342">
        <f t="shared" si="0"/>
        <v>0</v>
      </c>
      <c r="H18" s="342"/>
      <c r="I18" s="343">
        <f t="shared" si="1"/>
        <v>7</v>
      </c>
    </row>
    <row r="19" spans="1:9" x14ac:dyDescent="0.35">
      <c r="A19" s="337">
        <v>11</v>
      </c>
      <c r="B19" s="338" t="s">
        <v>1050</v>
      </c>
      <c r="C19" s="344" t="s">
        <v>992</v>
      </c>
      <c r="D19" s="342">
        <v>34</v>
      </c>
      <c r="E19" s="341" t="s">
        <v>786</v>
      </c>
      <c r="F19" s="342"/>
      <c r="G19" s="342">
        <f t="shared" si="0"/>
        <v>0</v>
      </c>
      <c r="H19" s="342"/>
      <c r="I19" s="343">
        <f t="shared" si="1"/>
        <v>34</v>
      </c>
    </row>
    <row r="20" spans="1:9" x14ac:dyDescent="0.35">
      <c r="A20" s="337">
        <v>12</v>
      </c>
      <c r="B20" s="338" t="s">
        <v>1051</v>
      </c>
      <c r="C20" s="344" t="s">
        <v>992</v>
      </c>
      <c r="D20" s="342">
        <v>7</v>
      </c>
      <c r="E20" s="341" t="s">
        <v>786</v>
      </c>
      <c r="F20" s="342"/>
      <c r="G20" s="342">
        <f t="shared" si="0"/>
        <v>0</v>
      </c>
      <c r="H20" s="342"/>
      <c r="I20" s="343">
        <f t="shared" si="1"/>
        <v>7</v>
      </c>
    </row>
    <row r="21" spans="1:9" x14ac:dyDescent="0.35">
      <c r="A21" s="337">
        <v>13</v>
      </c>
      <c r="B21" s="338" t="s">
        <v>1052</v>
      </c>
      <c r="C21" s="344" t="s">
        <v>992</v>
      </c>
      <c r="D21" s="342">
        <v>3</v>
      </c>
      <c r="E21" s="341" t="s">
        <v>786</v>
      </c>
      <c r="F21" s="342"/>
      <c r="G21" s="342">
        <f t="shared" si="0"/>
        <v>0</v>
      </c>
      <c r="H21" s="342"/>
      <c r="I21" s="343">
        <f t="shared" si="1"/>
        <v>3</v>
      </c>
    </row>
    <row r="22" spans="1:9" x14ac:dyDescent="0.35">
      <c r="A22" s="337">
        <v>14</v>
      </c>
      <c r="B22" s="338" t="s">
        <v>1053</v>
      </c>
      <c r="C22" s="344" t="s">
        <v>992</v>
      </c>
      <c r="D22" s="342">
        <v>15</v>
      </c>
      <c r="E22" s="341" t="s">
        <v>786</v>
      </c>
      <c r="F22" s="342"/>
      <c r="G22" s="342">
        <f t="shared" si="0"/>
        <v>0</v>
      </c>
      <c r="H22" s="342"/>
      <c r="I22" s="343">
        <f t="shared" si="1"/>
        <v>15</v>
      </c>
    </row>
    <row r="23" spans="1:9" x14ac:dyDescent="0.35">
      <c r="A23" s="337">
        <v>15</v>
      </c>
      <c r="B23" s="338" t="s">
        <v>1054</v>
      </c>
      <c r="C23" s="344" t="s">
        <v>992</v>
      </c>
      <c r="D23" s="342">
        <v>7</v>
      </c>
      <c r="E23" s="341" t="s">
        <v>786</v>
      </c>
      <c r="F23" s="342"/>
      <c r="G23" s="342">
        <f t="shared" si="0"/>
        <v>0</v>
      </c>
      <c r="H23" s="342"/>
      <c r="I23" s="343">
        <f t="shared" si="1"/>
        <v>7</v>
      </c>
    </row>
    <row r="24" spans="1:9" x14ac:dyDescent="0.35">
      <c r="A24" s="337">
        <v>16</v>
      </c>
      <c r="B24" s="338" t="s">
        <v>1055</v>
      </c>
      <c r="C24" s="344" t="s">
        <v>992</v>
      </c>
      <c r="D24" s="342">
        <v>12</v>
      </c>
      <c r="E24" s="341" t="s">
        <v>786</v>
      </c>
      <c r="F24" s="342"/>
      <c r="G24" s="342">
        <f t="shared" si="0"/>
        <v>0</v>
      </c>
      <c r="H24" s="342"/>
      <c r="I24" s="343">
        <f t="shared" si="1"/>
        <v>12</v>
      </c>
    </row>
    <row r="25" spans="1:9" x14ac:dyDescent="0.35">
      <c r="A25" s="337">
        <v>17</v>
      </c>
      <c r="B25" s="338" t="s">
        <v>1056</v>
      </c>
      <c r="C25" s="344" t="s">
        <v>992</v>
      </c>
      <c r="D25" s="342">
        <v>8</v>
      </c>
      <c r="E25" s="341" t="s">
        <v>786</v>
      </c>
      <c r="F25" s="342"/>
      <c r="G25" s="342">
        <f t="shared" si="0"/>
        <v>0</v>
      </c>
      <c r="H25" s="342"/>
      <c r="I25" s="343">
        <f t="shared" si="1"/>
        <v>8</v>
      </c>
    </row>
    <row r="26" spans="1:9" x14ac:dyDescent="0.35">
      <c r="A26" s="337">
        <v>18</v>
      </c>
      <c r="B26" s="338" t="s">
        <v>1057</v>
      </c>
      <c r="C26" s="344" t="s">
        <v>992</v>
      </c>
      <c r="D26" s="342">
        <v>173</v>
      </c>
      <c r="E26" s="341" t="s">
        <v>786</v>
      </c>
      <c r="F26" s="342"/>
      <c r="G26" s="342">
        <f t="shared" si="0"/>
        <v>0</v>
      </c>
      <c r="H26" s="342">
        <f>2+3+10+3</f>
        <v>18</v>
      </c>
      <c r="I26" s="343">
        <f t="shared" si="1"/>
        <v>155</v>
      </c>
    </row>
    <row r="27" spans="1:9" x14ac:dyDescent="0.35">
      <c r="A27" s="337">
        <v>19</v>
      </c>
      <c r="B27" s="338" t="s">
        <v>1058</v>
      </c>
      <c r="C27" s="348" t="s">
        <v>1003</v>
      </c>
      <c r="D27" s="342">
        <v>15</v>
      </c>
      <c r="E27" s="341" t="s">
        <v>786</v>
      </c>
      <c r="F27" s="342"/>
      <c r="G27" s="342">
        <f t="shared" si="0"/>
        <v>0</v>
      </c>
      <c r="H27" s="342"/>
      <c r="I27" s="343">
        <f t="shared" si="1"/>
        <v>15</v>
      </c>
    </row>
    <row r="28" spans="1:9" x14ac:dyDescent="0.35">
      <c r="A28" s="337">
        <v>20</v>
      </c>
      <c r="B28" s="338" t="s">
        <v>1059</v>
      </c>
      <c r="C28" s="348" t="s">
        <v>1003</v>
      </c>
      <c r="D28" s="342">
        <v>2</v>
      </c>
      <c r="E28" s="341" t="s">
        <v>786</v>
      </c>
      <c r="F28" s="342"/>
      <c r="G28" s="342">
        <f t="shared" si="0"/>
        <v>0</v>
      </c>
      <c r="H28" s="342"/>
      <c r="I28" s="343">
        <f t="shared" si="1"/>
        <v>2</v>
      </c>
    </row>
    <row r="29" spans="1:9" x14ac:dyDescent="0.35">
      <c r="A29" s="337">
        <v>21</v>
      </c>
      <c r="B29" s="338" t="s">
        <v>1060</v>
      </c>
      <c r="C29" s="348" t="s">
        <v>1003</v>
      </c>
      <c r="D29" s="342">
        <v>10</v>
      </c>
      <c r="E29" s="341" t="s">
        <v>786</v>
      </c>
      <c r="F29" s="342"/>
      <c r="G29" s="342">
        <f t="shared" si="0"/>
        <v>0</v>
      </c>
      <c r="H29" s="342"/>
      <c r="I29" s="343">
        <f t="shared" si="1"/>
        <v>10</v>
      </c>
    </row>
    <row r="30" spans="1:9" x14ac:dyDescent="0.35">
      <c r="A30" s="337">
        <v>22</v>
      </c>
      <c r="B30" s="338" t="s">
        <v>1061</v>
      </c>
      <c r="C30" s="348" t="s">
        <v>1003</v>
      </c>
      <c r="D30" s="342">
        <v>20</v>
      </c>
      <c r="E30" s="341" t="s">
        <v>786</v>
      </c>
      <c r="F30" s="342"/>
      <c r="G30" s="342">
        <f t="shared" si="0"/>
        <v>0</v>
      </c>
      <c r="H30" s="342"/>
      <c r="I30" s="343">
        <f t="shared" si="1"/>
        <v>20</v>
      </c>
    </row>
    <row r="31" spans="1:9" x14ac:dyDescent="0.35">
      <c r="A31" s="337">
        <v>23</v>
      </c>
      <c r="B31" s="338" t="s">
        <v>1062</v>
      </c>
      <c r="C31" s="348" t="s">
        <v>1003</v>
      </c>
      <c r="D31" s="342">
        <v>10</v>
      </c>
      <c r="E31" s="341" t="s">
        <v>786</v>
      </c>
      <c r="F31" s="342"/>
      <c r="G31" s="342">
        <f t="shared" si="0"/>
        <v>0</v>
      </c>
      <c r="H31" s="342"/>
      <c r="I31" s="343">
        <f t="shared" si="1"/>
        <v>10</v>
      </c>
    </row>
    <row r="32" spans="1:9" x14ac:dyDescent="0.35">
      <c r="A32" s="337">
        <v>24</v>
      </c>
      <c r="B32" s="338" t="s">
        <v>1063</v>
      </c>
      <c r="C32" s="348" t="s">
        <v>1003</v>
      </c>
      <c r="D32" s="342">
        <v>0</v>
      </c>
      <c r="E32" s="341" t="s">
        <v>786</v>
      </c>
      <c r="F32" s="342"/>
      <c r="G32" s="342">
        <f t="shared" si="0"/>
        <v>0</v>
      </c>
      <c r="H32" s="342"/>
      <c r="I32" s="345">
        <f t="shared" si="1"/>
        <v>0</v>
      </c>
    </row>
    <row r="33" spans="1:9" x14ac:dyDescent="0.35">
      <c r="A33" s="337">
        <v>25</v>
      </c>
      <c r="B33" s="338" t="s">
        <v>1064</v>
      </c>
      <c r="C33" s="348" t="s">
        <v>992</v>
      </c>
      <c r="D33" s="341" t="s">
        <v>1065</v>
      </c>
      <c r="E33" s="346">
        <v>46362</v>
      </c>
      <c r="F33" s="342">
        <v>5</v>
      </c>
      <c r="G33" s="342">
        <f t="shared" si="0"/>
        <v>5</v>
      </c>
      <c r="H33" s="342"/>
      <c r="I33" s="345">
        <f t="shared" si="1"/>
        <v>5</v>
      </c>
    </row>
    <row r="34" spans="1:9" x14ac:dyDescent="0.35">
      <c r="A34" s="337">
        <v>26</v>
      </c>
      <c r="B34" s="338" t="s">
        <v>1066</v>
      </c>
      <c r="C34" s="348" t="s">
        <v>992</v>
      </c>
      <c r="D34" s="342">
        <v>0</v>
      </c>
      <c r="E34" s="346">
        <v>46362</v>
      </c>
      <c r="F34" s="342">
        <v>5</v>
      </c>
      <c r="G34" s="342">
        <f t="shared" si="0"/>
        <v>5</v>
      </c>
      <c r="H34" s="342">
        <v>1</v>
      </c>
      <c r="I34" s="345">
        <f t="shared" si="1"/>
        <v>4</v>
      </c>
    </row>
    <row r="35" spans="1:9" x14ac:dyDescent="0.35">
      <c r="A35" s="337">
        <v>27</v>
      </c>
      <c r="B35" s="338" t="s">
        <v>1067</v>
      </c>
      <c r="C35" s="348" t="s">
        <v>992</v>
      </c>
      <c r="D35" s="342">
        <v>13</v>
      </c>
      <c r="E35" s="346">
        <v>46362</v>
      </c>
      <c r="F35" s="349">
        <v>50</v>
      </c>
      <c r="G35" s="342">
        <f t="shared" si="0"/>
        <v>50</v>
      </c>
      <c r="H35" s="342">
        <f>13+10+3+6+3+2</f>
        <v>37</v>
      </c>
      <c r="I35" s="350">
        <f t="shared" si="1"/>
        <v>26</v>
      </c>
    </row>
    <row r="36" spans="1:9" x14ac:dyDescent="0.35">
      <c r="A36" s="337">
        <v>28</v>
      </c>
      <c r="B36" s="338" t="s">
        <v>1068</v>
      </c>
      <c r="C36" s="348" t="s">
        <v>992</v>
      </c>
      <c r="D36" s="342">
        <v>10</v>
      </c>
      <c r="E36" s="346">
        <v>46362</v>
      </c>
      <c r="F36" s="349">
        <v>40</v>
      </c>
      <c r="G36" s="342">
        <f t="shared" si="0"/>
        <v>40</v>
      </c>
      <c r="H36" s="342">
        <f>10+5+1</f>
        <v>16</v>
      </c>
      <c r="I36" s="343">
        <f t="shared" si="1"/>
        <v>34</v>
      </c>
    </row>
    <row r="37" spans="1:9" x14ac:dyDescent="0.35">
      <c r="A37" s="337">
        <v>29</v>
      </c>
      <c r="B37" s="338" t="s">
        <v>1069</v>
      </c>
      <c r="C37" s="348" t="s">
        <v>1003</v>
      </c>
      <c r="D37" s="342">
        <v>29</v>
      </c>
      <c r="E37" s="341" t="s">
        <v>786</v>
      </c>
      <c r="F37" s="342"/>
      <c r="G37" s="342">
        <f t="shared" si="0"/>
        <v>0</v>
      </c>
      <c r="H37" s="342">
        <f>1+1+2+2+2+2+1+3</f>
        <v>14</v>
      </c>
      <c r="I37" s="345">
        <f t="shared" si="1"/>
        <v>15</v>
      </c>
    </row>
    <row r="38" spans="1:9" x14ac:dyDescent="0.35">
      <c r="A38" s="337">
        <v>30</v>
      </c>
      <c r="B38" s="338" t="s">
        <v>1070</v>
      </c>
      <c r="C38" s="348" t="s">
        <v>992</v>
      </c>
      <c r="D38" s="342">
        <v>20</v>
      </c>
      <c r="E38" s="341" t="s">
        <v>786</v>
      </c>
      <c r="F38" s="342"/>
      <c r="G38" s="342">
        <f t="shared" si="0"/>
        <v>0</v>
      </c>
      <c r="H38" s="342"/>
      <c r="I38" s="343">
        <f t="shared" si="1"/>
        <v>20</v>
      </c>
    </row>
    <row r="39" spans="1:9" x14ac:dyDescent="0.35">
      <c r="A39" s="337">
        <v>31</v>
      </c>
      <c r="B39" s="338" t="s">
        <v>1071</v>
      </c>
      <c r="C39" s="348" t="s">
        <v>1007</v>
      </c>
      <c r="D39" s="341">
        <v>0</v>
      </c>
      <c r="E39" s="346">
        <v>46087</v>
      </c>
      <c r="F39" s="342">
        <v>5</v>
      </c>
      <c r="G39" s="342">
        <f t="shared" si="0"/>
        <v>5</v>
      </c>
      <c r="H39" s="342"/>
      <c r="I39" s="345">
        <f t="shared" si="1"/>
        <v>5</v>
      </c>
    </row>
    <row r="40" spans="1:9" x14ac:dyDescent="0.35">
      <c r="A40" s="337">
        <v>32</v>
      </c>
      <c r="B40" s="338" t="s">
        <v>1072</v>
      </c>
      <c r="C40" s="348" t="s">
        <v>992</v>
      </c>
      <c r="D40" s="342">
        <v>23</v>
      </c>
      <c r="E40" s="341" t="s">
        <v>786</v>
      </c>
      <c r="F40" s="342"/>
      <c r="G40" s="342">
        <f t="shared" si="0"/>
        <v>0</v>
      </c>
      <c r="H40" s="342">
        <v>2</v>
      </c>
      <c r="I40" s="343">
        <f t="shared" si="1"/>
        <v>21</v>
      </c>
    </row>
    <row r="41" spans="1:9" x14ac:dyDescent="0.35">
      <c r="A41" s="337">
        <v>33</v>
      </c>
      <c r="B41" s="338" t="s">
        <v>1073</v>
      </c>
      <c r="C41" s="348" t="s">
        <v>992</v>
      </c>
      <c r="D41" s="342">
        <v>1</v>
      </c>
      <c r="E41" s="341" t="s">
        <v>786</v>
      </c>
      <c r="F41" s="342"/>
      <c r="G41" s="342">
        <f t="shared" si="0"/>
        <v>0</v>
      </c>
      <c r="H41" s="342"/>
      <c r="I41" s="343">
        <f t="shared" si="1"/>
        <v>1</v>
      </c>
    </row>
    <row r="42" spans="1:9" x14ac:dyDescent="0.35">
      <c r="A42" s="337">
        <v>34</v>
      </c>
      <c r="B42" s="338" t="s">
        <v>1074</v>
      </c>
      <c r="C42" s="348" t="s">
        <v>1075</v>
      </c>
      <c r="D42" s="341" t="s">
        <v>1065</v>
      </c>
      <c r="E42" s="341" t="s">
        <v>786</v>
      </c>
      <c r="F42" s="342"/>
      <c r="G42" s="342">
        <f t="shared" si="0"/>
        <v>0</v>
      </c>
      <c r="H42" s="342"/>
      <c r="I42" s="345">
        <f t="shared" si="1"/>
        <v>0</v>
      </c>
    </row>
    <row r="43" spans="1:9" x14ac:dyDescent="0.35">
      <c r="A43" s="337">
        <v>35</v>
      </c>
      <c r="B43" s="338" t="s">
        <v>1076</v>
      </c>
      <c r="C43" s="348" t="s">
        <v>992</v>
      </c>
      <c r="D43" s="342">
        <v>46</v>
      </c>
      <c r="E43" s="346">
        <v>46362</v>
      </c>
      <c r="F43" s="342">
        <v>50</v>
      </c>
      <c r="G43" s="342">
        <f t="shared" si="0"/>
        <v>50</v>
      </c>
      <c r="H43" s="342">
        <f>5+10+10+10</f>
        <v>35</v>
      </c>
      <c r="I43" s="343">
        <f t="shared" si="1"/>
        <v>61</v>
      </c>
    </row>
    <row r="44" spans="1:9" x14ac:dyDescent="0.35">
      <c r="A44" s="337">
        <v>36</v>
      </c>
      <c r="B44" s="338" t="s">
        <v>1077</v>
      </c>
      <c r="C44" s="348" t="s">
        <v>992</v>
      </c>
      <c r="D44" s="342">
        <v>12</v>
      </c>
      <c r="E44" s="341" t="s">
        <v>786</v>
      </c>
      <c r="F44" s="342"/>
      <c r="G44" s="342">
        <f t="shared" si="0"/>
        <v>0</v>
      </c>
      <c r="H44" s="342"/>
      <c r="I44" s="343">
        <f t="shared" si="1"/>
        <v>12</v>
      </c>
    </row>
    <row r="45" spans="1:9" x14ac:dyDescent="0.35">
      <c r="A45" s="337">
        <v>37</v>
      </c>
      <c r="B45" s="338" t="s">
        <v>1078</v>
      </c>
      <c r="C45" s="348" t="s">
        <v>992</v>
      </c>
      <c r="D45" s="341" t="s">
        <v>1065</v>
      </c>
      <c r="E45" s="341" t="s">
        <v>786</v>
      </c>
      <c r="F45" s="342"/>
      <c r="G45" s="342">
        <f t="shared" si="0"/>
        <v>0</v>
      </c>
      <c r="H45" s="342"/>
      <c r="I45" s="345">
        <f t="shared" si="1"/>
        <v>0</v>
      </c>
    </row>
    <row r="46" spans="1:9" x14ac:dyDescent="0.35">
      <c r="A46" s="337">
        <v>38</v>
      </c>
      <c r="B46" s="338" t="s">
        <v>1079</v>
      </c>
      <c r="C46" s="348" t="s">
        <v>992</v>
      </c>
      <c r="D46" s="342">
        <v>15</v>
      </c>
      <c r="E46" s="341" t="s">
        <v>786</v>
      </c>
      <c r="F46" s="342"/>
      <c r="G46" s="342">
        <f t="shared" si="0"/>
        <v>0</v>
      </c>
      <c r="H46" s="342"/>
      <c r="I46" s="343">
        <f t="shared" si="1"/>
        <v>15</v>
      </c>
    </row>
    <row r="47" spans="1:9" x14ac:dyDescent="0.35">
      <c r="A47" s="337">
        <v>39</v>
      </c>
      <c r="B47" s="338" t="s">
        <v>1080</v>
      </c>
      <c r="C47" s="348" t="s">
        <v>992</v>
      </c>
      <c r="D47" s="342">
        <v>12</v>
      </c>
      <c r="E47" s="341" t="s">
        <v>786</v>
      </c>
      <c r="F47" s="342"/>
      <c r="G47" s="342">
        <f t="shared" si="0"/>
        <v>0</v>
      </c>
      <c r="H47" s="342"/>
      <c r="I47" s="343">
        <f t="shared" si="1"/>
        <v>12</v>
      </c>
    </row>
    <row r="48" spans="1:9" x14ac:dyDescent="0.35">
      <c r="A48" s="337">
        <v>40</v>
      </c>
      <c r="B48" s="338" t="s">
        <v>1081</v>
      </c>
      <c r="C48" s="348" t="s">
        <v>992</v>
      </c>
      <c r="D48" s="342">
        <v>8</v>
      </c>
      <c r="E48" s="341" t="s">
        <v>786</v>
      </c>
      <c r="F48" s="342"/>
      <c r="G48" s="342">
        <f t="shared" si="0"/>
        <v>0</v>
      </c>
      <c r="H48" s="342"/>
      <c r="I48" s="343">
        <f t="shared" si="1"/>
        <v>8</v>
      </c>
    </row>
    <row r="49" spans="1:9" x14ac:dyDescent="0.35">
      <c r="A49" s="337">
        <v>41</v>
      </c>
      <c r="B49" s="338" t="s">
        <v>1082</v>
      </c>
      <c r="C49" s="348" t="s">
        <v>1003</v>
      </c>
      <c r="D49" s="342">
        <v>0</v>
      </c>
      <c r="E49" s="346">
        <v>46087</v>
      </c>
      <c r="F49" s="342">
        <v>5</v>
      </c>
      <c r="G49" s="342">
        <f t="shared" si="0"/>
        <v>5</v>
      </c>
      <c r="H49" s="342"/>
      <c r="I49" s="345">
        <f t="shared" si="1"/>
        <v>5</v>
      </c>
    </row>
    <row r="50" spans="1:9" x14ac:dyDescent="0.35">
      <c r="A50" s="337">
        <v>42</v>
      </c>
      <c r="B50" s="338" t="s">
        <v>1083</v>
      </c>
      <c r="C50" s="348" t="s">
        <v>992</v>
      </c>
      <c r="D50" s="342">
        <v>4</v>
      </c>
      <c r="E50" s="341" t="s">
        <v>786</v>
      </c>
      <c r="F50" s="342"/>
      <c r="G50" s="342">
        <f t="shared" si="0"/>
        <v>0</v>
      </c>
      <c r="H50" s="342">
        <v>4</v>
      </c>
      <c r="I50" s="345">
        <f t="shared" si="1"/>
        <v>0</v>
      </c>
    </row>
    <row r="51" spans="1:9" x14ac:dyDescent="0.35">
      <c r="A51" s="337">
        <v>43</v>
      </c>
      <c r="B51" s="338" t="s">
        <v>1084</v>
      </c>
      <c r="C51" s="348" t="s">
        <v>992</v>
      </c>
      <c r="D51" s="342">
        <v>8</v>
      </c>
      <c r="E51" s="341" t="s">
        <v>786</v>
      </c>
      <c r="F51" s="342"/>
      <c r="G51" s="342">
        <f t="shared" si="0"/>
        <v>0</v>
      </c>
      <c r="H51" s="342"/>
      <c r="I51" s="343">
        <f t="shared" si="1"/>
        <v>8</v>
      </c>
    </row>
    <row r="52" spans="1:9" x14ac:dyDescent="0.35">
      <c r="A52" s="351">
        <v>44</v>
      </c>
      <c r="B52" s="352" t="s">
        <v>1085</v>
      </c>
      <c r="C52" s="353" t="s">
        <v>1086</v>
      </c>
      <c r="D52" s="354">
        <v>0</v>
      </c>
      <c r="E52" s="341" t="s">
        <v>786</v>
      </c>
      <c r="F52" s="354"/>
      <c r="G52" s="354">
        <v>0</v>
      </c>
      <c r="H52" s="354"/>
      <c r="I52" s="355">
        <v>0</v>
      </c>
    </row>
    <row r="53" spans="1:9" x14ac:dyDescent="0.35">
      <c r="A53" s="351">
        <v>45</v>
      </c>
      <c r="B53" s="352" t="s">
        <v>1087</v>
      </c>
      <c r="C53" s="353" t="s">
        <v>992</v>
      </c>
      <c r="D53" s="356">
        <v>15</v>
      </c>
      <c r="E53" s="357" t="s">
        <v>786</v>
      </c>
      <c r="F53" s="358"/>
      <c r="G53" s="359">
        <f>F53</f>
        <v>0</v>
      </c>
      <c r="H53" s="354">
        <v>1</v>
      </c>
      <c r="I53" s="360">
        <f>(D53+G53)-H53</f>
        <v>14</v>
      </c>
    </row>
    <row r="54" spans="1:9" x14ac:dyDescent="0.35">
      <c r="A54" s="351">
        <v>46</v>
      </c>
      <c r="B54" s="352" t="s">
        <v>1088</v>
      </c>
      <c r="C54" s="353" t="s">
        <v>1003</v>
      </c>
      <c r="D54" s="356">
        <v>10</v>
      </c>
      <c r="E54" s="357"/>
      <c r="F54" s="358"/>
      <c r="G54" s="359">
        <f t="shared" ref="G54:G56" si="2">F54</f>
        <v>0</v>
      </c>
      <c r="H54" s="354"/>
      <c r="I54" s="360">
        <f t="shared" ref="I54:I56" si="3">(D54+G54)-H54</f>
        <v>10</v>
      </c>
    </row>
    <row r="55" spans="1:9" x14ac:dyDescent="0.35">
      <c r="A55" s="351">
        <v>47</v>
      </c>
      <c r="B55" s="352" t="s">
        <v>1089</v>
      </c>
      <c r="C55" s="353" t="s">
        <v>1003</v>
      </c>
      <c r="D55" s="356">
        <v>1</v>
      </c>
      <c r="E55" s="357"/>
      <c r="F55" s="358"/>
      <c r="G55" s="359">
        <f t="shared" si="2"/>
        <v>0</v>
      </c>
      <c r="H55" s="354">
        <v>1</v>
      </c>
      <c r="I55" s="360">
        <f t="shared" si="3"/>
        <v>0</v>
      </c>
    </row>
    <row r="56" spans="1:9" x14ac:dyDescent="0.35">
      <c r="A56" s="337">
        <v>48</v>
      </c>
      <c r="B56" s="338" t="s">
        <v>1090</v>
      </c>
      <c r="C56" s="348" t="s">
        <v>1003</v>
      </c>
      <c r="D56" s="341">
        <v>1</v>
      </c>
      <c r="E56" s="361"/>
      <c r="F56" s="349"/>
      <c r="G56" s="359">
        <f t="shared" si="2"/>
        <v>0</v>
      </c>
      <c r="H56" s="342">
        <v>1</v>
      </c>
      <c r="I56" s="360">
        <f t="shared" si="3"/>
        <v>0</v>
      </c>
    </row>
    <row r="57" spans="1:9" ht="15" thickBot="1" x14ac:dyDescent="0.4">
      <c r="A57" s="362">
        <v>49</v>
      </c>
      <c r="B57" s="363" t="s">
        <v>1091</v>
      </c>
      <c r="C57" s="364" t="s">
        <v>1003</v>
      </c>
      <c r="D57" s="365">
        <v>0</v>
      </c>
      <c r="E57" s="366" t="s">
        <v>786</v>
      </c>
      <c r="F57" s="367"/>
      <c r="G57" s="368">
        <f>F57</f>
        <v>0</v>
      </c>
      <c r="H57" s="369"/>
      <c r="I57" s="370">
        <f>(D57+G57)-H57</f>
        <v>0</v>
      </c>
    </row>
    <row r="58" spans="1:9" ht="5.25" customHeight="1" x14ac:dyDescent="0.35">
      <c r="A58" s="310"/>
      <c r="B58" s="371"/>
      <c r="C58" s="372"/>
      <c r="D58" s="373"/>
      <c r="E58" s="374"/>
      <c r="G58" s="330"/>
      <c r="I58" s="375"/>
    </row>
    <row r="59" spans="1:9" x14ac:dyDescent="0.35">
      <c r="A59" s="314" t="s">
        <v>1092</v>
      </c>
      <c r="B59" s="376"/>
      <c r="C59" s="372"/>
      <c r="D59" s="373"/>
      <c r="E59" s="377"/>
      <c r="G59" s="330"/>
      <c r="I59" s="375"/>
    </row>
    <row r="60" spans="1:9" ht="8.25" customHeight="1" x14ac:dyDescent="0.35">
      <c r="B60" s="378"/>
    </row>
    <row r="61" spans="1:9" x14ac:dyDescent="0.35">
      <c r="B61" s="314" t="s">
        <v>1020</v>
      </c>
      <c r="C61" s="685" t="s">
        <v>1021</v>
      </c>
      <c r="D61" s="685"/>
      <c r="G61" s="314" t="s">
        <v>1022</v>
      </c>
    </row>
    <row r="65" spans="2:7" x14ac:dyDescent="0.35">
      <c r="B65" s="314" t="s">
        <v>1093</v>
      </c>
      <c r="C65" s="685" t="s">
        <v>1024</v>
      </c>
      <c r="D65" s="685"/>
      <c r="G65" s="314" t="s">
        <v>1094</v>
      </c>
    </row>
  </sheetData>
  <mergeCells count="12">
    <mergeCell ref="C61:D61"/>
    <mergeCell ref="C65:D65"/>
    <mergeCell ref="B1:G2"/>
    <mergeCell ref="B3:G3"/>
    <mergeCell ref="B4:G4"/>
    <mergeCell ref="A6:I6"/>
    <mergeCell ref="A7:A8"/>
    <mergeCell ref="B7:B8"/>
    <mergeCell ref="C7:C8"/>
    <mergeCell ref="D7:D8"/>
    <mergeCell ref="E7:F7"/>
    <mergeCell ref="I7:I8"/>
  </mergeCells>
  <pageMargins left="0.16" right="0.12" top="0.16" bottom="0.14000000000000001" header="0.12" footer="0.12"/>
  <pageSetup scale="82" orientation="portrait" r:id="rId1"/>
  <rowBreaks count="1" manualBreakCount="1">
    <brk id="58" max="8" man="1"/>
  </row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D04C9-1D18-4306-9122-9357702C16B8}">
  <sheetPr codeName="Sheet8"/>
  <dimension ref="B2:C28"/>
  <sheetViews>
    <sheetView workbookViewId="0">
      <selection activeCell="B26" sqref="B2:C26"/>
    </sheetView>
  </sheetViews>
  <sheetFormatPr defaultRowHeight="14.5" x14ac:dyDescent="0.35"/>
  <cols>
    <col min="1" max="16384" width="8.7265625" style="89"/>
  </cols>
  <sheetData>
    <row r="2" spans="2:3" x14ac:dyDescent="0.35">
      <c r="B2" s="94">
        <v>46023</v>
      </c>
      <c r="C2" t="s">
        <v>243</v>
      </c>
    </row>
    <row r="3" spans="2:3" x14ac:dyDescent="0.35">
      <c r="B3" s="94">
        <v>46038</v>
      </c>
      <c r="C3" t="s">
        <v>244</v>
      </c>
    </row>
    <row r="4" spans="2:3" x14ac:dyDescent="0.35">
      <c r="B4" s="94">
        <v>46069</v>
      </c>
      <c r="C4" t="s">
        <v>245</v>
      </c>
    </row>
    <row r="5" spans="2:3" x14ac:dyDescent="0.35">
      <c r="B5" s="94">
        <v>46070</v>
      </c>
      <c r="C5" t="s">
        <v>245</v>
      </c>
    </row>
    <row r="6" spans="2:3" x14ac:dyDescent="0.35">
      <c r="B6" s="94">
        <v>46099</v>
      </c>
      <c r="C6" t="s">
        <v>246</v>
      </c>
    </row>
    <row r="7" spans="2:3" x14ac:dyDescent="0.35">
      <c r="B7" s="94">
        <v>46100</v>
      </c>
      <c r="C7" t="s">
        <v>246</v>
      </c>
    </row>
    <row r="8" spans="2:3" x14ac:dyDescent="0.35">
      <c r="B8" s="94">
        <v>46101</v>
      </c>
      <c r="C8" t="s">
        <v>247</v>
      </c>
    </row>
    <row r="9" spans="2:3" x14ac:dyDescent="0.35">
      <c r="B9" s="94">
        <v>46102</v>
      </c>
      <c r="C9" t="s">
        <v>247</v>
      </c>
    </row>
    <row r="10" spans="2:3" x14ac:dyDescent="0.35">
      <c r="B10" s="94">
        <v>46103</v>
      </c>
      <c r="C10" t="s">
        <v>247</v>
      </c>
    </row>
    <row r="11" spans="2:3" x14ac:dyDescent="0.35">
      <c r="B11" s="94">
        <v>46104</v>
      </c>
      <c r="C11" t="s">
        <v>247</v>
      </c>
    </row>
    <row r="12" spans="2:3" x14ac:dyDescent="0.35">
      <c r="B12" s="94">
        <v>46105</v>
      </c>
      <c r="C12" t="s">
        <v>247</v>
      </c>
    </row>
    <row r="13" spans="2:3" x14ac:dyDescent="0.35">
      <c r="B13" s="94">
        <v>46115</v>
      </c>
      <c r="C13" t="s">
        <v>248</v>
      </c>
    </row>
    <row r="14" spans="2:3" x14ac:dyDescent="0.35">
      <c r="B14" s="94">
        <v>46117</v>
      </c>
      <c r="C14" t="s">
        <v>249</v>
      </c>
    </row>
    <row r="15" spans="2:3" x14ac:dyDescent="0.35">
      <c r="B15" s="94">
        <v>46143</v>
      </c>
      <c r="C15" t="s">
        <v>250</v>
      </c>
    </row>
    <row r="16" spans="2:3" x14ac:dyDescent="0.35">
      <c r="B16" s="94">
        <v>46156</v>
      </c>
      <c r="C16" t="s">
        <v>251</v>
      </c>
    </row>
    <row r="17" spans="2:3" x14ac:dyDescent="0.35">
      <c r="B17" s="94">
        <v>46157</v>
      </c>
      <c r="C17" t="s">
        <v>251</v>
      </c>
    </row>
    <row r="18" spans="2:3" x14ac:dyDescent="0.35">
      <c r="B18" s="94">
        <v>46169</v>
      </c>
      <c r="C18" t="s">
        <v>252</v>
      </c>
    </row>
    <row r="19" spans="2:3" x14ac:dyDescent="0.35">
      <c r="B19" s="94">
        <v>46170</v>
      </c>
      <c r="C19" t="s">
        <v>252</v>
      </c>
    </row>
    <row r="20" spans="2:3" x14ac:dyDescent="0.35">
      <c r="B20" s="94">
        <v>46173</v>
      </c>
      <c r="C20" t="s">
        <v>253</v>
      </c>
    </row>
    <row r="21" spans="2:3" x14ac:dyDescent="0.35">
      <c r="B21" s="94">
        <v>46174</v>
      </c>
      <c r="C21" t="s">
        <v>254</v>
      </c>
    </row>
    <row r="22" spans="2:3" x14ac:dyDescent="0.35">
      <c r="B22" s="94">
        <v>46189</v>
      </c>
      <c r="C22" t="s">
        <v>255</v>
      </c>
    </row>
    <row r="23" spans="2:3" x14ac:dyDescent="0.35">
      <c r="B23" s="94">
        <v>46251</v>
      </c>
      <c r="C23" t="s">
        <v>256</v>
      </c>
    </row>
    <row r="24" spans="2:3" x14ac:dyDescent="0.35">
      <c r="B24" s="94">
        <v>46259</v>
      </c>
      <c r="C24" t="s">
        <v>257</v>
      </c>
    </row>
    <row r="25" spans="2:3" x14ac:dyDescent="0.35">
      <c r="B25" s="94">
        <v>46380</v>
      </c>
      <c r="C25" t="s">
        <v>258</v>
      </c>
    </row>
    <row r="26" spans="2:3" x14ac:dyDescent="0.35">
      <c r="B26" s="94">
        <v>46381</v>
      </c>
      <c r="C26" t="s">
        <v>258</v>
      </c>
    </row>
    <row r="27" spans="2:3" x14ac:dyDescent="0.35">
      <c r="B27" s="88"/>
    </row>
    <row r="28" spans="2:3" x14ac:dyDescent="0.35">
      <c r="B28" s="90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E495B-70B6-439C-AD30-DDECA255EF94}">
  <sheetPr codeName="Sheet9"/>
  <dimension ref="A1:C13"/>
  <sheetViews>
    <sheetView workbookViewId="0">
      <selection activeCell="B26" sqref="B2:B26"/>
    </sheetView>
  </sheetViews>
  <sheetFormatPr defaultColWidth="9" defaultRowHeight="14.5" x14ac:dyDescent="0.35"/>
  <cols>
    <col min="1" max="16384" width="9" style="89"/>
  </cols>
  <sheetData>
    <row r="1" spans="1:3" ht="26" x14ac:dyDescent="0.6">
      <c r="A1" s="91" t="s">
        <v>233</v>
      </c>
    </row>
    <row r="3" spans="1:3" x14ac:dyDescent="0.35">
      <c r="B3" s="89" t="s">
        <v>234</v>
      </c>
      <c r="C3" s="92" t="str">
        <f>_xlfn.TEXTJOIN(,,C5:C11)</f>
        <v>0000011</v>
      </c>
    </row>
    <row r="5" spans="1:3" x14ac:dyDescent="0.35">
      <c r="B5" s="89" t="s">
        <v>235</v>
      </c>
      <c r="C5" s="93">
        <v>0</v>
      </c>
    </row>
    <row r="6" spans="1:3" x14ac:dyDescent="0.35">
      <c r="B6" s="89" t="s">
        <v>236</v>
      </c>
      <c r="C6" s="93">
        <v>0</v>
      </c>
    </row>
    <row r="7" spans="1:3" x14ac:dyDescent="0.35">
      <c r="B7" s="89" t="s">
        <v>237</v>
      </c>
      <c r="C7" s="93">
        <v>0</v>
      </c>
    </row>
    <row r="8" spans="1:3" x14ac:dyDescent="0.35">
      <c r="B8" s="89" t="s">
        <v>238</v>
      </c>
      <c r="C8" s="93">
        <v>0</v>
      </c>
    </row>
    <row r="9" spans="1:3" x14ac:dyDescent="0.35">
      <c r="B9" s="89" t="s">
        <v>239</v>
      </c>
      <c r="C9" s="93">
        <v>0</v>
      </c>
    </row>
    <row r="10" spans="1:3" x14ac:dyDescent="0.35">
      <c r="B10" s="89" t="s">
        <v>240</v>
      </c>
      <c r="C10" s="93">
        <v>1</v>
      </c>
    </row>
    <row r="11" spans="1:3" x14ac:dyDescent="0.35">
      <c r="B11" s="89" t="s">
        <v>241</v>
      </c>
      <c r="C11" s="93">
        <v>1</v>
      </c>
    </row>
    <row r="13" spans="1:3" x14ac:dyDescent="0.35">
      <c r="B13" s="89" t="s">
        <v>242</v>
      </c>
      <c r="C13" s="89" t="str">
        <f>IF('Detail Project'!AF2="O","FALSE","TRUE")</f>
        <v>FALSE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14</vt:i4>
      </vt:variant>
    </vt:vector>
  </HeadingPairs>
  <TitlesOfParts>
    <vt:vector size="34" baseType="lpstr">
      <vt:lpstr>Dashboard</vt:lpstr>
      <vt:lpstr>Detail Project</vt:lpstr>
      <vt:lpstr>Resume SO per Valve</vt:lpstr>
      <vt:lpstr>Variance Dashboard</vt:lpstr>
      <vt:lpstr>Variance Data</vt:lpstr>
      <vt:lpstr>PLAN PRODUCTION2</vt:lpstr>
      <vt:lpstr>Ref Dashboard</vt:lpstr>
      <vt:lpstr>Capacity Summary</vt:lpstr>
      <vt:lpstr>SCHEDULE CALENDAR</vt:lpstr>
      <vt:lpstr>JOB CALENDAR</vt:lpstr>
      <vt:lpstr>Schedule</vt:lpstr>
      <vt:lpstr>Plan Vs Actual</vt:lpstr>
      <vt:lpstr>MR List</vt:lpstr>
      <vt:lpstr>Tools</vt:lpstr>
      <vt:lpstr>Machining</vt:lpstr>
      <vt:lpstr>Consumable</vt:lpstr>
      <vt:lpstr>Capacity</vt:lpstr>
      <vt:lpstr>COSUMABLE-JUNE (3)</vt:lpstr>
      <vt:lpstr>National Holiday</vt:lpstr>
      <vt:lpstr>Setting</vt:lpstr>
      <vt:lpstr>display</vt:lpstr>
      <vt:lpstr>display_period</vt:lpstr>
      <vt:lpstr>display_week</vt:lpstr>
      <vt:lpstr>Nat_Hol</vt:lpstr>
      <vt:lpstr>Consumable!Print_Area</vt:lpstr>
      <vt:lpstr>'COSUMABLE-JUNE (3)'!Print_Area</vt:lpstr>
      <vt:lpstr>'MR List'!Print_Area</vt:lpstr>
      <vt:lpstr>'PLAN PRODUCTION2'!Print_Area</vt:lpstr>
      <vt:lpstr>Machining!Print_Titles</vt:lpstr>
      <vt:lpstr>'MR List'!Print_Titles</vt:lpstr>
      <vt:lpstr>'PLAN PRODUCTION2'!Print_Titles</vt:lpstr>
      <vt:lpstr>project_start</vt:lpstr>
      <vt:lpstr>show_weekends</vt:lpstr>
      <vt:lpstr>weekend_option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Jaikanna Raghupathy</dc:creator>
  <cp:lastModifiedBy>Herru Ramadhan</cp:lastModifiedBy>
  <cp:lastPrinted>2026-07-06T07:37:39Z</cp:lastPrinted>
  <dcterms:created xsi:type="dcterms:W3CDTF">2026-06-09T01:46:42Z</dcterms:created>
  <dcterms:modified xsi:type="dcterms:W3CDTF">2026-08-18T04:20:44Z</dcterms:modified>
</cp:coreProperties>
</file>